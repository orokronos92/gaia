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N:\QHSE\"/>
    </mc:Choice>
  </mc:AlternateContent>
  <xr:revisionPtr revIDLastSave="0" documentId="13_ncr:1_{A6C65888-AB7F-4195-A9AC-669AB0ACF338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Feuil1" sheetId="1" r:id="rId1"/>
    <sheet name="SUIVI GLOBAL" sheetId="2" r:id="rId2"/>
    <sheet name="RECAP RESPECT DELAIS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3" l="1"/>
  <c r="D4" i="3"/>
  <c r="D9" i="3"/>
  <c r="D8" i="3"/>
  <c r="AF36" i="1"/>
  <c r="AF35" i="1"/>
  <c r="AF33" i="1"/>
  <c r="AF32" i="1"/>
  <c r="AF41" i="1"/>
  <c r="AF42" i="1"/>
  <c r="AF39" i="1"/>
  <c r="AF38" i="1"/>
</calcChain>
</file>

<file path=xl/sharedStrings.xml><?xml version="1.0" encoding="utf-8"?>
<sst xmlns="http://schemas.openxmlformats.org/spreadsheetml/2006/main" count="450" uniqueCount="191">
  <si>
    <t>Analyse des états</t>
  </si>
  <si>
    <t>Validation BAT</t>
  </si>
  <si>
    <t xml:space="preserve">Envoi des commandes </t>
  </si>
  <si>
    <t>Commande</t>
  </si>
  <si>
    <t>Fournisseur</t>
  </si>
  <si>
    <t>9BROD</t>
  </si>
  <si>
    <t>9GRAI</t>
  </si>
  <si>
    <t>9EUR4</t>
  </si>
  <si>
    <t>Pourcentage de commandes délais dépassés</t>
  </si>
  <si>
    <t>Pourcentage de commandes délais respectés</t>
  </si>
  <si>
    <t>Attente éléments labels MP</t>
  </si>
  <si>
    <t>Pas de validation BAT à faire</t>
  </si>
  <si>
    <t>Pas de trace de validation des BAT</t>
  </si>
  <si>
    <t xml:space="preserve">Pas de trace de validation </t>
  </si>
  <si>
    <t>Délai impression</t>
  </si>
  <si>
    <t>14/11/2023 au 27/12/2023</t>
  </si>
  <si>
    <t>28/11/2023 au 12/12/2023</t>
  </si>
  <si>
    <t>7/12/2023 au 11/12/2023</t>
  </si>
  <si>
    <t>12/12/2023 au 14/12/2023</t>
  </si>
  <si>
    <t xml:space="preserve">      </t>
  </si>
  <si>
    <t>18/12/2023 Modification commande suite à commande service export pour japon</t>
  </si>
  <si>
    <t>12/12/2023 au 08/01/2024</t>
  </si>
  <si>
    <t>09/01/2024 au 10/01/2024</t>
  </si>
  <si>
    <t>15/12/2023 au 05/01/2024</t>
  </si>
  <si>
    <t>19/12/2023 au 05/01/2024</t>
  </si>
  <si>
    <t>15/12/2023 au 16/01/2024</t>
  </si>
  <si>
    <t>20 jours</t>
  </si>
  <si>
    <t>3 jours</t>
  </si>
  <si>
    <t>12 jours</t>
  </si>
  <si>
    <t>2 jours</t>
  </si>
  <si>
    <t>6 jours</t>
  </si>
  <si>
    <t>11/01/2024 au 02/02/2024</t>
  </si>
  <si>
    <t>11/01/2024 au 15/01/2024</t>
  </si>
  <si>
    <t>11/01/2024 au 05/02/2024</t>
  </si>
  <si>
    <t>29/01/2024 au 30/01/2024</t>
  </si>
  <si>
    <t>07/02/2024 au 08/02/2024</t>
  </si>
  <si>
    <t>14/02/2024 au 16/02/2024</t>
  </si>
  <si>
    <t>31/01/2024 au 14/02/2024</t>
  </si>
  <si>
    <t>09/02/2024 au 23/02/2024</t>
  </si>
  <si>
    <t>19/02/2024 au 26/02/2024</t>
  </si>
  <si>
    <t>21/02/2024 au 28/02/2024</t>
  </si>
  <si>
    <t>27/02/2024 au 01/03/2024</t>
  </si>
  <si>
    <t>27/02/2024 au 07/03/2024</t>
  </si>
  <si>
    <t>27/02/2024 au 05/03/2024</t>
  </si>
  <si>
    <t>12/03/2024 au 13/03/2024</t>
  </si>
  <si>
    <t>14/03/2024 au 20/03/2024</t>
  </si>
  <si>
    <t>14/03/2024 au 21/03/2024</t>
  </si>
  <si>
    <t>Analyse des états / Envoi interne</t>
  </si>
  <si>
    <t>Envoi externe des commandes</t>
  </si>
  <si>
    <t>Réception 15/03/2024</t>
  </si>
  <si>
    <t>Réception 13/03/2024</t>
  </si>
  <si>
    <t>Réception 21/03/2024</t>
  </si>
  <si>
    <t>17/02/2024 au 26/02/2024</t>
  </si>
  <si>
    <t>Réception le 29/02/2024</t>
  </si>
  <si>
    <t>Réception 20/03/2024</t>
  </si>
  <si>
    <t>21/03/2024 au 22/03/2024</t>
  </si>
  <si>
    <t>23/03/2024 au 28/03/2024</t>
  </si>
  <si>
    <t>02/04/2024 au 04/04/2024</t>
  </si>
  <si>
    <t>Réception le 26/03/2024</t>
  </si>
  <si>
    <t>Réception le 29/01/2024</t>
  </si>
  <si>
    <t>Réception le 30/01/2024</t>
  </si>
  <si>
    <t>Réception le 21/02/2024</t>
  </si>
  <si>
    <t>Réception le 22/02/2024</t>
  </si>
  <si>
    <t>?</t>
  </si>
  <si>
    <t>Réception le 01/03/2024</t>
  </si>
  <si>
    <t>Réception le 27/02/2024</t>
  </si>
  <si>
    <t>Réception le 28/02/2024</t>
  </si>
  <si>
    <t>22/03/2024 au 04/04/2024</t>
  </si>
  <si>
    <t>22/03/2024 au 28/03/2024</t>
  </si>
  <si>
    <t>Réception le 27/03/2024</t>
  </si>
  <si>
    <t>16/04/2024 au 18/04/2024</t>
  </si>
  <si>
    <t>Réception 19/04/2024</t>
  </si>
  <si>
    <t>19/04/2024 au 25/04/2024</t>
  </si>
  <si>
    <t>19/04/2024 au 29/04/2024</t>
  </si>
  <si>
    <t>26/04/2024 au 30/04/2024</t>
  </si>
  <si>
    <t>16/04/2024 au 25/04/2024</t>
  </si>
  <si>
    <t>26/04/2024 au 06/05/2024</t>
  </si>
  <si>
    <t>02/05/2024 au 06/05/2024</t>
  </si>
  <si>
    <t>13/05/2024 au 14/05/2024</t>
  </si>
  <si>
    <t>02/05/2024 au 14/05/2024</t>
  </si>
  <si>
    <t>07/05/2024 au 21/05/2024</t>
  </si>
  <si>
    <t>14/05/2024 au 21/05/2024</t>
  </si>
  <si>
    <t>15/05/2024 au 22/05/2024</t>
  </si>
  <si>
    <t>07/05/2024 au 24/05/2024</t>
  </si>
  <si>
    <t>16/05/2024 au 28/05/2024</t>
  </si>
  <si>
    <t>24/05/2024 au 31/05/2024</t>
  </si>
  <si>
    <t>29/05/2024 au 03/06/2024</t>
  </si>
  <si>
    <t>23/05/2024 au 03/06/2024</t>
  </si>
  <si>
    <t>29/05/2024 au 07/06/224</t>
  </si>
  <si>
    <t>03/06/2024 au 10/06/2024</t>
  </si>
  <si>
    <t>22/05/2024 au 06/06/2024</t>
  </si>
  <si>
    <t>Réception le 07/06/2024</t>
  </si>
  <si>
    <t>Réception le 17/05/2024</t>
  </si>
  <si>
    <t>Réception 17/04/2024</t>
  </si>
  <si>
    <t>Réception le 30/04/2024</t>
  </si>
  <si>
    <t>Réception 25/04/2024</t>
  </si>
  <si>
    <t>Réception le 19/04/2024</t>
  </si>
  <si>
    <t>Réception le 30/02024</t>
  </si>
  <si>
    <t>02/05/2024 au 22/05/2024</t>
  </si>
  <si>
    <t>Réceptionnné le 17/05/2024</t>
  </si>
  <si>
    <t>Réception 30/05/2024</t>
  </si>
  <si>
    <t>Réception le 07/05/2024</t>
  </si>
  <si>
    <t>Réception le 08/01/2024</t>
  </si>
  <si>
    <t>Réception le 12/02/2024</t>
  </si>
  <si>
    <t>Réception 21/02/2024</t>
  </si>
  <si>
    <t>13/06/2024 au 27/062024</t>
  </si>
  <si>
    <t>23/05/2024 au 11/06/2024</t>
  </si>
  <si>
    <t>04/06/2024 au 26/06/2024</t>
  </si>
  <si>
    <t>22/05/2024 au 27/06/2024</t>
  </si>
  <si>
    <t>27/05/2024 au 24/06/2024</t>
  </si>
  <si>
    <t>25/006/2024 au 01/07/2024</t>
  </si>
  <si>
    <t>06/06/2024 au 24/06/2024 (validation service co étiquettes Artisans du monde</t>
  </si>
  <si>
    <t>04/06/2024 au 24/06/2024</t>
  </si>
  <si>
    <t>28/062024 au 10/07/2024</t>
  </si>
  <si>
    <t>07/06/2024 au 24/06/2024</t>
  </si>
  <si>
    <t>10/06/2024 au 09/07/2024</t>
  </si>
  <si>
    <t>28/06/2024 au 11/07/2024</t>
  </si>
  <si>
    <t>17/06/2024 au 27/06/2024</t>
  </si>
  <si>
    <t>11/07/2024 au 30/07/2024</t>
  </si>
  <si>
    <t>Réception le 05/08/20204</t>
  </si>
  <si>
    <t>Réception 18/07/2024</t>
  </si>
  <si>
    <t>Réception 15/07/2024</t>
  </si>
  <si>
    <t>28/06/2024 au 09/07/2024</t>
  </si>
  <si>
    <t>Réception 22/07/2024</t>
  </si>
  <si>
    <t>Réception 17/07/2024</t>
  </si>
  <si>
    <t>Réception 19/08/2024</t>
  </si>
  <si>
    <t>Réception 21/08/2024</t>
  </si>
  <si>
    <t>9 BROD</t>
  </si>
  <si>
    <t>09/08/2024 au 02/09/2024</t>
  </si>
  <si>
    <t>Réception 29/08/2024</t>
  </si>
  <si>
    <t>Réception 02/09/2024</t>
  </si>
  <si>
    <t>09/08/2024 au 10/09/2024</t>
  </si>
  <si>
    <t>27/08/2024 au 16/09/2024</t>
  </si>
  <si>
    <t>Réception 28/08/2024</t>
  </si>
  <si>
    <t xml:space="preserve"> Réception 24/09/2024</t>
  </si>
  <si>
    <t>Réception 24/09/2024</t>
  </si>
  <si>
    <t>Réception 19/09/2024</t>
  </si>
  <si>
    <t>11/09/2024 au 19/09/2024</t>
  </si>
  <si>
    <t>06/09/2024 au 23/09/2024</t>
  </si>
  <si>
    <t>31/07/2024 au 14/08/2024</t>
  </si>
  <si>
    <t>Réception 06/09/2024</t>
  </si>
  <si>
    <t>17/09/2024 au 02/10/2024</t>
  </si>
  <si>
    <t>Réception 03/10/2024</t>
  </si>
  <si>
    <t>23/08/2024 au 23/09/2024</t>
  </si>
  <si>
    <t>20/09/2024 au 04/10/2024</t>
  </si>
  <si>
    <t>Réception le 02/10/2024</t>
  </si>
  <si>
    <t>05/09/2024 au 10/10/2024</t>
  </si>
  <si>
    <t>08/10/2024 au 10/10/2024</t>
  </si>
  <si>
    <t>08/10/2024 au 11/10/2024</t>
  </si>
  <si>
    <t>Réception le 17/10/2024</t>
  </si>
  <si>
    <t>11/10/2024 au 21/10/2024</t>
  </si>
  <si>
    <t>23/10/2024 au 24/10/2024</t>
  </si>
  <si>
    <t>14/10/2024 au 24/10/2024</t>
  </si>
  <si>
    <t>11/10/2024 au 24/10/2024</t>
  </si>
  <si>
    <t>14/10/2024 au 25/10/2024</t>
  </si>
  <si>
    <t>Réception le 30/10/2024</t>
  </si>
  <si>
    <t>Réception 31/10/2024</t>
  </si>
  <si>
    <t>09/10/2024 au 04/11/2024</t>
  </si>
  <si>
    <t>14/10/2024 au 31/10/2024</t>
  </si>
  <si>
    <t>05/11/2024 au 07/11/2024</t>
  </si>
  <si>
    <t>20/10/2024 au 07/11/2024</t>
  </si>
  <si>
    <t>31/10/2024 au 07/11/2024</t>
  </si>
  <si>
    <t>08/11/2024 au 15/11/2024</t>
  </si>
  <si>
    <t>25/10/2024 au 18/11/2024</t>
  </si>
  <si>
    <t>18/11/2024 au 19/11/2024</t>
  </si>
  <si>
    <t>13/11/2024 au 19/11/2024</t>
  </si>
  <si>
    <t>Réception le 19/11/2024</t>
  </si>
  <si>
    <t>19/11/2024 au 20/11/2024</t>
  </si>
  <si>
    <t>Réception le 21/11/2024</t>
  </si>
  <si>
    <t>Réception le 22/11/2024</t>
  </si>
  <si>
    <t>Réception 22/11/2024</t>
  </si>
  <si>
    <t>Service</t>
  </si>
  <si>
    <t>Marketing</t>
  </si>
  <si>
    <t>Achats</t>
  </si>
  <si>
    <t>Total délais</t>
  </si>
  <si>
    <t>Total délais respectés</t>
  </si>
  <si>
    <t>%</t>
  </si>
  <si>
    <t>Periode depuis nouveau process</t>
  </si>
  <si>
    <t>Periode depuis commandes CF011255 / CF011260</t>
  </si>
  <si>
    <t>20/11/2024 au 28/11/2024</t>
  </si>
  <si>
    <t>27/11/2024 au 28/11/2024</t>
  </si>
  <si>
    <t>20/11/2024 au 02/12/2024</t>
  </si>
  <si>
    <t>03/12/2024 au 05/12/2024</t>
  </si>
  <si>
    <t>Réception le 03/12/2024</t>
  </si>
  <si>
    <t>05/12/2024 au 06/12/2024</t>
  </si>
  <si>
    <t>03/12/2024 au 09/12/2024</t>
  </si>
  <si>
    <t>29/11/2024 au 09/12/2024</t>
  </si>
  <si>
    <t>Réception le 09/12/2024</t>
  </si>
  <si>
    <t>26/11/2024 au 11/12/2024</t>
  </si>
  <si>
    <t>06/12/2024 au 13/12/2024</t>
  </si>
  <si>
    <t>Envoi des fichiers en externe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</si>
</sst>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medium">
        <color rgb="FF00B050"/>
      </left>
      <right/>
      <top style="medium">
        <color rgb="FF00B050"/>
      </top>
      <bottom style="medium">
        <color rgb="FF00B050"/>
      </bottom>
      <diagonal/>
    </border>
    <border>
      <left/>
      <right/>
      <top style="medium">
        <color rgb="FF00B050"/>
      </top>
      <bottom style="medium">
        <color rgb="FF00B050"/>
      </bottom>
      <diagonal/>
    </border>
    <border>
      <left/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 style="thick">
        <color auto="1"/>
      </top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medium">
        <color rgb="FFFF0000"/>
      </right>
      <top style="medium">
        <color rgb="FF00B050"/>
      </top>
      <bottom style="medium">
        <color rgb="FF00B05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9" fontId="0" fillId="0" borderId="0" xfId="1" applyNumberFormat="1" applyFont="1" applyAlignment="1">
      <alignment horizontal="center" vertical="center" wrapText="1"/>
    </xf>
    <xf numFmtId="9" fontId="0" fillId="0" borderId="0" xfId="1" applyNumberFormat="1" applyFont="1" applyFill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9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vertical="center" wrapText="1"/>
    </xf>
    <xf numFmtId="14" fontId="0" fillId="2" borderId="0" xfId="0" applyNumberFormat="1" applyFill="1" applyAlignment="1">
      <alignment vertical="center" wrapText="1"/>
    </xf>
    <xf numFmtId="14" fontId="0" fillId="6" borderId="0" xfId="0" applyNumberFormat="1" applyFill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10" xfId="0" applyBorder="1" applyAlignment="1">
      <alignment horizontal="center" vertical="center" wrapText="1"/>
    </xf>
    <xf numFmtId="9" fontId="0" fillId="0" borderId="10" xfId="1" applyNumberFormat="1" applyFont="1" applyFill="1" applyBorder="1" applyAlignment="1">
      <alignment horizontal="center" vertical="center" wrapText="1"/>
    </xf>
    <xf numFmtId="0" fontId="0" fillId="0" borderId="10" xfId="0" applyBorder="1"/>
    <xf numFmtId="14" fontId="0" fillId="6" borderId="0" xfId="0" applyNumberFormat="1" applyFill="1" applyAlignment="1">
      <alignment horizontal="center" vertical="center" wrapText="1"/>
    </xf>
    <xf numFmtId="0" fontId="0" fillId="6" borderId="12" xfId="0" applyFill="1" applyBorder="1" applyAlignment="1">
      <alignment horizontal="center" vertical="center" wrapText="1"/>
    </xf>
    <xf numFmtId="14" fontId="0" fillId="6" borderId="12" xfId="0" applyNumberFormat="1" applyFill="1" applyBorder="1" applyAlignment="1">
      <alignment horizontal="center" vertical="center" wrapText="1"/>
    </xf>
    <xf numFmtId="14" fontId="0" fillId="6" borderId="12" xfId="0" applyNumberFormat="1" applyFill="1" applyBorder="1" applyAlignment="1">
      <alignment vertical="center" wrapText="1"/>
    </xf>
    <xf numFmtId="0" fontId="0" fillId="11" borderId="0" xfId="0" applyFill="1" applyAlignment="1">
      <alignment horizontal="center" vertical="center" wrapText="1"/>
    </xf>
    <xf numFmtId="14" fontId="0" fillId="6" borderId="4" xfId="0" applyNumberFormat="1" applyFill="1" applyBorder="1" applyAlignment="1">
      <alignment vertical="center" wrapText="1"/>
    </xf>
    <xf numFmtId="14" fontId="0" fillId="5" borderId="12" xfId="0" applyNumberFormat="1" applyFill="1" applyBorder="1" applyAlignment="1">
      <alignment horizontal="center" vertical="center" wrapText="1"/>
    </xf>
    <xf numFmtId="14" fontId="0" fillId="6" borderId="6" xfId="0" applyNumberFormat="1" applyFill="1" applyBorder="1" applyAlignment="1">
      <alignment horizontal="center" vertical="center" wrapText="1"/>
    </xf>
    <xf numFmtId="14" fontId="0" fillId="6" borderId="4" xfId="0" applyNumberFormat="1" applyFill="1" applyBorder="1" applyAlignment="1">
      <alignment horizontal="center" vertical="center" wrapText="1"/>
    </xf>
    <xf numFmtId="2" fontId="0" fillId="0" borderId="0" xfId="0" applyNumberFormat="1"/>
    <xf numFmtId="0" fontId="2" fillId="3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14" fontId="0" fillId="6" borderId="4" xfId="0" applyNumberFormat="1" applyFill="1" applyBorder="1" applyAlignment="1">
      <alignment horizontal="center" vertical="center" wrapText="1"/>
    </xf>
    <xf numFmtId="14" fontId="0" fillId="6" borderId="5" xfId="0" applyNumberFormat="1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14" fontId="0" fillId="6" borderId="7" xfId="0" applyNumberFormat="1" applyFill="1" applyBorder="1" applyAlignment="1">
      <alignment horizontal="center" vertical="center" wrapText="1"/>
    </xf>
    <xf numFmtId="14" fontId="0" fillId="6" borderId="8" xfId="0" applyNumberForma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 wrapText="1"/>
    </xf>
    <xf numFmtId="0" fontId="0" fillId="10" borderId="7" xfId="0" applyFill="1" applyBorder="1" applyAlignment="1">
      <alignment horizontal="center" vertical="center" wrapText="1"/>
    </xf>
    <xf numFmtId="0" fontId="0" fillId="10" borderId="8" xfId="0" applyFill="1" applyBorder="1" applyAlignment="1">
      <alignment horizontal="center" vertical="center" wrapText="1"/>
    </xf>
    <xf numFmtId="0" fontId="0" fillId="10" borderId="9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6" borderId="7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14" fontId="0" fillId="3" borderId="5" xfId="0" applyNumberFormat="1" applyFill="1" applyBorder="1" applyAlignment="1">
      <alignment horizontal="center" vertical="center" wrapText="1"/>
    </xf>
    <xf numFmtId="14" fontId="0" fillId="3" borderId="6" xfId="0" applyNumberFormat="1" applyFill="1" applyBorder="1" applyAlignment="1">
      <alignment horizontal="center" vertical="center" wrapText="1"/>
    </xf>
    <xf numFmtId="14" fontId="0" fillId="3" borderId="0" xfId="0" applyNumberFormat="1" applyFill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0" fontId="0" fillId="10" borderId="5" xfId="0" applyFill="1" applyBorder="1" applyAlignment="1">
      <alignment horizontal="center" vertical="center" wrapText="1"/>
    </xf>
    <xf numFmtId="0" fontId="0" fillId="10" borderId="6" xfId="0" applyFill="1" applyBorder="1" applyAlignment="1">
      <alignment horizontal="center" vertical="center" wrapText="1"/>
    </xf>
    <xf numFmtId="14" fontId="0" fillId="6" borderId="0" xfId="0" applyNumberFormat="1" applyFill="1" applyAlignment="1">
      <alignment horizontal="center" vertical="center" wrapText="1"/>
    </xf>
    <xf numFmtId="14" fontId="0" fillId="6" borderId="11" xfId="0" applyNumberForma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14" fontId="0" fillId="6" borderId="9" xfId="0" applyNumberForma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 wrapText="1"/>
    </xf>
    <xf numFmtId="0" fontId="0" fillId="10" borderId="11" xfId="0" applyFill="1" applyBorder="1" applyAlignment="1">
      <alignment horizontal="center" vertical="center" wrapText="1"/>
    </xf>
    <xf numFmtId="14" fontId="0" fillId="6" borderId="6" xfId="0" applyNumberForma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0" fillId="6" borderId="13" xfId="0" applyNumberForma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2"/>
  <sheetViews>
    <sheetView zoomScale="55" zoomScaleNormal="55" workbookViewId="0">
      <selection activeCell="K11" sqref="K11"/>
    </sheetView>
  </sheetViews>
  <sheetFormatPr baseColWidth="10" defaultColWidth="10.81640625" defaultRowHeight="14.5" x14ac:dyDescent="0.35"/>
  <cols>
    <col min="1" max="1" width="10.81640625" style="1"/>
    <col min="2" max="2" width="11.81640625" style="1" bestFit="1" customWidth="1"/>
    <col min="3" max="5" width="5.81640625" style="1" bestFit="1" customWidth="1"/>
    <col min="6" max="15" width="5.81640625" style="1" customWidth="1"/>
    <col min="16" max="30" width="5.81640625" style="1" bestFit="1" customWidth="1"/>
    <col min="31" max="32" width="6" style="1" bestFit="1" customWidth="1"/>
    <col min="33" max="33" width="5.81640625" style="1" bestFit="1" customWidth="1"/>
    <col min="34" max="41" width="5.81640625" style="1" customWidth="1"/>
    <col min="42" max="42" width="6" style="1" bestFit="1" customWidth="1"/>
    <col min="43" max="43" width="6" bestFit="1" customWidth="1"/>
    <col min="44" max="44" width="6" style="1" bestFit="1" customWidth="1"/>
    <col min="45" max="45" width="5.81640625" style="1" customWidth="1"/>
    <col min="46" max="46" width="53.81640625" style="1" customWidth="1"/>
    <col min="47" max="47" width="12.7265625" style="4" bestFit="1" customWidth="1"/>
    <col min="48" max="48" width="10.81640625" style="1"/>
    <col min="49" max="49" width="11.453125" customWidth="1"/>
    <col min="50" max="16384" width="10.81640625" style="1"/>
  </cols>
  <sheetData>
    <row r="1" spans="1:49" ht="43.5" customHeight="1" x14ac:dyDescent="0.35">
      <c r="A1" s="1" t="s">
        <v>3</v>
      </c>
      <c r="B1" s="1" t="s">
        <v>4</v>
      </c>
      <c r="C1" s="35" t="s">
        <v>0</v>
      </c>
      <c r="D1" s="35"/>
      <c r="E1" s="35"/>
      <c r="F1" s="35" t="s">
        <v>1</v>
      </c>
      <c r="G1" s="35"/>
      <c r="H1" s="35"/>
      <c r="I1" s="35"/>
      <c r="J1" s="35"/>
      <c r="K1" s="35"/>
      <c r="L1" s="35"/>
      <c r="M1" s="35"/>
      <c r="N1" s="35"/>
      <c r="O1" s="35"/>
      <c r="P1" s="35" t="s">
        <v>2</v>
      </c>
      <c r="Q1" s="35"/>
      <c r="R1" s="35" t="s">
        <v>14</v>
      </c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11"/>
      <c r="AM1" s="11"/>
      <c r="AN1" s="11"/>
      <c r="AO1" s="11"/>
      <c r="AP1" s="11"/>
      <c r="AQ1" s="11"/>
      <c r="AR1" s="11"/>
    </row>
    <row r="2" spans="1:49" x14ac:dyDescent="0.35">
      <c r="C2" s="39"/>
      <c r="D2" s="39"/>
      <c r="E2" s="39"/>
      <c r="F2" s="38"/>
      <c r="G2" s="38"/>
      <c r="H2" s="38"/>
      <c r="I2" s="38"/>
      <c r="J2" s="38"/>
      <c r="K2" s="38"/>
      <c r="L2" s="38"/>
      <c r="M2" s="38"/>
      <c r="N2" s="38"/>
      <c r="O2" s="38"/>
      <c r="P2" s="36"/>
      <c r="Q2" s="36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</row>
    <row r="3" spans="1:49" x14ac:dyDescent="0.35">
      <c r="AQ3" s="1"/>
      <c r="AU3" s="5"/>
      <c r="AW3" s="1"/>
    </row>
    <row r="4" spans="1:49" x14ac:dyDescent="0.35">
      <c r="A4" s="1">
        <v>10689</v>
      </c>
      <c r="B4" s="35" t="s">
        <v>5</v>
      </c>
      <c r="C4" s="7"/>
      <c r="D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2"/>
      <c r="T4" s="2"/>
      <c r="U4" s="2"/>
      <c r="V4" s="2"/>
      <c r="W4" s="2"/>
      <c r="X4" s="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</row>
    <row r="5" spans="1:49" x14ac:dyDescent="0.35">
      <c r="A5" s="1">
        <v>10690</v>
      </c>
      <c r="B5" s="35"/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2"/>
      <c r="T5" s="2"/>
      <c r="U5" s="2"/>
      <c r="V5" s="2"/>
      <c r="W5" s="2"/>
      <c r="X5" s="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</row>
    <row r="6" spans="1:49" x14ac:dyDescent="0.35">
      <c r="A6" s="1">
        <v>10691</v>
      </c>
      <c r="B6" s="35"/>
      <c r="C6" s="7"/>
      <c r="D6" s="7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2"/>
      <c r="T6" s="2"/>
      <c r="U6" s="2"/>
      <c r="V6" s="2"/>
      <c r="W6" s="2"/>
      <c r="X6" s="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</row>
    <row r="7" spans="1:49" x14ac:dyDescent="0.35">
      <c r="A7" s="1">
        <v>10727</v>
      </c>
      <c r="B7" s="35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2"/>
      <c r="AO7" s="12"/>
      <c r="AP7" s="12"/>
      <c r="AQ7" s="12"/>
      <c r="AR7" s="12"/>
      <c r="AS7" s="12"/>
    </row>
    <row r="8" spans="1:49" x14ac:dyDescent="0.35">
      <c r="A8" s="1">
        <v>10728</v>
      </c>
      <c r="B8" s="35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2"/>
      <c r="AO8" s="12"/>
      <c r="AP8" s="12"/>
      <c r="AQ8" s="12"/>
      <c r="AR8" s="12"/>
      <c r="AS8" s="12"/>
    </row>
    <row r="9" spans="1:49" x14ac:dyDescent="0.35">
      <c r="A9" s="1">
        <v>10735</v>
      </c>
      <c r="B9" s="35"/>
      <c r="C9" s="7"/>
      <c r="D9" s="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T9" s="4" t="s">
        <v>11</v>
      </c>
    </row>
    <row r="10" spans="1:49" x14ac:dyDescent="0.35">
      <c r="A10" s="1">
        <v>10749</v>
      </c>
      <c r="B10" s="35"/>
      <c r="C10" s="7"/>
      <c r="D10" s="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9"/>
      <c r="AT10" s="9" t="s">
        <v>13</v>
      </c>
    </row>
    <row r="11" spans="1:49" x14ac:dyDescent="0.35">
      <c r="A11" s="1">
        <v>10764</v>
      </c>
      <c r="B11" s="35"/>
      <c r="C11" s="7"/>
      <c r="D11" s="7"/>
      <c r="E11" s="7"/>
      <c r="F11" s="7"/>
      <c r="G11" s="7"/>
      <c r="H11" s="7"/>
      <c r="I11" s="7"/>
      <c r="J11" s="7"/>
      <c r="K11" s="8"/>
      <c r="L11" s="8"/>
      <c r="M11" s="8"/>
      <c r="N11" s="8"/>
      <c r="O11" s="8"/>
      <c r="P11" s="8"/>
      <c r="Q11" s="8"/>
      <c r="R11" s="8"/>
      <c r="S11" s="8"/>
      <c r="T11" s="8"/>
      <c r="U11" s="2"/>
      <c r="V11" s="2"/>
    </row>
    <row r="12" spans="1:49" x14ac:dyDescent="0.35">
      <c r="A12" s="1">
        <v>10776</v>
      </c>
      <c r="B12" s="35"/>
      <c r="C12" s="7"/>
      <c r="D12" s="7"/>
      <c r="E12" s="7"/>
      <c r="F12" s="7"/>
      <c r="G12" s="7"/>
      <c r="H12" s="7"/>
      <c r="I12" s="7"/>
      <c r="J12" s="7"/>
      <c r="K12" s="8"/>
      <c r="L12" s="8"/>
      <c r="M12" s="8"/>
      <c r="N12" s="8"/>
      <c r="O12" s="8"/>
      <c r="P12" s="8"/>
      <c r="Q12" s="8"/>
      <c r="R12" s="8"/>
      <c r="S12" s="8"/>
      <c r="T12" s="8"/>
      <c r="U12" s="2"/>
      <c r="V12" s="2"/>
    </row>
    <row r="13" spans="1:49" x14ac:dyDescent="0.35">
      <c r="A13" s="1">
        <v>10779</v>
      </c>
      <c r="B13" s="35"/>
      <c r="C13" s="7"/>
      <c r="D13" s="7"/>
      <c r="E13" s="7"/>
      <c r="F13" s="7"/>
      <c r="G13" s="7"/>
      <c r="H13" s="7"/>
      <c r="I13" s="7"/>
      <c r="J13" s="7"/>
      <c r="K13" s="8"/>
      <c r="L13" s="8"/>
      <c r="M13" s="8"/>
      <c r="N13" s="8"/>
      <c r="O13" s="8"/>
      <c r="P13" s="8"/>
      <c r="Q13" s="8"/>
      <c r="R13" s="8"/>
      <c r="S13" s="8"/>
      <c r="T13" s="8"/>
      <c r="U13" s="2"/>
      <c r="V13" s="2"/>
    </row>
    <row r="14" spans="1:49" x14ac:dyDescent="0.35">
      <c r="A14" s="1">
        <v>10780</v>
      </c>
      <c r="B14" s="35"/>
      <c r="C14" s="7"/>
      <c r="D14" s="7"/>
      <c r="E14" s="7"/>
      <c r="F14" s="7"/>
      <c r="G14" s="7"/>
      <c r="H14" s="7"/>
      <c r="I14" s="7"/>
      <c r="J14" s="7"/>
      <c r="K14" s="8"/>
      <c r="L14" s="8"/>
      <c r="M14" s="8"/>
      <c r="N14" s="8"/>
      <c r="O14" s="8"/>
      <c r="P14" s="8"/>
      <c r="Q14" s="8"/>
      <c r="R14" s="8"/>
      <c r="S14" s="8"/>
      <c r="T14" s="8"/>
      <c r="U14" s="2"/>
      <c r="V14" s="2"/>
    </row>
    <row r="15" spans="1:49" x14ac:dyDescent="0.35">
      <c r="AQ15" s="1"/>
      <c r="AW15" s="1"/>
    </row>
    <row r="16" spans="1:49" x14ac:dyDescent="0.35">
      <c r="A16" s="1">
        <v>10674</v>
      </c>
      <c r="B16" s="35" t="s">
        <v>6</v>
      </c>
      <c r="C16" s="7"/>
      <c r="D16" s="2"/>
      <c r="E16" s="9"/>
      <c r="AT16" s="9" t="s">
        <v>12</v>
      </c>
    </row>
    <row r="17" spans="1:49" x14ac:dyDescent="0.35">
      <c r="A17" s="1">
        <v>10688</v>
      </c>
      <c r="B17" s="35"/>
      <c r="C17" s="7"/>
      <c r="D17" s="7"/>
      <c r="E17" s="2"/>
      <c r="F17" s="2"/>
      <c r="G17" s="2"/>
      <c r="H17" s="2"/>
      <c r="I17" s="2"/>
      <c r="J17" s="2"/>
      <c r="K17" s="9"/>
      <c r="AT17" s="9" t="s">
        <v>12</v>
      </c>
    </row>
    <row r="18" spans="1:49" x14ac:dyDescent="0.35">
      <c r="A18" s="1">
        <v>10726</v>
      </c>
      <c r="B18" s="35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8"/>
      <c r="X18" s="8"/>
      <c r="Y18" s="8"/>
      <c r="Z18" s="8"/>
      <c r="AA18" s="8"/>
      <c r="AB18" s="8"/>
      <c r="AC18" s="8"/>
      <c r="AD18" s="8"/>
      <c r="AE18" s="8"/>
      <c r="AF18" s="2"/>
    </row>
    <row r="19" spans="1:49" x14ac:dyDescent="0.35">
      <c r="A19" s="1">
        <v>10743</v>
      </c>
      <c r="B19" s="35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2"/>
      <c r="X19" s="9"/>
      <c r="AT19" s="9" t="s">
        <v>12</v>
      </c>
    </row>
    <row r="20" spans="1:49" x14ac:dyDescent="0.35">
      <c r="A20" s="1">
        <v>10751</v>
      </c>
      <c r="B20" s="35"/>
      <c r="C20" s="7"/>
      <c r="D20" s="2"/>
      <c r="E20" s="9"/>
      <c r="AT20" s="9" t="s">
        <v>12</v>
      </c>
    </row>
    <row r="21" spans="1:49" x14ac:dyDescent="0.35">
      <c r="A21" s="1">
        <v>10774</v>
      </c>
      <c r="B21" s="35"/>
      <c r="C21" s="7"/>
      <c r="D21" s="7"/>
      <c r="E21" s="7"/>
      <c r="F21" s="7"/>
      <c r="G21" s="7"/>
      <c r="H21" s="7"/>
      <c r="I21" s="7"/>
      <c r="J21" s="7"/>
      <c r="K21" s="7"/>
      <c r="L21" s="8"/>
      <c r="M21" s="8"/>
      <c r="N21" s="8"/>
      <c r="O21" s="8"/>
      <c r="P21" s="8"/>
      <c r="Q21" s="8"/>
      <c r="R21" s="8"/>
      <c r="S21" s="8"/>
      <c r="T21" s="8"/>
      <c r="U21" s="2"/>
      <c r="V21" s="2"/>
    </row>
    <row r="22" spans="1:49" x14ac:dyDescent="0.35">
      <c r="AQ22" s="1"/>
      <c r="AW22" s="1"/>
    </row>
    <row r="23" spans="1:49" x14ac:dyDescent="0.35">
      <c r="A23" s="1">
        <v>10692</v>
      </c>
      <c r="B23" s="35" t="s">
        <v>7</v>
      </c>
      <c r="C23" s="7"/>
      <c r="D23" s="2"/>
      <c r="E23" s="2"/>
      <c r="F23" s="2"/>
      <c r="G23" s="2"/>
      <c r="H23" s="2"/>
      <c r="I23" s="9"/>
      <c r="AT23" s="1" t="s">
        <v>10</v>
      </c>
    </row>
    <row r="24" spans="1:49" x14ac:dyDescent="0.35">
      <c r="A24" s="1">
        <v>10704</v>
      </c>
      <c r="B24" s="35"/>
      <c r="C24" s="7"/>
      <c r="D24" s="7"/>
      <c r="E24" s="7"/>
      <c r="F24" s="8"/>
      <c r="G24" s="8"/>
      <c r="H24" s="8"/>
      <c r="I24" s="8"/>
      <c r="J24" s="8"/>
      <c r="K24" s="8"/>
      <c r="L24" s="8"/>
      <c r="M24" s="8"/>
      <c r="N24" s="8"/>
      <c r="O24" s="2"/>
      <c r="P24" s="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</row>
    <row r="25" spans="1:49" x14ac:dyDescent="0.35">
      <c r="A25" s="1">
        <v>10707</v>
      </c>
      <c r="B25" s="35"/>
      <c r="C25" s="7"/>
      <c r="D25" s="7"/>
      <c r="E25" s="7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2"/>
      <c r="V25" s="2"/>
      <c r="W25" s="12"/>
      <c r="X25" s="12"/>
      <c r="Y25" s="12"/>
      <c r="Z25" s="12"/>
      <c r="AA25" s="12"/>
      <c r="AB25" s="12"/>
      <c r="AC25" s="12"/>
      <c r="AD25" s="12"/>
      <c r="AQ25" s="1"/>
    </row>
    <row r="26" spans="1:49" x14ac:dyDescent="0.35">
      <c r="A26" s="1">
        <v>10708</v>
      </c>
      <c r="B26" s="35"/>
      <c r="C26" s="7"/>
      <c r="D26" s="7"/>
      <c r="E26" s="7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2"/>
      <c r="V26" s="2"/>
      <c r="W26" s="12"/>
      <c r="X26" s="12"/>
      <c r="Y26" s="12"/>
      <c r="Z26" s="12"/>
      <c r="AA26" s="12"/>
      <c r="AB26" s="12"/>
      <c r="AC26" s="12"/>
      <c r="AD26" s="12"/>
      <c r="AE26" s="12"/>
    </row>
    <row r="27" spans="1:49" x14ac:dyDescent="0.35">
      <c r="A27" s="1">
        <v>10738</v>
      </c>
      <c r="B27" s="35"/>
      <c r="C27" s="7"/>
      <c r="D27" s="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T27" s="4" t="s">
        <v>11</v>
      </c>
    </row>
    <row r="28" spans="1:49" x14ac:dyDescent="0.35">
      <c r="A28" s="1">
        <v>10778</v>
      </c>
      <c r="B28" s="35"/>
      <c r="C28" s="7"/>
      <c r="D28" s="8"/>
      <c r="E28" s="2"/>
    </row>
    <row r="29" spans="1:49" x14ac:dyDescent="0.35">
      <c r="A29" s="1">
        <v>10789</v>
      </c>
      <c r="B29" s="35"/>
      <c r="C29" s="7"/>
      <c r="D29" s="2"/>
      <c r="AT29" s="4" t="s">
        <v>11</v>
      </c>
    </row>
    <row r="30" spans="1:49" x14ac:dyDescent="0.35">
      <c r="A30" s="1">
        <v>10794</v>
      </c>
      <c r="B30" s="35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</row>
    <row r="32" spans="1:49" ht="14.5" customHeight="1" x14ac:dyDescent="0.35">
      <c r="W32" s="7"/>
      <c r="X32" s="33" t="s">
        <v>8</v>
      </c>
      <c r="Y32" s="33"/>
      <c r="Z32" s="33"/>
      <c r="AA32" s="33"/>
      <c r="AB32" s="33"/>
      <c r="AC32" s="33"/>
      <c r="AD32" s="33"/>
      <c r="AE32" s="33"/>
      <c r="AF32" s="6">
        <f>9/24</f>
        <v>0.375</v>
      </c>
      <c r="AG32" s="10"/>
      <c r="AH32" s="10"/>
    </row>
    <row r="33" spans="21:32" ht="14.5" customHeight="1" x14ac:dyDescent="0.35">
      <c r="W33" s="7"/>
      <c r="X33" s="34" t="s">
        <v>9</v>
      </c>
      <c r="Y33" s="34"/>
      <c r="Z33" s="34"/>
      <c r="AA33" s="34"/>
      <c r="AB33" s="34"/>
      <c r="AC33" s="34"/>
      <c r="AD33" s="34"/>
      <c r="AE33" s="34"/>
      <c r="AF33" s="6">
        <f>15/24</f>
        <v>0.625</v>
      </c>
    </row>
    <row r="35" spans="21:32" x14ac:dyDescent="0.35">
      <c r="W35" s="8"/>
      <c r="X35" s="33" t="s">
        <v>8</v>
      </c>
      <c r="Y35" s="33"/>
      <c r="Z35" s="33"/>
      <c r="AA35" s="33"/>
      <c r="AB35" s="33"/>
      <c r="AC35" s="33"/>
      <c r="AD35" s="33"/>
      <c r="AE35" s="33"/>
      <c r="AF35" s="6">
        <f>7/15</f>
        <v>0.46666666666666667</v>
      </c>
    </row>
    <row r="36" spans="21:32" x14ac:dyDescent="0.35">
      <c r="W36" s="8"/>
      <c r="X36" s="34" t="s">
        <v>9</v>
      </c>
      <c r="Y36" s="34"/>
      <c r="Z36" s="34"/>
      <c r="AA36" s="34"/>
      <c r="AB36" s="34"/>
      <c r="AC36" s="34"/>
      <c r="AD36" s="34"/>
      <c r="AE36" s="34"/>
      <c r="AF36" s="6">
        <f>8/15</f>
        <v>0.53333333333333333</v>
      </c>
    </row>
    <row r="38" spans="21:32" x14ac:dyDescent="0.35">
      <c r="U38" s="7"/>
      <c r="V38" s="8"/>
      <c r="W38" s="2"/>
      <c r="X38" s="33" t="s">
        <v>8</v>
      </c>
      <c r="Y38" s="33"/>
      <c r="Z38" s="33"/>
      <c r="AA38" s="33"/>
      <c r="AB38" s="33"/>
      <c r="AC38" s="33"/>
      <c r="AD38" s="33"/>
      <c r="AE38" s="33"/>
      <c r="AF38" s="6">
        <f>14/24</f>
        <v>0.58333333333333337</v>
      </c>
    </row>
    <row r="39" spans="21:32" x14ac:dyDescent="0.35">
      <c r="U39" s="7"/>
      <c r="V39" s="8"/>
      <c r="W39" s="2"/>
      <c r="X39" s="34" t="s">
        <v>9</v>
      </c>
      <c r="Y39" s="34"/>
      <c r="Z39" s="34"/>
      <c r="AA39" s="34"/>
      <c r="AB39" s="34"/>
      <c r="AC39" s="34"/>
      <c r="AD39" s="34"/>
      <c r="AE39" s="34"/>
      <c r="AF39" s="6">
        <f>10/24</f>
        <v>0.41666666666666669</v>
      </c>
    </row>
    <row r="41" spans="21:32" x14ac:dyDescent="0.35">
      <c r="W41" s="12"/>
      <c r="X41" s="33" t="s">
        <v>8</v>
      </c>
      <c r="Y41" s="33"/>
      <c r="Z41" s="33"/>
      <c r="AA41" s="33"/>
      <c r="AB41" s="33"/>
      <c r="AC41" s="33"/>
      <c r="AD41" s="33"/>
      <c r="AE41" s="33"/>
      <c r="AF41" s="6">
        <f>2/10</f>
        <v>0.2</v>
      </c>
    </row>
    <row r="42" spans="21:32" x14ac:dyDescent="0.35">
      <c r="W42" s="12"/>
      <c r="X42" s="34" t="s">
        <v>9</v>
      </c>
      <c r="Y42" s="34"/>
      <c r="Z42" s="34"/>
      <c r="AA42" s="34"/>
      <c r="AB42" s="34"/>
      <c r="AC42" s="34"/>
      <c r="AD42" s="34"/>
      <c r="AE42" s="34"/>
      <c r="AF42" s="6">
        <f>8/10</f>
        <v>0.8</v>
      </c>
    </row>
  </sheetData>
  <mergeCells count="19">
    <mergeCell ref="F1:O1"/>
    <mergeCell ref="F2:O2"/>
    <mergeCell ref="X32:AE32"/>
    <mergeCell ref="X33:AE33"/>
    <mergeCell ref="B4:B14"/>
    <mergeCell ref="B16:B21"/>
    <mergeCell ref="B23:B30"/>
    <mergeCell ref="C2:E2"/>
    <mergeCell ref="C1:E1"/>
    <mergeCell ref="X41:AE41"/>
    <mergeCell ref="X42:AE42"/>
    <mergeCell ref="R1:AK1"/>
    <mergeCell ref="P2:Q2"/>
    <mergeCell ref="R2:AK2"/>
    <mergeCell ref="X35:AE35"/>
    <mergeCell ref="X36:AE36"/>
    <mergeCell ref="P1:Q1"/>
    <mergeCell ref="X38:AE38"/>
    <mergeCell ref="X39:AE3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Q283"/>
  <sheetViews>
    <sheetView tabSelected="1" topLeftCell="A255" zoomScale="89" zoomScaleNormal="89" workbookViewId="0">
      <selection activeCell="I275" sqref="I275"/>
    </sheetView>
  </sheetViews>
  <sheetFormatPr baseColWidth="10" defaultColWidth="10.81640625" defaultRowHeight="14.5" x14ac:dyDescent="0.35"/>
  <cols>
    <col min="1" max="1" width="10.453125" style="1" bestFit="1" customWidth="1"/>
    <col min="2" max="2" width="12.81640625" style="1" bestFit="1" customWidth="1"/>
    <col min="3" max="3" width="15" style="1" customWidth="1"/>
    <col min="4" max="4" width="6" style="1" customWidth="1"/>
    <col min="5" max="15" width="5.81640625" style="1" customWidth="1"/>
    <col min="16" max="16" width="6" style="1" customWidth="1"/>
    <col min="17" max="17" width="5.81640625" style="1" customWidth="1"/>
    <col min="18" max="18" width="6" style="1" customWidth="1"/>
    <col min="19" max="19" width="5.81640625" style="1" customWidth="1"/>
    <col min="20" max="20" width="6" style="1" customWidth="1"/>
    <col min="21" max="21" width="5.81640625" style="1" customWidth="1"/>
    <col min="22" max="22" width="6" style="1" customWidth="1"/>
    <col min="23" max="26" width="5.81640625" style="1" bestFit="1" customWidth="1"/>
    <col min="27" max="27" width="5.81640625" style="1" customWidth="1"/>
    <col min="28" max="30" width="5.81640625" style="1" bestFit="1" customWidth="1"/>
    <col min="31" max="32" width="6" style="1" bestFit="1" customWidth="1"/>
    <col min="33" max="33" width="6" style="1" customWidth="1"/>
    <col min="34" max="41" width="5.81640625" style="1" customWidth="1"/>
    <col min="42" max="42" width="6" style="1" bestFit="1" customWidth="1"/>
    <col min="43" max="43" width="6" bestFit="1" customWidth="1"/>
    <col min="44" max="44" width="6" style="1" bestFit="1" customWidth="1"/>
    <col min="45" max="46" width="5.81640625" style="1" customWidth="1"/>
    <col min="47" max="47" width="5.81640625" style="4" customWidth="1"/>
    <col min="48" max="48" width="5.81640625" style="1" customWidth="1"/>
    <col min="49" max="49" width="5.81640625" customWidth="1"/>
    <col min="50" max="70" width="5.81640625" style="1" customWidth="1"/>
    <col min="71" max="16384" width="10.81640625" style="1"/>
  </cols>
  <sheetData>
    <row r="1" spans="1:105" ht="43.5" customHeight="1" x14ac:dyDescent="0.35">
      <c r="A1" s="1" t="s">
        <v>3</v>
      </c>
      <c r="B1" s="1" t="s">
        <v>4</v>
      </c>
      <c r="C1" s="35" t="s">
        <v>47</v>
      </c>
      <c r="D1" s="35"/>
      <c r="E1" s="35"/>
      <c r="F1" s="35" t="s">
        <v>190</v>
      </c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 t="s">
        <v>48</v>
      </c>
      <c r="S1" s="35"/>
      <c r="T1" s="35" t="s">
        <v>1</v>
      </c>
      <c r="U1" s="35"/>
      <c r="V1" s="35"/>
      <c r="W1" s="35"/>
      <c r="X1" s="35"/>
      <c r="Y1" s="35"/>
      <c r="Z1" s="35" t="s">
        <v>14</v>
      </c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</row>
    <row r="2" spans="1:105" ht="14.5" customHeight="1" x14ac:dyDescent="0.35">
      <c r="C2" s="39" t="s">
        <v>27</v>
      </c>
      <c r="D2" s="39"/>
      <c r="E2" s="39"/>
      <c r="F2" s="34" t="s">
        <v>28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9" t="s">
        <v>29</v>
      </c>
      <c r="S2" s="39"/>
      <c r="T2" s="34" t="s">
        <v>30</v>
      </c>
      <c r="U2" s="34"/>
      <c r="V2" s="34"/>
      <c r="W2" s="34"/>
      <c r="X2" s="34"/>
      <c r="Y2" s="34"/>
      <c r="Z2" s="60" t="s">
        <v>26</v>
      </c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</row>
    <row r="3" spans="1:105" x14ac:dyDescent="0.35">
      <c r="AQ3" s="1"/>
      <c r="AU3" s="5"/>
      <c r="AW3" s="1"/>
    </row>
    <row r="4" spans="1:105" x14ac:dyDescent="0.35">
      <c r="A4" s="27">
        <v>10774</v>
      </c>
      <c r="B4" s="1" t="s">
        <v>6</v>
      </c>
      <c r="C4" s="39" t="s">
        <v>15</v>
      </c>
      <c r="D4" s="39"/>
      <c r="E4" s="39"/>
      <c r="F4" s="39"/>
      <c r="G4" s="39"/>
      <c r="H4" s="39"/>
      <c r="I4" s="39"/>
      <c r="J4" s="39"/>
      <c r="K4" s="39"/>
      <c r="L4" s="76" t="s">
        <v>16</v>
      </c>
      <c r="M4" s="77"/>
      <c r="N4" s="77"/>
      <c r="O4" s="77"/>
      <c r="P4" s="77"/>
      <c r="Q4" s="77"/>
      <c r="R4" s="77"/>
      <c r="S4" s="77"/>
      <c r="T4" s="77"/>
      <c r="U4" s="77"/>
      <c r="V4" s="78"/>
      <c r="W4" s="17">
        <v>45272</v>
      </c>
      <c r="X4" s="60" t="s">
        <v>101</v>
      </c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Q4" s="1"/>
      <c r="AU4" s="5"/>
    </row>
    <row r="5" spans="1:105" x14ac:dyDescent="0.35">
      <c r="W5" s="14"/>
      <c r="AQ5" s="1"/>
      <c r="AU5" s="5"/>
    </row>
    <row r="6" spans="1:105" x14ac:dyDescent="0.35">
      <c r="A6" s="27">
        <v>10822</v>
      </c>
      <c r="B6" s="1" t="s">
        <v>7</v>
      </c>
      <c r="C6" s="39" t="s">
        <v>17</v>
      </c>
      <c r="D6" s="39"/>
      <c r="E6" s="34" t="s">
        <v>63</v>
      </c>
      <c r="F6" s="34"/>
      <c r="G6" s="34"/>
      <c r="H6" s="34"/>
      <c r="I6" s="34"/>
      <c r="J6" s="34"/>
      <c r="K6" s="34"/>
      <c r="L6" s="34"/>
      <c r="M6" s="34"/>
      <c r="N6" s="60" t="s">
        <v>102</v>
      </c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Q6" s="1"/>
      <c r="AU6" s="5"/>
    </row>
    <row r="7" spans="1:105" x14ac:dyDescent="0.35">
      <c r="AU7" s="5"/>
    </row>
    <row r="8" spans="1:105" ht="14.5" customHeight="1" x14ac:dyDescent="0.35">
      <c r="A8" s="27">
        <v>10823</v>
      </c>
      <c r="B8" s="1" t="s">
        <v>7</v>
      </c>
      <c r="C8" s="39" t="s">
        <v>17</v>
      </c>
      <c r="D8" s="39"/>
      <c r="E8" s="34" t="s">
        <v>63</v>
      </c>
      <c r="F8" s="34"/>
      <c r="G8" s="34"/>
      <c r="H8" s="34"/>
      <c r="I8" s="34"/>
      <c r="J8" s="34"/>
      <c r="K8" s="34"/>
      <c r="L8" s="34"/>
      <c r="M8" s="34"/>
      <c r="N8" s="60" t="s">
        <v>103</v>
      </c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Q8" s="1"/>
      <c r="AU8" s="5"/>
    </row>
    <row r="9" spans="1:105" ht="15" thickBot="1" x14ac:dyDescent="0.4">
      <c r="AU9" s="5"/>
    </row>
    <row r="10" spans="1:105" ht="15" thickBot="1" x14ac:dyDescent="0.4">
      <c r="A10" s="27">
        <v>10825</v>
      </c>
      <c r="B10" s="1" t="s">
        <v>7</v>
      </c>
      <c r="C10" s="39" t="s">
        <v>17</v>
      </c>
      <c r="D10" s="39"/>
      <c r="E10" s="76" t="s">
        <v>21</v>
      </c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40" t="s">
        <v>60</v>
      </c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2"/>
      <c r="AQ10" s="1"/>
      <c r="AU10" s="5"/>
    </row>
    <row r="11" spans="1:105" ht="15" thickBot="1" x14ac:dyDescent="0.4">
      <c r="C11" s="35"/>
      <c r="D11" s="35"/>
      <c r="AQ11" s="1"/>
      <c r="AU11" s="5"/>
    </row>
    <row r="12" spans="1:105" ht="14.5" customHeight="1" thickBot="1" x14ac:dyDescent="0.4">
      <c r="A12" s="27">
        <v>10834</v>
      </c>
      <c r="B12" s="1" t="s">
        <v>6</v>
      </c>
      <c r="C12" s="39" t="s">
        <v>18</v>
      </c>
      <c r="D12" s="39"/>
      <c r="E12" s="76" t="s">
        <v>25</v>
      </c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3" t="s">
        <v>99</v>
      </c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  <c r="BW12" s="74"/>
      <c r="BX12" s="74"/>
      <c r="BY12" s="74"/>
      <c r="BZ12" s="74"/>
      <c r="CA12" s="74"/>
      <c r="CB12" s="74"/>
      <c r="CC12" s="74"/>
      <c r="CD12" s="74"/>
      <c r="CE12" s="74"/>
      <c r="CF12" s="74"/>
      <c r="CG12" s="74"/>
      <c r="CH12" s="74"/>
      <c r="CI12" s="74"/>
      <c r="CJ12" s="74"/>
      <c r="CK12" s="74"/>
      <c r="CL12" s="74"/>
      <c r="CM12" s="74"/>
      <c r="CN12" s="74"/>
      <c r="CO12" s="74"/>
      <c r="CP12" s="74"/>
      <c r="CQ12" s="74"/>
      <c r="CR12" s="74"/>
      <c r="CS12" s="74"/>
      <c r="CT12" s="74"/>
      <c r="CU12" s="74"/>
      <c r="CV12" s="74"/>
      <c r="CW12" s="74"/>
      <c r="CX12" s="74"/>
      <c r="CY12" s="74"/>
      <c r="CZ12" s="74"/>
      <c r="DA12" s="75"/>
    </row>
    <row r="13" spans="1:105" ht="15" thickBot="1" x14ac:dyDescent="0.4">
      <c r="AQ13" s="1"/>
      <c r="AU13" s="5"/>
    </row>
    <row r="14" spans="1:105" ht="15" thickBot="1" x14ac:dyDescent="0.4">
      <c r="A14" s="27">
        <v>10835</v>
      </c>
      <c r="B14" s="1" t="s">
        <v>5</v>
      </c>
      <c r="C14" s="39" t="s">
        <v>18</v>
      </c>
      <c r="D14" s="39"/>
      <c r="E14" s="76" t="s">
        <v>23</v>
      </c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3" t="s">
        <v>61</v>
      </c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5"/>
    </row>
    <row r="15" spans="1:105" ht="15" thickBot="1" x14ac:dyDescent="0.4">
      <c r="AT15" s="5"/>
      <c r="AU15" s="5"/>
    </row>
    <row r="16" spans="1:105" ht="14.5" customHeight="1" thickBot="1" x14ac:dyDescent="0.4">
      <c r="A16" s="27">
        <v>10836</v>
      </c>
      <c r="B16" s="1" t="s">
        <v>5</v>
      </c>
      <c r="C16" s="39" t="s">
        <v>18</v>
      </c>
      <c r="D16" s="39"/>
      <c r="E16" s="76" t="s">
        <v>23</v>
      </c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3" t="s">
        <v>62</v>
      </c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5"/>
    </row>
    <row r="17" spans="1:103" ht="15" thickBot="1" x14ac:dyDescent="0.4">
      <c r="AU17" s="5"/>
    </row>
    <row r="18" spans="1:103" ht="14.5" customHeight="1" thickBot="1" x14ac:dyDescent="0.4">
      <c r="A18" s="27">
        <v>10837</v>
      </c>
      <c r="B18" s="1" t="s">
        <v>5</v>
      </c>
      <c r="C18" s="39" t="s">
        <v>18</v>
      </c>
      <c r="D18" s="39"/>
      <c r="E18" s="34" t="s">
        <v>63</v>
      </c>
      <c r="F18" s="34"/>
      <c r="G18" s="34"/>
      <c r="H18" s="34"/>
      <c r="I18" s="34"/>
      <c r="J18" s="34"/>
      <c r="K18" s="73" t="s">
        <v>53</v>
      </c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5"/>
    </row>
    <row r="19" spans="1:103" ht="15" thickBot="1" x14ac:dyDescent="0.4">
      <c r="AU19" s="5"/>
    </row>
    <row r="20" spans="1:103" ht="14.5" customHeight="1" thickBot="1" x14ac:dyDescent="0.4">
      <c r="A20" s="27">
        <v>10838</v>
      </c>
      <c r="B20" s="1" t="s">
        <v>5</v>
      </c>
      <c r="C20" s="39" t="s">
        <v>18</v>
      </c>
      <c r="D20" s="39"/>
      <c r="E20" s="48" t="s">
        <v>23</v>
      </c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50"/>
      <c r="BS20" s="73" t="s">
        <v>104</v>
      </c>
      <c r="BT20" s="74"/>
      <c r="BU20" s="74"/>
      <c r="BV20" s="74"/>
      <c r="BW20" s="74"/>
      <c r="BX20" s="74"/>
      <c r="BY20" s="74"/>
      <c r="BZ20" s="74"/>
      <c r="CA20" s="74"/>
      <c r="CB20" s="74"/>
      <c r="CC20" s="74"/>
      <c r="CD20" s="74"/>
      <c r="CE20" s="74"/>
      <c r="CF20" s="74"/>
      <c r="CG20" s="74"/>
      <c r="CH20" s="74"/>
      <c r="CI20" s="74"/>
      <c r="CJ20" s="74"/>
      <c r="CK20" s="74"/>
      <c r="CL20" s="74"/>
      <c r="CM20" s="74"/>
      <c r="CN20" s="74"/>
      <c r="CO20" s="74"/>
      <c r="CP20" s="74"/>
      <c r="CQ20" s="74"/>
      <c r="CR20" s="74"/>
      <c r="CS20" s="74"/>
      <c r="CT20" s="74"/>
      <c r="CU20" s="74"/>
      <c r="CV20" s="74"/>
      <c r="CW20" s="74"/>
      <c r="CX20" s="74"/>
      <c r="CY20" s="75"/>
    </row>
    <row r="21" spans="1:103" ht="15" thickBot="1" x14ac:dyDescent="0.4">
      <c r="AU21" s="5"/>
    </row>
    <row r="22" spans="1:103" ht="15" thickBot="1" x14ac:dyDescent="0.4">
      <c r="A22" s="27">
        <v>10840</v>
      </c>
      <c r="B22" s="1" t="s">
        <v>5</v>
      </c>
      <c r="C22" s="39" t="s">
        <v>18</v>
      </c>
      <c r="D22" s="39"/>
      <c r="E22" s="13"/>
      <c r="F22" s="13"/>
      <c r="G22" s="13"/>
      <c r="H22" s="13" t="s">
        <v>19</v>
      </c>
      <c r="I22" s="15" t="s">
        <v>20</v>
      </c>
      <c r="J22" s="76" t="s">
        <v>24</v>
      </c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3" t="s">
        <v>61</v>
      </c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4"/>
      <c r="AR22" s="74"/>
      <c r="AS22" s="74"/>
      <c r="AT22" s="74"/>
      <c r="AU22" s="74"/>
      <c r="AV22" s="74"/>
      <c r="AW22" s="74"/>
      <c r="AX22" s="75"/>
    </row>
    <row r="23" spans="1:103" ht="15" thickBot="1" x14ac:dyDescent="0.4">
      <c r="AU23" s="5"/>
    </row>
    <row r="24" spans="1:103" ht="14.5" customHeight="1" thickBot="1" x14ac:dyDescent="0.4">
      <c r="A24" s="27">
        <v>10866</v>
      </c>
      <c r="B24" s="1" t="s">
        <v>6</v>
      </c>
      <c r="C24" s="16" t="s">
        <v>22</v>
      </c>
      <c r="D24" s="34" t="s">
        <v>32</v>
      </c>
      <c r="E24" s="34"/>
      <c r="F24" s="34"/>
      <c r="G24" s="73" t="s">
        <v>59</v>
      </c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5"/>
    </row>
    <row r="25" spans="1:103" ht="15" thickBot="1" x14ac:dyDescent="0.4">
      <c r="AU25" s="5"/>
    </row>
    <row r="26" spans="1:103" ht="14.5" customHeight="1" thickBot="1" x14ac:dyDescent="0.4">
      <c r="A26" s="27">
        <v>10867</v>
      </c>
      <c r="B26" s="1" t="s">
        <v>5</v>
      </c>
      <c r="C26" s="16" t="s">
        <v>22</v>
      </c>
      <c r="D26" s="76" t="s">
        <v>33</v>
      </c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40" t="s">
        <v>64</v>
      </c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2"/>
      <c r="AU26" s="5"/>
    </row>
    <row r="27" spans="1:103" ht="15" thickBot="1" x14ac:dyDescent="0.4">
      <c r="AU27" s="5"/>
    </row>
    <row r="28" spans="1:103" ht="14.5" customHeight="1" thickBot="1" x14ac:dyDescent="0.4">
      <c r="A28" s="27">
        <v>10868</v>
      </c>
      <c r="B28" s="1" t="s">
        <v>5</v>
      </c>
      <c r="C28" s="16" t="s">
        <v>22</v>
      </c>
      <c r="D28" s="76" t="s">
        <v>31</v>
      </c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40" t="s">
        <v>65</v>
      </c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2"/>
      <c r="AU28" s="5"/>
    </row>
    <row r="29" spans="1:103" ht="15" thickBot="1" x14ac:dyDescent="0.4">
      <c r="AU29" s="5"/>
    </row>
    <row r="30" spans="1:103" ht="14.5" customHeight="1" thickBot="1" x14ac:dyDescent="0.4">
      <c r="A30" s="27">
        <v>10869</v>
      </c>
      <c r="B30" s="1" t="s">
        <v>5</v>
      </c>
      <c r="C30" s="16" t="s">
        <v>22</v>
      </c>
      <c r="D30" s="76" t="s">
        <v>31</v>
      </c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40" t="s">
        <v>66</v>
      </c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2"/>
      <c r="AU30" s="5"/>
    </row>
    <row r="31" spans="1:103" ht="15" thickBot="1" x14ac:dyDescent="0.4">
      <c r="AQ31" s="1"/>
      <c r="AU31" s="5"/>
      <c r="AW31" s="1"/>
    </row>
    <row r="32" spans="1:103" ht="14.5" customHeight="1" thickBot="1" x14ac:dyDescent="0.4">
      <c r="A32" s="27">
        <v>10871</v>
      </c>
      <c r="B32" s="1" t="s">
        <v>5</v>
      </c>
      <c r="C32" s="16" t="s">
        <v>22</v>
      </c>
      <c r="D32" s="76" t="s">
        <v>31</v>
      </c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40" t="s">
        <v>64</v>
      </c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2"/>
      <c r="AU32" s="5"/>
    </row>
    <row r="33" spans="1:66" ht="15" thickBot="1" x14ac:dyDescent="0.4">
      <c r="AU33" s="5"/>
    </row>
    <row r="34" spans="1:66" ht="14.15" customHeight="1" thickBot="1" x14ac:dyDescent="0.4">
      <c r="A34" s="27">
        <v>10893</v>
      </c>
      <c r="B34" s="1" t="s">
        <v>7</v>
      </c>
      <c r="C34" s="16" t="s">
        <v>34</v>
      </c>
      <c r="D34" s="43" t="s">
        <v>37</v>
      </c>
      <c r="E34" s="45"/>
      <c r="F34" s="45"/>
      <c r="G34" s="45"/>
      <c r="H34" s="45"/>
      <c r="I34" s="45"/>
      <c r="J34" s="45"/>
      <c r="K34" s="45"/>
      <c r="L34" s="45"/>
      <c r="M34" s="45"/>
      <c r="N34" s="44"/>
      <c r="O34" s="40" t="s">
        <v>61</v>
      </c>
      <c r="P34" s="41"/>
      <c r="Q34" s="41"/>
      <c r="R34" s="41"/>
      <c r="S34" s="42"/>
      <c r="T34" s="11"/>
      <c r="U34" s="11"/>
      <c r="AQ34" s="1"/>
      <c r="AU34" s="5"/>
    </row>
    <row r="35" spans="1:66" ht="15" thickBot="1" x14ac:dyDescent="0.4">
      <c r="AU35" s="5"/>
    </row>
    <row r="36" spans="1:66" ht="14.5" customHeight="1" thickBot="1" x14ac:dyDescent="0.4">
      <c r="A36" s="27">
        <v>10892</v>
      </c>
      <c r="B36" s="1" t="s">
        <v>7</v>
      </c>
      <c r="C36" s="16" t="s">
        <v>34</v>
      </c>
      <c r="D36" s="43" t="s">
        <v>37</v>
      </c>
      <c r="E36" s="45"/>
      <c r="F36" s="45"/>
      <c r="G36" s="45"/>
      <c r="H36" s="45"/>
      <c r="I36" s="45"/>
      <c r="J36" s="45"/>
      <c r="K36" s="45"/>
      <c r="L36" s="45"/>
      <c r="M36" s="45"/>
      <c r="N36" s="44"/>
      <c r="O36" s="40" t="s">
        <v>62</v>
      </c>
      <c r="P36" s="41"/>
      <c r="Q36" s="41"/>
      <c r="R36" s="41"/>
      <c r="S36" s="41"/>
      <c r="T36" s="42"/>
      <c r="AT36" s="5"/>
      <c r="AU36" s="5"/>
    </row>
    <row r="37" spans="1:66" ht="15" thickBot="1" x14ac:dyDescent="0.4">
      <c r="AU37" s="5"/>
    </row>
    <row r="38" spans="1:66" ht="14.15" customHeight="1" thickBot="1" x14ac:dyDescent="0.4">
      <c r="A38" s="27">
        <v>10900</v>
      </c>
      <c r="B38" s="1" t="s">
        <v>6</v>
      </c>
      <c r="C38" s="16" t="s">
        <v>35</v>
      </c>
      <c r="D38" s="43" t="s">
        <v>38</v>
      </c>
      <c r="E38" s="45"/>
      <c r="F38" s="45"/>
      <c r="G38" s="45"/>
      <c r="H38" s="45"/>
      <c r="I38" s="45"/>
      <c r="J38" s="45"/>
      <c r="K38" s="45"/>
      <c r="L38" s="45"/>
      <c r="M38" s="45"/>
      <c r="N38" s="44"/>
      <c r="O38" s="56" t="s">
        <v>58</v>
      </c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  <c r="AA38" s="64"/>
      <c r="AB38" s="64"/>
      <c r="AC38" s="64"/>
      <c r="AD38" s="64"/>
      <c r="AE38" s="64"/>
      <c r="AF38" s="64"/>
      <c r="AG38" s="64"/>
      <c r="AH38" s="64"/>
      <c r="AI38" s="64"/>
      <c r="AJ38" s="65"/>
      <c r="AT38" s="5"/>
      <c r="AU38" s="5"/>
    </row>
    <row r="39" spans="1:66" ht="14.15" customHeight="1" thickBot="1" x14ac:dyDescent="0.4">
      <c r="C39" s="11"/>
      <c r="O39" s="19"/>
      <c r="AT39" s="5"/>
      <c r="AU39" s="5"/>
    </row>
    <row r="40" spans="1:66" s="20" customFormat="1" ht="15.5" thickTop="1" thickBot="1" x14ac:dyDescent="0.4">
      <c r="AU40" s="21"/>
      <c r="AW40" s="22"/>
    </row>
    <row r="41" spans="1:66" ht="14.15" customHeight="1" thickBot="1" x14ac:dyDescent="0.4">
      <c r="A41" s="27">
        <v>10913</v>
      </c>
      <c r="B41" s="1" t="s">
        <v>5</v>
      </c>
      <c r="C41" s="39" t="s">
        <v>36</v>
      </c>
      <c r="D41" s="39"/>
      <c r="E41" s="39"/>
      <c r="F41" s="34" t="s">
        <v>52</v>
      </c>
      <c r="G41" s="34"/>
      <c r="H41" s="34"/>
      <c r="I41" s="34"/>
      <c r="J41" s="34"/>
      <c r="K41" s="18">
        <v>45348</v>
      </c>
      <c r="L41" s="40" t="s">
        <v>53</v>
      </c>
      <c r="M41" s="41"/>
      <c r="N41" s="42"/>
      <c r="AU41" s="5"/>
    </row>
    <row r="42" spans="1:66" ht="14.5" customHeight="1" thickBot="1" x14ac:dyDescent="0.4">
      <c r="Z42" s="10"/>
      <c r="AA42" s="10"/>
      <c r="AB42" s="10"/>
      <c r="AC42" s="10"/>
      <c r="AD42" s="10"/>
      <c r="AE42" s="10"/>
      <c r="AF42" s="6"/>
      <c r="AG42" s="10"/>
      <c r="AH42" s="10"/>
      <c r="AU42" s="5"/>
    </row>
    <row r="43" spans="1:66" ht="14.5" customHeight="1" thickBot="1" x14ac:dyDescent="0.4">
      <c r="A43" s="27">
        <v>10916</v>
      </c>
      <c r="B43" s="1" t="s">
        <v>5</v>
      </c>
      <c r="C43" s="39" t="s">
        <v>36</v>
      </c>
      <c r="D43" s="39"/>
      <c r="E43" s="67"/>
      <c r="F43" s="43" t="s">
        <v>39</v>
      </c>
      <c r="G43" s="45"/>
      <c r="H43" s="45"/>
      <c r="I43" s="45"/>
      <c r="J43" s="45"/>
      <c r="K43" s="44"/>
      <c r="L43" s="18">
        <v>45348</v>
      </c>
      <c r="M43" s="43" t="s">
        <v>43</v>
      </c>
      <c r="N43" s="45"/>
      <c r="O43" s="45"/>
      <c r="P43" s="45"/>
      <c r="Q43" s="45"/>
      <c r="R43" s="44"/>
      <c r="S43" s="40" t="s">
        <v>58</v>
      </c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2"/>
      <c r="AU43" s="5"/>
    </row>
    <row r="44" spans="1:66" ht="15" thickBot="1" x14ac:dyDescent="0.4">
      <c r="AU44" s="5"/>
    </row>
    <row r="45" spans="1:66" ht="14.5" customHeight="1" thickBot="1" x14ac:dyDescent="0.4">
      <c r="A45" s="27">
        <v>10917</v>
      </c>
      <c r="B45" s="1" t="s">
        <v>5</v>
      </c>
      <c r="C45" s="39" t="s">
        <v>36</v>
      </c>
      <c r="D45" s="39"/>
      <c r="E45" s="67"/>
      <c r="F45" s="43" t="s">
        <v>39</v>
      </c>
      <c r="G45" s="45"/>
      <c r="H45" s="45"/>
      <c r="I45" s="45"/>
      <c r="J45" s="45"/>
      <c r="K45" s="44"/>
      <c r="L45" s="18">
        <v>45348</v>
      </c>
      <c r="M45" s="40" t="s">
        <v>54</v>
      </c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2"/>
      <c r="AD45" s="10"/>
      <c r="AE45" s="10"/>
      <c r="AF45" s="6"/>
      <c r="AU45" s="5"/>
    </row>
    <row r="46" spans="1:66" ht="15" thickBot="1" x14ac:dyDescent="0.4">
      <c r="Z46" s="11"/>
      <c r="AA46" s="11"/>
      <c r="AB46" s="11"/>
      <c r="AC46" s="11"/>
      <c r="AD46" s="11"/>
      <c r="AE46" s="11"/>
      <c r="AF46" s="6"/>
      <c r="AU46" s="5"/>
    </row>
    <row r="47" spans="1:66" ht="14.5" customHeight="1" thickBot="1" x14ac:dyDescent="0.4">
      <c r="A47" s="27">
        <v>10918</v>
      </c>
      <c r="B47" s="1" t="s">
        <v>6</v>
      </c>
      <c r="C47" s="39" t="s">
        <v>36</v>
      </c>
      <c r="D47" s="39"/>
      <c r="E47" s="67"/>
      <c r="F47" s="43" t="s">
        <v>39</v>
      </c>
      <c r="G47" s="45"/>
      <c r="H47" s="45"/>
      <c r="I47" s="45"/>
      <c r="J47" s="45"/>
      <c r="K47" s="44"/>
      <c r="L47" s="18">
        <v>45348</v>
      </c>
      <c r="M47" s="73" t="s">
        <v>92</v>
      </c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74"/>
      <c r="BL47" s="74"/>
      <c r="BM47" s="75"/>
      <c r="BN47" s="11"/>
    </row>
    <row r="48" spans="1:66" ht="15" thickBot="1" x14ac:dyDescent="0.4">
      <c r="Z48" s="10"/>
      <c r="AA48" s="10"/>
      <c r="AB48" s="10"/>
      <c r="AC48" s="10"/>
      <c r="AD48" s="10"/>
      <c r="AE48" s="10"/>
      <c r="AF48" s="6"/>
      <c r="AU48" s="5"/>
    </row>
    <row r="49" spans="1:47" ht="14.5" customHeight="1" thickBot="1" x14ac:dyDescent="0.4">
      <c r="A49" s="27">
        <v>10923</v>
      </c>
      <c r="B49" s="1" t="s">
        <v>5</v>
      </c>
      <c r="C49" s="39" t="s">
        <v>36</v>
      </c>
      <c r="D49" s="39"/>
      <c r="E49" s="67"/>
      <c r="F49" s="43" t="s">
        <v>39</v>
      </c>
      <c r="G49" s="45"/>
      <c r="H49" s="45"/>
      <c r="I49" s="45"/>
      <c r="J49" s="45"/>
      <c r="K49" s="44"/>
      <c r="L49" s="18">
        <v>45348</v>
      </c>
      <c r="M49" s="43" t="s">
        <v>41</v>
      </c>
      <c r="N49" s="45"/>
      <c r="O49" s="45"/>
      <c r="P49" s="44"/>
      <c r="Q49" s="40" t="s">
        <v>69</v>
      </c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2"/>
      <c r="AU49" s="5"/>
    </row>
    <row r="50" spans="1:47" ht="15" thickBot="1" x14ac:dyDescent="0.4">
      <c r="AU50" s="5"/>
    </row>
    <row r="51" spans="1:47" ht="14.5" customHeight="1" thickBot="1" x14ac:dyDescent="0.4">
      <c r="A51" s="27">
        <v>10924</v>
      </c>
      <c r="B51" s="1" t="s">
        <v>5</v>
      </c>
      <c r="C51" s="39" t="s">
        <v>36</v>
      </c>
      <c r="D51" s="39"/>
      <c r="E51" s="67"/>
      <c r="F51" s="43" t="s">
        <v>39</v>
      </c>
      <c r="G51" s="45"/>
      <c r="H51" s="45"/>
      <c r="I51" s="45"/>
      <c r="J51" s="45"/>
      <c r="K51" s="44"/>
      <c r="L51" s="18">
        <v>45348</v>
      </c>
      <c r="M51" s="48" t="s">
        <v>42</v>
      </c>
      <c r="N51" s="49"/>
      <c r="O51" s="49"/>
      <c r="P51" s="49"/>
      <c r="Q51" s="49"/>
      <c r="R51" s="49"/>
      <c r="S51" s="49"/>
      <c r="T51" s="50"/>
      <c r="U51" s="40" t="s">
        <v>51</v>
      </c>
      <c r="V51" s="41"/>
      <c r="W51" s="41"/>
      <c r="X51" s="41"/>
      <c r="Y51" s="41"/>
      <c r="Z51" s="41"/>
      <c r="AA51" s="41"/>
      <c r="AB51" s="41"/>
      <c r="AC51" s="41"/>
      <c r="AD51" s="42"/>
      <c r="AE51" s="10"/>
      <c r="AF51" s="6"/>
      <c r="AU51" s="5"/>
    </row>
    <row r="52" spans="1:47" ht="15" thickBot="1" x14ac:dyDescent="0.4">
      <c r="Z52" s="11"/>
      <c r="AA52" s="11"/>
      <c r="AB52" s="11"/>
      <c r="AC52" s="11"/>
      <c r="AD52" s="11"/>
      <c r="AE52" s="11"/>
      <c r="AF52" s="6"/>
      <c r="AU52" s="5"/>
    </row>
    <row r="53" spans="1:47" ht="14.5" customHeight="1" thickBot="1" x14ac:dyDescent="0.4">
      <c r="A53" s="27">
        <v>10928</v>
      </c>
      <c r="B53" s="1" t="s">
        <v>5</v>
      </c>
      <c r="C53" s="39" t="s">
        <v>36</v>
      </c>
      <c r="D53" s="39"/>
      <c r="E53" s="67"/>
      <c r="F53" s="43" t="s">
        <v>39</v>
      </c>
      <c r="G53" s="45"/>
      <c r="H53" s="45"/>
      <c r="I53" s="45"/>
      <c r="J53" s="45"/>
      <c r="K53" s="44"/>
      <c r="L53" s="18">
        <v>45348</v>
      </c>
      <c r="M53" s="40" t="s">
        <v>51</v>
      </c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2"/>
      <c r="AU53" s="5"/>
    </row>
    <row r="54" spans="1:47" ht="15" thickBot="1" x14ac:dyDescent="0.4"/>
    <row r="55" spans="1:47" ht="14.5" customHeight="1" thickBot="1" x14ac:dyDescent="0.4">
      <c r="A55" s="27">
        <v>10934</v>
      </c>
      <c r="B55" s="1" t="s">
        <v>7</v>
      </c>
      <c r="C55" s="71">
        <v>45342</v>
      </c>
      <c r="D55" s="71"/>
      <c r="E55" s="72"/>
      <c r="F55" s="43" t="s">
        <v>40</v>
      </c>
      <c r="G55" s="45"/>
      <c r="H55" s="45"/>
      <c r="I55" s="45"/>
      <c r="J55" s="44"/>
      <c r="K55" s="40" t="s">
        <v>49</v>
      </c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2"/>
    </row>
    <row r="56" spans="1:47" ht="15" thickBot="1" x14ac:dyDescent="0.4"/>
    <row r="57" spans="1:47" ht="15" customHeight="1" thickBot="1" x14ac:dyDescent="0.4">
      <c r="A57" s="27">
        <v>10935</v>
      </c>
      <c r="B57" s="1" t="s">
        <v>7</v>
      </c>
      <c r="C57" s="71">
        <v>45342</v>
      </c>
      <c r="D57" s="71"/>
      <c r="E57" s="72"/>
      <c r="F57" s="43" t="s">
        <v>40</v>
      </c>
      <c r="G57" s="45"/>
      <c r="H57" s="45"/>
      <c r="I57" s="45"/>
      <c r="J57" s="44"/>
      <c r="K57" s="40" t="s">
        <v>50</v>
      </c>
      <c r="L57" s="41"/>
      <c r="M57" s="41"/>
      <c r="N57" s="41"/>
      <c r="O57" s="41"/>
      <c r="P57" s="41"/>
      <c r="Q57" s="41"/>
      <c r="R57" s="41"/>
      <c r="S57" s="41"/>
      <c r="T57" s="42"/>
    </row>
    <row r="58" spans="1:47" ht="15" thickBot="1" x14ac:dyDescent="0.4"/>
    <row r="59" spans="1:47" ht="15" customHeight="1" thickBot="1" x14ac:dyDescent="0.4">
      <c r="A59" s="27">
        <v>10968</v>
      </c>
      <c r="B59" s="1" t="s">
        <v>7</v>
      </c>
      <c r="C59" s="39" t="s">
        <v>44</v>
      </c>
      <c r="D59" s="39"/>
      <c r="E59" s="68" t="s">
        <v>45</v>
      </c>
      <c r="F59" s="69"/>
      <c r="G59" s="69"/>
      <c r="H59" s="69"/>
      <c r="I59" s="69"/>
      <c r="J59" s="70"/>
      <c r="K59" s="18">
        <v>45372</v>
      </c>
      <c r="L59" s="68" t="s">
        <v>67</v>
      </c>
      <c r="M59" s="69"/>
      <c r="N59" s="69"/>
      <c r="O59" s="69"/>
      <c r="P59" s="69"/>
      <c r="Q59" s="69"/>
      <c r="R59" s="69"/>
      <c r="S59" s="70"/>
      <c r="T59" s="40" t="s">
        <v>95</v>
      </c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2"/>
    </row>
    <row r="60" spans="1:47" ht="15" thickBot="1" x14ac:dyDescent="0.4"/>
    <row r="61" spans="1:47" ht="15" thickBot="1" x14ac:dyDescent="0.4">
      <c r="A61" s="27">
        <v>10970</v>
      </c>
      <c r="B61" s="1" t="s">
        <v>7</v>
      </c>
      <c r="C61" s="39" t="s">
        <v>44</v>
      </c>
      <c r="D61" s="39"/>
      <c r="E61" s="68" t="s">
        <v>46</v>
      </c>
      <c r="F61" s="69"/>
      <c r="G61" s="69"/>
      <c r="H61" s="69"/>
      <c r="I61" s="69"/>
      <c r="J61" s="69"/>
      <c r="K61" s="70"/>
      <c r="L61" s="18">
        <v>45373</v>
      </c>
      <c r="M61" s="68" t="s">
        <v>67</v>
      </c>
      <c r="N61" s="69"/>
      <c r="O61" s="69"/>
      <c r="P61" s="69"/>
      <c r="Q61" s="69"/>
      <c r="R61" s="69"/>
      <c r="S61" s="69"/>
      <c r="T61" s="70"/>
      <c r="U61" s="40" t="s">
        <v>93</v>
      </c>
      <c r="V61" s="41"/>
      <c r="W61" s="41"/>
      <c r="X61" s="41"/>
      <c r="Y61" s="41"/>
      <c r="Z61" s="41"/>
      <c r="AA61" s="41"/>
      <c r="AB61" s="41"/>
      <c r="AC61" s="42"/>
    </row>
    <row r="62" spans="1:47" ht="15" thickBot="1" x14ac:dyDescent="0.4"/>
    <row r="63" spans="1:47" ht="15" customHeight="1" thickBot="1" x14ac:dyDescent="0.4">
      <c r="A63" s="27">
        <v>10971</v>
      </c>
      <c r="B63" s="1" t="s">
        <v>7</v>
      </c>
      <c r="C63" s="39" t="s">
        <v>44</v>
      </c>
      <c r="D63" s="39"/>
      <c r="E63" s="68" t="s">
        <v>46</v>
      </c>
      <c r="F63" s="69"/>
      <c r="G63" s="69"/>
      <c r="H63" s="69"/>
      <c r="I63" s="69"/>
      <c r="J63" s="69"/>
      <c r="K63" s="18">
        <v>45372</v>
      </c>
      <c r="L63" s="68" t="s">
        <v>67</v>
      </c>
      <c r="M63" s="69"/>
      <c r="N63" s="69"/>
      <c r="O63" s="69"/>
      <c r="P63" s="69"/>
      <c r="Q63" s="69"/>
      <c r="R63" s="69"/>
      <c r="S63" s="70"/>
      <c r="T63" s="40" t="s">
        <v>93</v>
      </c>
      <c r="U63" s="41"/>
      <c r="V63" s="41"/>
      <c r="W63" s="41"/>
      <c r="X63" s="41"/>
      <c r="Y63" s="41"/>
      <c r="Z63" s="41"/>
      <c r="AA63" s="41"/>
      <c r="AB63" s="42"/>
    </row>
    <row r="64" spans="1:47" ht="15" thickBot="1" x14ac:dyDescent="0.4"/>
    <row r="65" spans="1:121" ht="15" customHeight="1" thickBot="1" x14ac:dyDescent="0.4">
      <c r="A65" s="27">
        <v>10972</v>
      </c>
      <c r="B65" s="1" t="s">
        <v>6</v>
      </c>
      <c r="C65" s="39" t="s">
        <v>44</v>
      </c>
      <c r="D65" s="39"/>
      <c r="E65" s="68" t="s">
        <v>45</v>
      </c>
      <c r="F65" s="69"/>
      <c r="G65" s="69"/>
      <c r="H65" s="69"/>
      <c r="I65" s="69"/>
      <c r="J65" s="18">
        <v>45372</v>
      </c>
      <c r="K65" s="73" t="s">
        <v>119</v>
      </c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4"/>
      <c r="AK65" s="74"/>
      <c r="AL65" s="74"/>
      <c r="AM65" s="74"/>
      <c r="AN65" s="74"/>
      <c r="AO65" s="74"/>
      <c r="AP65" s="74"/>
      <c r="AQ65" s="74"/>
      <c r="AR65" s="74"/>
      <c r="AS65" s="74"/>
      <c r="AT65" s="74"/>
      <c r="AU65" s="74"/>
      <c r="AV65" s="74"/>
      <c r="AW65" s="74"/>
      <c r="AX65" s="74"/>
      <c r="AY65" s="74"/>
      <c r="AZ65" s="74"/>
      <c r="BA65" s="74"/>
      <c r="BB65" s="74"/>
      <c r="BC65" s="74"/>
      <c r="BD65" s="74"/>
      <c r="BE65" s="74"/>
      <c r="BF65" s="74"/>
      <c r="BG65" s="74"/>
      <c r="BH65" s="74"/>
      <c r="BI65" s="74"/>
      <c r="BJ65" s="74"/>
      <c r="BK65" s="74"/>
      <c r="BL65" s="74"/>
      <c r="BM65" s="74"/>
      <c r="BN65" s="74"/>
      <c r="BO65" s="74"/>
      <c r="BP65" s="74"/>
      <c r="BQ65" s="74"/>
      <c r="BR65" s="74"/>
      <c r="BS65" s="74"/>
      <c r="BT65" s="74"/>
      <c r="BU65" s="74"/>
      <c r="BV65" s="74"/>
      <c r="BW65" s="74"/>
      <c r="BX65" s="74"/>
      <c r="BY65" s="74"/>
      <c r="BZ65" s="74"/>
      <c r="CA65" s="74"/>
      <c r="CB65" s="74"/>
      <c r="CC65" s="74"/>
      <c r="CD65" s="74"/>
      <c r="CE65" s="74"/>
      <c r="CF65" s="74"/>
      <c r="CG65" s="74"/>
      <c r="CH65" s="74"/>
      <c r="CI65" s="74"/>
      <c r="CJ65" s="74"/>
      <c r="CK65" s="74"/>
      <c r="CL65" s="74"/>
      <c r="CM65" s="74"/>
      <c r="CN65" s="74"/>
      <c r="CO65" s="74"/>
      <c r="CP65" s="74"/>
      <c r="CQ65" s="74"/>
      <c r="CR65" s="74"/>
      <c r="CS65" s="74"/>
      <c r="CT65" s="74"/>
      <c r="CU65" s="74"/>
      <c r="CV65" s="74"/>
      <c r="CW65" s="74"/>
      <c r="CX65" s="74"/>
      <c r="CY65" s="74"/>
      <c r="CZ65" s="75"/>
    </row>
    <row r="66" spans="1:121" ht="15" thickBot="1" x14ac:dyDescent="0.4"/>
    <row r="67" spans="1:121" ht="15" customHeight="1" thickBot="1" x14ac:dyDescent="0.4">
      <c r="A67" s="27">
        <v>10973</v>
      </c>
      <c r="B67" s="1" t="s">
        <v>7</v>
      </c>
      <c r="C67" s="39" t="s">
        <v>44</v>
      </c>
      <c r="D67" s="39"/>
      <c r="E67" s="68" t="s">
        <v>46</v>
      </c>
      <c r="F67" s="69"/>
      <c r="G67" s="69"/>
      <c r="H67" s="69"/>
      <c r="I67" s="69"/>
      <c r="J67" s="69"/>
      <c r="K67" s="70"/>
      <c r="L67" s="18">
        <v>45373</v>
      </c>
      <c r="M67" s="68" t="s">
        <v>67</v>
      </c>
      <c r="N67" s="69"/>
      <c r="O67" s="69"/>
      <c r="P67" s="69"/>
      <c r="Q67" s="69"/>
      <c r="R67" s="69"/>
      <c r="S67" s="69"/>
      <c r="T67" s="69"/>
      <c r="U67" s="40" t="s">
        <v>94</v>
      </c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2"/>
      <c r="AM67" s="11"/>
      <c r="AN67" s="11"/>
      <c r="AO67" s="11"/>
      <c r="AP67" s="11"/>
      <c r="AQ67" s="11"/>
      <c r="AR67" s="11"/>
      <c r="AS67" s="11"/>
      <c r="AT67" s="11"/>
    </row>
    <row r="68" spans="1:121" ht="15" thickBot="1" x14ac:dyDescent="0.4"/>
    <row r="69" spans="1:121" ht="15" thickBot="1" x14ac:dyDescent="0.4">
      <c r="A69" s="27">
        <v>10994</v>
      </c>
      <c r="B69" s="1" t="s">
        <v>7</v>
      </c>
      <c r="C69" s="39" t="s">
        <v>55</v>
      </c>
      <c r="D69" s="39"/>
      <c r="E69" s="68" t="s">
        <v>56</v>
      </c>
      <c r="F69" s="69"/>
      <c r="G69" s="69"/>
      <c r="H69" s="70"/>
      <c r="I69" s="68" t="s">
        <v>57</v>
      </c>
      <c r="J69" s="69"/>
      <c r="K69" s="70"/>
      <c r="L69" s="40" t="s">
        <v>71</v>
      </c>
      <c r="M69" s="41"/>
      <c r="N69" s="41"/>
      <c r="O69" s="41"/>
      <c r="P69" s="41"/>
      <c r="Q69" s="41"/>
      <c r="R69" s="41"/>
      <c r="S69" s="41"/>
      <c r="T69" s="41"/>
      <c r="U69" s="41"/>
      <c r="V69" s="42"/>
    </row>
    <row r="70" spans="1:121" ht="15" thickBot="1" x14ac:dyDescent="0.4"/>
    <row r="71" spans="1:121" ht="14.5" customHeight="1" thickBot="1" x14ac:dyDescent="0.4">
      <c r="A71" s="27">
        <v>10995</v>
      </c>
      <c r="B71" s="1" t="s">
        <v>7</v>
      </c>
      <c r="C71" s="39" t="s">
        <v>55</v>
      </c>
      <c r="D71" s="39"/>
      <c r="E71" s="68" t="s">
        <v>68</v>
      </c>
      <c r="F71" s="69"/>
      <c r="G71" s="69"/>
      <c r="H71" s="69"/>
      <c r="I71" s="70"/>
      <c r="J71" s="68" t="s">
        <v>57</v>
      </c>
      <c r="K71" s="69"/>
      <c r="L71" s="70"/>
      <c r="M71" s="40" t="s">
        <v>71</v>
      </c>
      <c r="N71" s="41"/>
      <c r="O71" s="41"/>
      <c r="P71" s="41"/>
      <c r="Q71" s="41"/>
      <c r="R71" s="41"/>
      <c r="S71" s="41"/>
      <c r="T71" s="41"/>
      <c r="U71" s="41"/>
      <c r="V71" s="41"/>
      <c r="W71" s="42"/>
    </row>
    <row r="72" spans="1:121" ht="15" thickBot="1" x14ac:dyDescent="0.4"/>
    <row r="73" spans="1:121" ht="15" thickBot="1" x14ac:dyDescent="0.4">
      <c r="A73" s="27">
        <v>11012</v>
      </c>
      <c r="B73" s="1" t="s">
        <v>7</v>
      </c>
      <c r="C73" s="23">
        <v>45386</v>
      </c>
      <c r="D73" s="40" t="s">
        <v>96</v>
      </c>
      <c r="E73" s="41"/>
      <c r="F73" s="41"/>
      <c r="G73" s="41"/>
      <c r="H73" s="41"/>
      <c r="I73" s="41"/>
      <c r="J73" s="41"/>
      <c r="K73" s="41"/>
      <c r="L73" s="41"/>
      <c r="M73" s="41"/>
      <c r="N73" s="42"/>
    </row>
    <row r="74" spans="1:121" ht="15" thickBot="1" x14ac:dyDescent="0.4"/>
    <row r="75" spans="1:121" ht="14.5" customHeight="1" thickBot="1" x14ac:dyDescent="0.4">
      <c r="A75" s="27">
        <v>11042</v>
      </c>
      <c r="B75" s="1" t="s">
        <v>6</v>
      </c>
      <c r="C75" s="79" t="s">
        <v>75</v>
      </c>
      <c r="D75" s="80"/>
      <c r="E75" s="80"/>
      <c r="F75" s="80"/>
      <c r="G75" s="80"/>
      <c r="H75" s="81"/>
      <c r="I75" s="51" t="s">
        <v>76</v>
      </c>
      <c r="J75" s="52"/>
      <c r="K75" s="52"/>
      <c r="L75" s="52"/>
      <c r="M75" s="52"/>
      <c r="N75" s="82"/>
      <c r="O75" s="73" t="s">
        <v>142</v>
      </c>
      <c r="P75" s="74"/>
      <c r="Q75" s="74"/>
      <c r="R75" s="74"/>
      <c r="S75" s="74"/>
      <c r="T75" s="74"/>
      <c r="U75" s="74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4"/>
      <c r="AT75" s="74"/>
      <c r="AU75" s="74"/>
      <c r="AV75" s="74"/>
      <c r="AW75" s="74"/>
      <c r="AX75" s="74"/>
      <c r="AY75" s="74"/>
      <c r="AZ75" s="74"/>
      <c r="BA75" s="74"/>
      <c r="BB75" s="74"/>
      <c r="BC75" s="74"/>
      <c r="BD75" s="74"/>
      <c r="BE75" s="74"/>
      <c r="BF75" s="74"/>
      <c r="BG75" s="74"/>
      <c r="BH75" s="74"/>
      <c r="BI75" s="74"/>
      <c r="BJ75" s="74"/>
      <c r="BK75" s="74"/>
      <c r="BL75" s="74"/>
      <c r="BM75" s="74"/>
      <c r="BN75" s="74"/>
      <c r="BO75" s="74"/>
      <c r="BP75" s="74"/>
      <c r="BQ75" s="74"/>
      <c r="BR75" s="74"/>
      <c r="BS75" s="74"/>
      <c r="BT75" s="74"/>
      <c r="BU75" s="74"/>
      <c r="BV75" s="74"/>
      <c r="BW75" s="74"/>
      <c r="BX75" s="74"/>
      <c r="BY75" s="74"/>
      <c r="BZ75" s="74"/>
      <c r="CA75" s="74"/>
      <c r="CB75" s="74"/>
      <c r="CC75" s="74"/>
      <c r="CD75" s="74"/>
      <c r="CE75" s="74"/>
      <c r="CF75" s="74"/>
      <c r="CG75" s="74"/>
      <c r="CH75" s="74"/>
      <c r="CI75" s="74"/>
      <c r="CJ75" s="74"/>
      <c r="CK75" s="74"/>
      <c r="CL75" s="74"/>
      <c r="CM75" s="74"/>
      <c r="CN75" s="74"/>
      <c r="CO75" s="74"/>
      <c r="CP75" s="74"/>
      <c r="CQ75" s="74"/>
      <c r="CR75" s="74"/>
      <c r="CS75" s="74"/>
      <c r="CT75" s="74"/>
      <c r="CU75" s="74"/>
      <c r="CV75" s="74"/>
      <c r="CW75" s="74"/>
      <c r="CX75" s="74"/>
      <c r="CY75" s="74"/>
      <c r="CZ75" s="74"/>
      <c r="DA75" s="74"/>
      <c r="DB75" s="74"/>
      <c r="DC75" s="74"/>
      <c r="DD75" s="74"/>
      <c r="DE75" s="74"/>
      <c r="DF75" s="74"/>
      <c r="DG75" s="74"/>
      <c r="DH75" s="74"/>
      <c r="DI75" s="74"/>
      <c r="DJ75" s="74"/>
      <c r="DK75" s="74"/>
      <c r="DL75" s="74"/>
      <c r="DM75" s="74"/>
      <c r="DN75" s="74"/>
      <c r="DO75" s="74"/>
      <c r="DP75" s="74"/>
      <c r="DQ75" s="75"/>
    </row>
    <row r="76" spans="1:121" ht="15" thickBot="1" x14ac:dyDescent="0.4"/>
    <row r="77" spans="1:121" ht="14.5" customHeight="1" thickBot="1" x14ac:dyDescent="0.4">
      <c r="A77" s="27">
        <v>11047</v>
      </c>
      <c r="B77" s="1" t="s">
        <v>5</v>
      </c>
      <c r="C77" s="39" t="s">
        <v>70</v>
      </c>
      <c r="D77" s="39"/>
      <c r="E77" s="39"/>
      <c r="F77" s="68" t="s">
        <v>72</v>
      </c>
      <c r="G77" s="69"/>
      <c r="H77" s="69"/>
      <c r="I77" s="69"/>
      <c r="J77" s="69"/>
      <c r="K77" s="51" t="s">
        <v>74</v>
      </c>
      <c r="L77" s="52"/>
      <c r="M77" s="52"/>
      <c r="N77" s="68" t="s">
        <v>77</v>
      </c>
      <c r="O77" s="69"/>
      <c r="P77" s="70"/>
      <c r="Q77" s="83" t="s">
        <v>97</v>
      </c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5"/>
    </row>
    <row r="78" spans="1:121" ht="15" thickBot="1" x14ac:dyDescent="0.4"/>
    <row r="79" spans="1:121" ht="14.5" customHeight="1" thickBot="1" x14ac:dyDescent="0.4">
      <c r="A79" s="27">
        <v>11048</v>
      </c>
      <c r="B79" s="1" t="s">
        <v>5</v>
      </c>
      <c r="C79" s="39" t="s">
        <v>70</v>
      </c>
      <c r="D79" s="39"/>
      <c r="E79" s="39"/>
      <c r="F79" s="68" t="s">
        <v>72</v>
      </c>
      <c r="G79" s="69"/>
      <c r="H79" s="69"/>
      <c r="I79" s="69"/>
      <c r="J79" s="69"/>
      <c r="K79" s="51" t="s">
        <v>74</v>
      </c>
      <c r="L79" s="52"/>
      <c r="M79" s="82"/>
      <c r="N79" s="68" t="s">
        <v>77</v>
      </c>
      <c r="O79" s="69"/>
      <c r="P79" s="70"/>
      <c r="Q79" s="83" t="s">
        <v>97</v>
      </c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5"/>
    </row>
    <row r="80" spans="1:121" ht="15" thickBot="1" x14ac:dyDescent="0.4"/>
    <row r="81" spans="1:39" ht="14.5" customHeight="1" thickBot="1" x14ac:dyDescent="0.4">
      <c r="A81" s="27">
        <v>11049</v>
      </c>
      <c r="B81" s="1" t="s">
        <v>5</v>
      </c>
      <c r="C81" s="39" t="s">
        <v>70</v>
      </c>
      <c r="D81" s="39"/>
      <c r="E81" s="39"/>
      <c r="F81" s="68" t="s">
        <v>72</v>
      </c>
      <c r="G81" s="69"/>
      <c r="H81" s="69"/>
      <c r="I81" s="69"/>
      <c r="J81" s="69"/>
      <c r="K81" s="51" t="s">
        <v>74</v>
      </c>
      <c r="L81" s="52"/>
      <c r="M81" s="52"/>
      <c r="N81" s="68" t="s">
        <v>79</v>
      </c>
      <c r="O81" s="69"/>
      <c r="P81" s="69"/>
      <c r="Q81" s="69"/>
      <c r="R81" s="69"/>
      <c r="S81" s="70"/>
      <c r="T81" s="40" t="s">
        <v>100</v>
      </c>
      <c r="U81" s="41"/>
      <c r="V81" s="41"/>
      <c r="W81" s="41"/>
      <c r="X81" s="41"/>
      <c r="Y81" s="41"/>
      <c r="Z81" s="41"/>
      <c r="AA81" s="41"/>
      <c r="AB81" s="41"/>
      <c r="AC81" s="41"/>
      <c r="AD81" s="42"/>
    </row>
    <row r="82" spans="1:39" ht="15" thickBot="1" x14ac:dyDescent="0.4"/>
    <row r="83" spans="1:39" ht="15" customHeight="1" thickBot="1" x14ac:dyDescent="0.4">
      <c r="A83" s="27">
        <v>11061</v>
      </c>
      <c r="B83" s="1" t="s">
        <v>5</v>
      </c>
      <c r="C83" s="39" t="s">
        <v>70</v>
      </c>
      <c r="D83" s="39"/>
      <c r="E83" s="39"/>
      <c r="F83" s="68" t="s">
        <v>73</v>
      </c>
      <c r="G83" s="69"/>
      <c r="H83" s="69"/>
      <c r="I83" s="69"/>
      <c r="J83" s="69"/>
      <c r="K83" s="69"/>
      <c r="L83" s="70"/>
      <c r="M83" s="18">
        <v>45412</v>
      </c>
      <c r="N83" s="57" t="s">
        <v>98</v>
      </c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40" t="s">
        <v>106</v>
      </c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2"/>
    </row>
    <row r="84" spans="1:39" ht="15" thickBot="1" x14ac:dyDescent="0.4"/>
    <row r="85" spans="1:39" ht="14.5" customHeight="1" thickBot="1" x14ac:dyDescent="0.4">
      <c r="A85" s="27">
        <v>11045</v>
      </c>
      <c r="B85" s="1" t="s">
        <v>5</v>
      </c>
      <c r="C85" s="24" t="s">
        <v>78</v>
      </c>
      <c r="D85" s="68" t="s">
        <v>82</v>
      </c>
      <c r="E85" s="69"/>
      <c r="F85" s="69"/>
      <c r="G85" s="69"/>
      <c r="H85" s="70"/>
      <c r="I85" s="18">
        <v>45434</v>
      </c>
      <c r="J85" s="57" t="s">
        <v>87</v>
      </c>
      <c r="K85" s="58"/>
      <c r="L85" s="58"/>
      <c r="M85" s="58"/>
      <c r="N85" s="58"/>
      <c r="O85" s="58"/>
      <c r="P85" s="58"/>
      <c r="Q85" s="58"/>
      <c r="R85" s="40" t="s">
        <v>107</v>
      </c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2"/>
    </row>
    <row r="86" spans="1:39" ht="15" thickBot="1" x14ac:dyDescent="0.4"/>
    <row r="87" spans="1:39" ht="15" thickBot="1" x14ac:dyDescent="0.4">
      <c r="A87" s="27">
        <v>11077</v>
      </c>
      <c r="B87" s="1" t="s">
        <v>7</v>
      </c>
      <c r="C87" s="25">
        <v>45425</v>
      </c>
      <c r="D87" s="40" t="s">
        <v>91</v>
      </c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2"/>
    </row>
    <row r="88" spans="1:39" ht="15" thickBot="1" x14ac:dyDescent="0.4"/>
    <row r="89" spans="1:39" ht="15" thickBot="1" x14ac:dyDescent="0.4">
      <c r="A89" s="27">
        <v>11078</v>
      </c>
      <c r="B89" s="1" t="s">
        <v>7</v>
      </c>
      <c r="C89" s="23">
        <v>45427</v>
      </c>
      <c r="D89" s="68" t="s">
        <v>84</v>
      </c>
      <c r="E89" s="69"/>
      <c r="F89" s="69"/>
      <c r="G89" s="69"/>
      <c r="H89" s="69"/>
      <c r="I89" s="69"/>
      <c r="J89" s="69"/>
      <c r="K89" s="70"/>
      <c r="L89" s="68" t="s">
        <v>86</v>
      </c>
      <c r="M89" s="69"/>
      <c r="N89" s="69"/>
      <c r="O89" s="70"/>
      <c r="P89" s="40" t="s">
        <v>112</v>
      </c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2"/>
    </row>
    <row r="90" spans="1:39" ht="15" thickBot="1" x14ac:dyDescent="0.4"/>
    <row r="91" spans="1:39" ht="15" thickBot="1" x14ac:dyDescent="0.4">
      <c r="A91" s="27">
        <v>11079</v>
      </c>
      <c r="B91" s="1" t="s">
        <v>7</v>
      </c>
      <c r="C91" s="23">
        <v>45427</v>
      </c>
      <c r="D91" s="68" t="s">
        <v>84</v>
      </c>
      <c r="E91" s="69"/>
      <c r="F91" s="69"/>
      <c r="G91" s="69"/>
      <c r="H91" s="69"/>
      <c r="I91" s="69"/>
      <c r="J91" s="69"/>
      <c r="K91" s="70"/>
      <c r="L91" s="68" t="s">
        <v>86</v>
      </c>
      <c r="M91" s="69"/>
      <c r="N91" s="69"/>
      <c r="O91" s="70"/>
      <c r="P91" s="40" t="s">
        <v>112</v>
      </c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2"/>
    </row>
    <row r="92" spans="1:39" ht="15" thickBot="1" x14ac:dyDescent="0.4"/>
    <row r="93" spans="1:39" ht="15" customHeight="1" thickBot="1" x14ac:dyDescent="0.4">
      <c r="A93" s="1">
        <v>11093</v>
      </c>
      <c r="B93" s="1" t="s">
        <v>6</v>
      </c>
      <c r="C93" s="24" t="s">
        <v>78</v>
      </c>
      <c r="D93" s="68" t="s">
        <v>81</v>
      </c>
      <c r="E93" s="69"/>
      <c r="F93" s="69"/>
      <c r="G93" s="69"/>
      <c r="H93" s="69"/>
      <c r="I93" s="61" t="s">
        <v>90</v>
      </c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3"/>
    </row>
    <row r="94" spans="1:39" ht="15" thickBot="1" x14ac:dyDescent="0.4"/>
    <row r="95" spans="1:39" ht="15.65" customHeight="1" thickBot="1" x14ac:dyDescent="0.4">
      <c r="A95" s="27">
        <v>11073</v>
      </c>
      <c r="B95" s="1" t="s">
        <v>6</v>
      </c>
      <c r="C95" s="25">
        <v>45418</v>
      </c>
      <c r="D95" s="68" t="s">
        <v>80</v>
      </c>
      <c r="E95" s="69"/>
      <c r="F95" s="69"/>
      <c r="G95" s="69"/>
      <c r="H95" s="69"/>
      <c r="I95" s="69"/>
      <c r="J95" s="69"/>
      <c r="K95" s="73" t="s">
        <v>108</v>
      </c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5"/>
    </row>
    <row r="96" spans="1:39" ht="15" thickBot="1" x14ac:dyDescent="0.4"/>
    <row r="97" spans="1:40" ht="15" thickBot="1" x14ac:dyDescent="0.4">
      <c r="A97" s="27">
        <v>11072</v>
      </c>
      <c r="B97" s="1" t="s">
        <v>6</v>
      </c>
      <c r="C97" s="25">
        <v>45418</v>
      </c>
      <c r="D97" s="43" t="s">
        <v>83</v>
      </c>
      <c r="E97" s="45"/>
      <c r="F97" s="45"/>
      <c r="G97" s="45"/>
      <c r="H97" s="45"/>
      <c r="I97" s="45"/>
      <c r="J97" s="45"/>
      <c r="K97" s="45"/>
      <c r="L97" s="45"/>
      <c r="M97" s="45"/>
      <c r="N97" s="73" t="s">
        <v>109</v>
      </c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5"/>
    </row>
    <row r="98" spans="1:40" ht="15" thickBot="1" x14ac:dyDescent="0.4"/>
    <row r="99" spans="1:40" ht="15" thickBot="1" x14ac:dyDescent="0.4">
      <c r="A99" s="1">
        <v>11102</v>
      </c>
      <c r="B99" s="1" t="s">
        <v>6</v>
      </c>
      <c r="C99" s="23">
        <v>45435</v>
      </c>
      <c r="D99" s="43" t="s">
        <v>85</v>
      </c>
      <c r="E99" s="45"/>
      <c r="F99" s="45"/>
      <c r="G99" s="45"/>
      <c r="H99" s="45"/>
      <c r="I99" s="45"/>
      <c r="J99" s="61" t="s">
        <v>89</v>
      </c>
      <c r="K99" s="62"/>
      <c r="L99" s="62"/>
      <c r="M99" s="62"/>
      <c r="N99" s="62"/>
      <c r="O99" s="63"/>
    </row>
    <row r="100" spans="1:40" ht="15" thickBot="1" x14ac:dyDescent="0.4"/>
    <row r="101" spans="1:40" ht="15" thickBot="1" x14ac:dyDescent="0.4">
      <c r="A101" s="27">
        <v>11105</v>
      </c>
      <c r="B101" s="1" t="s">
        <v>5</v>
      </c>
      <c r="C101" s="23">
        <v>45440</v>
      </c>
      <c r="D101" s="68" t="s">
        <v>88</v>
      </c>
      <c r="E101" s="69"/>
      <c r="F101" s="69"/>
      <c r="G101" s="69"/>
      <c r="H101" s="69"/>
      <c r="I101" s="69"/>
      <c r="J101" s="69"/>
      <c r="K101" s="70"/>
      <c r="L101" s="28">
        <v>45453</v>
      </c>
      <c r="M101" s="57" t="s">
        <v>115</v>
      </c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  <c r="AG101" s="58"/>
      <c r="AH101" s="40" t="s">
        <v>120</v>
      </c>
      <c r="AI101" s="41"/>
      <c r="AJ101" s="41"/>
      <c r="AK101" s="41"/>
      <c r="AL101" s="41"/>
      <c r="AM101" s="41"/>
      <c r="AN101" s="42"/>
    </row>
    <row r="102" spans="1:40" ht="15" thickBot="1" x14ac:dyDescent="0.4"/>
    <row r="103" spans="1:40" ht="15" thickBot="1" x14ac:dyDescent="0.4">
      <c r="A103" s="27">
        <v>11126</v>
      </c>
      <c r="B103" s="1" t="s">
        <v>5</v>
      </c>
      <c r="C103" s="23">
        <v>45449</v>
      </c>
      <c r="D103" s="68" t="s">
        <v>114</v>
      </c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70"/>
      <c r="P103" s="40" t="s">
        <v>121</v>
      </c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2"/>
    </row>
    <row r="104" spans="1:40" ht="15" thickBot="1" x14ac:dyDescent="0.4"/>
    <row r="105" spans="1:40" ht="15" customHeight="1" thickBot="1" x14ac:dyDescent="0.4">
      <c r="A105" s="27">
        <v>11120</v>
      </c>
      <c r="B105" s="1" t="s">
        <v>7</v>
      </c>
      <c r="C105" s="23">
        <v>45448</v>
      </c>
      <c r="D105" s="86" t="s">
        <v>111</v>
      </c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7"/>
      <c r="Q105" s="40" t="s">
        <v>110</v>
      </c>
      <c r="R105" s="41"/>
      <c r="S105" s="41"/>
      <c r="T105" s="41"/>
      <c r="U105" s="42"/>
    </row>
    <row r="106" spans="1:40" ht="15" thickBot="1" x14ac:dyDescent="0.4"/>
    <row r="107" spans="1:40" ht="15" thickBot="1" x14ac:dyDescent="0.4">
      <c r="A107" s="27">
        <v>11144</v>
      </c>
      <c r="B107" s="1" t="s">
        <v>5</v>
      </c>
      <c r="C107" s="23">
        <v>45456</v>
      </c>
      <c r="D107" s="68" t="s">
        <v>105</v>
      </c>
      <c r="E107" s="69"/>
      <c r="F107" s="69"/>
      <c r="G107" s="69"/>
      <c r="H107" s="69"/>
      <c r="I107" s="69"/>
      <c r="J107" s="69"/>
      <c r="K107" s="69"/>
      <c r="L107" s="69"/>
      <c r="M107" s="70"/>
      <c r="N107" s="26">
        <v>45470</v>
      </c>
      <c r="O107" s="57" t="s">
        <v>116</v>
      </c>
      <c r="P107" s="58"/>
      <c r="Q107" s="58"/>
      <c r="R107" s="58"/>
      <c r="S107" s="58"/>
      <c r="T107" s="58"/>
      <c r="U107" s="58"/>
      <c r="V107" s="58"/>
      <c r="W107" s="58"/>
      <c r="X107" s="58"/>
      <c r="Y107" s="40" t="s">
        <v>120</v>
      </c>
      <c r="Z107" s="41"/>
      <c r="AA107" s="41"/>
      <c r="AB107" s="41"/>
      <c r="AC107" s="42"/>
    </row>
    <row r="108" spans="1:40" ht="15" thickBot="1" x14ac:dyDescent="0.4"/>
    <row r="109" spans="1:40" ht="15" customHeight="1" thickBot="1" x14ac:dyDescent="0.4">
      <c r="A109" s="27">
        <v>11150</v>
      </c>
      <c r="B109" s="1" t="s">
        <v>5</v>
      </c>
      <c r="C109" s="23">
        <v>45457</v>
      </c>
      <c r="D109" s="68" t="s">
        <v>117</v>
      </c>
      <c r="E109" s="69"/>
      <c r="F109" s="69"/>
      <c r="G109" s="69"/>
      <c r="H109" s="69"/>
      <c r="I109" s="69"/>
      <c r="J109" s="69"/>
      <c r="K109" s="69"/>
      <c r="L109" s="70"/>
      <c r="M109" s="28">
        <v>45470</v>
      </c>
      <c r="N109" s="57" t="s">
        <v>113</v>
      </c>
      <c r="O109" s="58"/>
      <c r="P109" s="58"/>
      <c r="Q109" s="58"/>
      <c r="R109" s="58"/>
      <c r="S109" s="58"/>
      <c r="T109" s="58"/>
      <c r="U109" s="58"/>
      <c r="V109" s="58"/>
      <c r="W109" s="40" t="s">
        <v>120</v>
      </c>
      <c r="X109" s="41"/>
      <c r="Y109" s="41"/>
      <c r="Z109" s="41"/>
      <c r="AA109" s="41"/>
      <c r="AB109" s="42"/>
    </row>
    <row r="110" spans="1:40" ht="15" thickBot="1" x14ac:dyDescent="0.4"/>
    <row r="111" spans="1:40" ht="15" customHeight="1" thickBot="1" x14ac:dyDescent="0.4">
      <c r="A111" s="27">
        <v>11151</v>
      </c>
      <c r="B111" s="1" t="s">
        <v>5</v>
      </c>
      <c r="C111" s="23">
        <v>45457</v>
      </c>
      <c r="D111" s="68" t="s">
        <v>117</v>
      </c>
      <c r="E111" s="69"/>
      <c r="F111" s="69"/>
      <c r="G111" s="69"/>
      <c r="H111" s="69"/>
      <c r="I111" s="69"/>
      <c r="J111" s="69"/>
      <c r="K111" s="69"/>
      <c r="L111" s="70"/>
      <c r="M111" s="28">
        <v>45470</v>
      </c>
      <c r="N111" s="68" t="s">
        <v>122</v>
      </c>
      <c r="O111" s="69"/>
      <c r="P111" s="69"/>
      <c r="Q111" s="69"/>
      <c r="R111" s="69"/>
      <c r="S111" s="70"/>
      <c r="T111" s="40" t="s">
        <v>120</v>
      </c>
      <c r="U111" s="41"/>
      <c r="V111" s="41"/>
      <c r="W111" s="41"/>
      <c r="X111" s="41"/>
      <c r="Y111" s="41"/>
      <c r="Z111" s="42"/>
    </row>
    <row r="112" spans="1:40" ht="15" thickBot="1" x14ac:dyDescent="0.4"/>
    <row r="113" spans="1:45" ht="15" customHeight="1" thickBot="1" x14ac:dyDescent="0.4">
      <c r="A113" s="27">
        <v>11152</v>
      </c>
      <c r="B113" s="1" t="s">
        <v>5</v>
      </c>
      <c r="C113" s="23">
        <v>45457</v>
      </c>
      <c r="D113" s="68" t="s">
        <v>117</v>
      </c>
      <c r="E113" s="69"/>
      <c r="F113" s="69"/>
      <c r="G113" s="69"/>
      <c r="H113" s="69"/>
      <c r="I113" s="69"/>
      <c r="J113" s="69"/>
      <c r="K113" s="69"/>
      <c r="L113" s="70"/>
      <c r="M113" s="28">
        <v>45470</v>
      </c>
      <c r="N113" s="57" t="s">
        <v>116</v>
      </c>
      <c r="O113" s="58"/>
      <c r="P113" s="58"/>
      <c r="Q113" s="58"/>
      <c r="R113" s="58"/>
      <c r="S113" s="58"/>
      <c r="T113" s="58"/>
      <c r="U113" s="58"/>
      <c r="V113" s="58"/>
      <c r="W113" s="59"/>
      <c r="X113" s="40" t="s">
        <v>123</v>
      </c>
      <c r="Y113" s="41"/>
      <c r="Z113" s="41"/>
      <c r="AA113" s="41"/>
      <c r="AB113" s="41"/>
      <c r="AC113" s="41"/>
      <c r="AD113" s="42"/>
    </row>
    <row r="114" spans="1:45" ht="15" thickBot="1" x14ac:dyDescent="0.4"/>
    <row r="115" spans="1:45" ht="15" customHeight="1" thickBot="1" x14ac:dyDescent="0.4">
      <c r="A115" s="27">
        <v>11191</v>
      </c>
      <c r="B115" s="1" t="s">
        <v>7</v>
      </c>
      <c r="C115" s="23">
        <v>45477</v>
      </c>
      <c r="D115" s="40" t="s">
        <v>124</v>
      </c>
      <c r="E115" s="41"/>
      <c r="F115" s="41"/>
      <c r="G115" s="41"/>
      <c r="H115" s="41"/>
      <c r="I115" s="41"/>
      <c r="J115" s="41"/>
      <c r="K115" s="41"/>
      <c r="L115" s="42"/>
    </row>
    <row r="116" spans="1:45" ht="15" thickBot="1" x14ac:dyDescent="0.4"/>
    <row r="117" spans="1:45" ht="15" thickBot="1" x14ac:dyDescent="0.4">
      <c r="A117" s="27">
        <v>11193</v>
      </c>
      <c r="B117" s="1" t="s">
        <v>7</v>
      </c>
      <c r="C117" s="23">
        <v>45477</v>
      </c>
      <c r="D117" s="40" t="s">
        <v>124</v>
      </c>
      <c r="E117" s="41"/>
      <c r="F117" s="41"/>
      <c r="G117" s="41"/>
      <c r="H117" s="41"/>
      <c r="I117" s="41"/>
      <c r="J117" s="41"/>
      <c r="K117" s="41"/>
      <c r="L117" s="42"/>
    </row>
    <row r="118" spans="1:45" ht="15" thickBot="1" x14ac:dyDescent="0.4"/>
    <row r="119" spans="1:45" ht="15" thickBot="1" x14ac:dyDescent="0.4">
      <c r="A119" s="27">
        <v>11194</v>
      </c>
      <c r="B119" s="1" t="s">
        <v>7</v>
      </c>
      <c r="C119" s="23">
        <v>45477</v>
      </c>
      <c r="D119" s="40" t="s">
        <v>124</v>
      </c>
      <c r="E119" s="41"/>
      <c r="F119" s="41"/>
      <c r="G119" s="41"/>
      <c r="H119" s="41"/>
      <c r="I119" s="41"/>
      <c r="J119" s="41"/>
      <c r="K119" s="41"/>
      <c r="L119" s="42"/>
    </row>
    <row r="120" spans="1:45" ht="15" thickBot="1" x14ac:dyDescent="0.4"/>
    <row r="121" spans="1:45" ht="15" customHeight="1" thickBot="1" x14ac:dyDescent="0.4">
      <c r="A121" s="27">
        <v>11224</v>
      </c>
      <c r="B121" s="1" t="s">
        <v>5</v>
      </c>
      <c r="C121" s="23">
        <v>45489</v>
      </c>
      <c r="D121" s="40" t="s">
        <v>124</v>
      </c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2"/>
    </row>
    <row r="122" spans="1:45" ht="15" thickBot="1" x14ac:dyDescent="0.4"/>
    <row r="123" spans="1:45" ht="15" customHeight="1" thickBot="1" x14ac:dyDescent="0.4">
      <c r="A123" s="27">
        <v>11226</v>
      </c>
      <c r="B123" s="1" t="s">
        <v>5</v>
      </c>
      <c r="C123" s="23">
        <v>45490</v>
      </c>
      <c r="D123" s="40" t="s">
        <v>125</v>
      </c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2"/>
    </row>
    <row r="124" spans="1:45" ht="15" thickBot="1" x14ac:dyDescent="0.4"/>
    <row r="125" spans="1:45" ht="15" customHeight="1" thickBot="1" x14ac:dyDescent="0.4">
      <c r="A125" s="27">
        <v>11218</v>
      </c>
      <c r="B125" s="1" t="s">
        <v>5</v>
      </c>
      <c r="C125" s="23">
        <v>45483</v>
      </c>
      <c r="D125" s="57" t="s">
        <v>118</v>
      </c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9"/>
      <c r="R125" s="28">
        <v>45503</v>
      </c>
      <c r="S125" s="73" t="s">
        <v>129</v>
      </c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5"/>
    </row>
    <row r="126" spans="1:45" ht="15" thickBot="1" x14ac:dyDescent="0.4"/>
    <row r="127" spans="1:45" ht="15" thickBot="1" x14ac:dyDescent="0.4">
      <c r="A127" s="27">
        <v>11219</v>
      </c>
      <c r="B127" s="1" t="s">
        <v>5</v>
      </c>
      <c r="C127" s="23">
        <v>45483</v>
      </c>
      <c r="D127" s="57" t="s">
        <v>118</v>
      </c>
      <c r="E127" s="58"/>
      <c r="F127" s="58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9"/>
      <c r="R127" s="28">
        <v>45503</v>
      </c>
      <c r="S127" s="48" t="s">
        <v>139</v>
      </c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0" t="s">
        <v>140</v>
      </c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2"/>
    </row>
    <row r="128" spans="1:45" ht="15" thickBot="1" x14ac:dyDescent="0.4"/>
    <row r="129" spans="1:63" ht="14.5" customHeight="1" thickBot="1" x14ac:dyDescent="0.4">
      <c r="A129" s="27">
        <v>11233</v>
      </c>
      <c r="B129" s="1" t="s">
        <v>5</v>
      </c>
      <c r="C129" s="25">
        <v>45496</v>
      </c>
      <c r="D129" s="60" t="s">
        <v>130</v>
      </c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60"/>
      <c r="AB129" s="60"/>
      <c r="AC129" s="60"/>
      <c r="AD129" s="60"/>
      <c r="AE129" s="60"/>
    </row>
    <row r="130" spans="1:63" ht="15" thickBot="1" x14ac:dyDescent="0.4"/>
    <row r="131" spans="1:63" ht="15" thickBot="1" x14ac:dyDescent="0.4">
      <c r="A131" s="27">
        <v>11234</v>
      </c>
      <c r="B131" s="1" t="s">
        <v>5</v>
      </c>
      <c r="C131" s="25">
        <v>45496</v>
      </c>
      <c r="D131" s="60" t="s">
        <v>130</v>
      </c>
      <c r="E131" s="60"/>
      <c r="F131" s="60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60"/>
      <c r="AB131" s="60"/>
      <c r="AC131" s="60"/>
      <c r="AD131" s="60"/>
      <c r="AE131" s="60"/>
    </row>
    <row r="132" spans="1:63" ht="15" thickBot="1" x14ac:dyDescent="0.4"/>
    <row r="133" spans="1:63" ht="15" thickBot="1" x14ac:dyDescent="0.4">
      <c r="A133" s="27">
        <v>11264</v>
      </c>
      <c r="B133" s="1" t="s">
        <v>6</v>
      </c>
      <c r="C133" s="25">
        <v>45510</v>
      </c>
      <c r="D133" s="66" t="s">
        <v>134</v>
      </c>
      <c r="E133" s="60"/>
      <c r="F133" s="60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  <c r="AA133" s="60"/>
      <c r="AB133" s="60"/>
      <c r="AC133" s="60"/>
      <c r="AD133" s="60"/>
      <c r="AE133" s="60"/>
      <c r="AF133" s="60"/>
      <c r="AG133" s="60"/>
      <c r="AH133" s="60"/>
      <c r="AI133" s="60"/>
      <c r="AJ133" s="60"/>
      <c r="AK133" s="60"/>
    </row>
    <row r="134" spans="1:63" ht="15" thickBot="1" x14ac:dyDescent="0.4"/>
    <row r="135" spans="1:63" ht="15" thickBot="1" x14ac:dyDescent="0.4">
      <c r="A135" s="27">
        <v>11265</v>
      </c>
      <c r="B135" s="1" t="s">
        <v>6</v>
      </c>
      <c r="C135" s="25">
        <v>45510</v>
      </c>
      <c r="D135" s="66" t="s">
        <v>135</v>
      </c>
      <c r="E135" s="60"/>
      <c r="F135" s="60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0"/>
      <c r="AJ135" s="60"/>
      <c r="AK135" s="60"/>
    </row>
    <row r="136" spans="1:63" ht="15" thickBot="1" x14ac:dyDescent="0.4"/>
    <row r="137" spans="1:63" ht="15" customHeight="1" thickBot="1" x14ac:dyDescent="0.4">
      <c r="A137" s="27">
        <v>11255</v>
      </c>
      <c r="B137" s="1" t="s">
        <v>5</v>
      </c>
      <c r="C137" s="25">
        <v>45512</v>
      </c>
      <c r="D137" s="58" t="s">
        <v>128</v>
      </c>
      <c r="E137" s="58"/>
      <c r="F137" s="58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25">
        <v>45539</v>
      </c>
      <c r="W137" s="49" t="s">
        <v>146</v>
      </c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89" t="s">
        <v>156</v>
      </c>
      <c r="AX137" s="90"/>
      <c r="AY137" s="90"/>
      <c r="AZ137" s="90"/>
      <c r="BA137" s="90"/>
      <c r="BB137" s="90"/>
      <c r="BC137" s="90"/>
      <c r="BD137" s="90"/>
      <c r="BE137" s="90"/>
      <c r="BF137" s="90"/>
      <c r="BG137" s="90"/>
      <c r="BH137" s="90"/>
      <c r="BI137" s="90"/>
      <c r="BJ137" s="90"/>
      <c r="BK137" s="91"/>
    </row>
    <row r="138" spans="1:63" ht="15" thickBot="1" x14ac:dyDescent="0.4"/>
    <row r="139" spans="1:63" ht="15" customHeight="1" thickBot="1" x14ac:dyDescent="0.4">
      <c r="A139" s="27">
        <v>11259</v>
      </c>
      <c r="B139" s="1" t="s">
        <v>5</v>
      </c>
      <c r="C139" s="25">
        <v>45512</v>
      </c>
      <c r="D139" s="49" t="s">
        <v>131</v>
      </c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50"/>
      <c r="Z139" s="62" t="s">
        <v>137</v>
      </c>
      <c r="AA139" s="62"/>
      <c r="AB139" s="62"/>
      <c r="AC139" s="62"/>
      <c r="AD139" s="62"/>
      <c r="AE139" s="62"/>
      <c r="AF139" s="63"/>
      <c r="AG139" s="48" t="s">
        <v>144</v>
      </c>
      <c r="AH139" s="49"/>
      <c r="AI139" s="49"/>
      <c r="AJ139" s="49"/>
      <c r="AK139" s="49"/>
      <c r="AL139" s="49"/>
      <c r="AM139" s="49"/>
      <c r="AN139" s="49"/>
      <c r="AO139" s="49"/>
      <c r="AP139" s="49"/>
      <c r="AQ139" s="49"/>
      <c r="AR139" s="40" t="s">
        <v>155</v>
      </c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2"/>
    </row>
    <row r="140" spans="1:63" ht="15" thickBot="1" x14ac:dyDescent="0.4"/>
    <row r="141" spans="1:63" ht="15" customHeight="1" thickBot="1" x14ac:dyDescent="0.4">
      <c r="A141" s="27">
        <v>11260</v>
      </c>
      <c r="B141" s="1" t="s">
        <v>5</v>
      </c>
      <c r="C141" s="25">
        <v>45512</v>
      </c>
      <c r="D141" s="58" t="s">
        <v>128</v>
      </c>
      <c r="E141" s="58"/>
      <c r="F141" s="58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25">
        <v>45539</v>
      </c>
      <c r="W141" s="49" t="s">
        <v>146</v>
      </c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49"/>
      <c r="AK141" s="49"/>
      <c r="AL141" s="49"/>
      <c r="AM141" s="49"/>
      <c r="AN141" s="49"/>
      <c r="AO141" s="49"/>
      <c r="AP141" s="49"/>
      <c r="AQ141" s="49"/>
      <c r="AR141" s="49"/>
      <c r="AS141" s="49"/>
      <c r="AT141" s="49"/>
      <c r="AU141" s="49"/>
      <c r="AV141" s="50"/>
      <c r="AW141" s="89" t="s">
        <v>156</v>
      </c>
      <c r="AX141" s="90"/>
      <c r="AY141" s="90"/>
      <c r="AZ141" s="90"/>
      <c r="BA141" s="90"/>
      <c r="BB141" s="90"/>
      <c r="BC141" s="90"/>
      <c r="BD141" s="90"/>
      <c r="BE141" s="90"/>
      <c r="BF141" s="90"/>
      <c r="BG141" s="90"/>
      <c r="BH141" s="90"/>
      <c r="BI141" s="90"/>
      <c r="BJ141" s="90"/>
      <c r="BK141" s="91"/>
    </row>
    <row r="142" spans="1:63" ht="15" thickBot="1" x14ac:dyDescent="0.4"/>
    <row r="143" spans="1:63" ht="15" customHeight="1" thickBot="1" x14ac:dyDescent="0.4">
      <c r="A143" s="27">
        <v>11263</v>
      </c>
      <c r="B143" s="1" t="s">
        <v>7</v>
      </c>
      <c r="C143" s="25">
        <v>45509</v>
      </c>
      <c r="D143" s="41" t="s">
        <v>126</v>
      </c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2"/>
    </row>
    <row r="144" spans="1:63" ht="15" thickBot="1" x14ac:dyDescent="0.4"/>
    <row r="145" spans="1:45" ht="15" thickBot="1" x14ac:dyDescent="0.4">
      <c r="A145" s="27">
        <v>11299</v>
      </c>
      <c r="B145" s="1" t="s">
        <v>7</v>
      </c>
      <c r="C145" s="25">
        <v>45530</v>
      </c>
      <c r="D145" s="49" t="s">
        <v>132</v>
      </c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50"/>
      <c r="S145" s="48" t="s">
        <v>141</v>
      </c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0" t="s">
        <v>149</v>
      </c>
      <c r="AF145" s="41"/>
      <c r="AG145" s="41"/>
      <c r="AH145" s="41"/>
      <c r="AI145" s="41"/>
      <c r="AJ145" s="41"/>
      <c r="AK145" s="41"/>
      <c r="AL145" s="41"/>
      <c r="AM145" s="41"/>
      <c r="AN145" s="41"/>
      <c r="AO145" s="42"/>
    </row>
    <row r="146" spans="1:45" ht="15" thickBot="1" x14ac:dyDescent="0.4"/>
    <row r="147" spans="1:45" ht="15" thickBot="1" x14ac:dyDescent="0.4">
      <c r="A147" s="27">
        <v>11300</v>
      </c>
      <c r="B147" s="1" t="s">
        <v>127</v>
      </c>
      <c r="C147" s="25">
        <v>45531</v>
      </c>
      <c r="D147" s="56" t="s">
        <v>133</v>
      </c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5"/>
    </row>
    <row r="148" spans="1:45" ht="15" thickBot="1" x14ac:dyDescent="0.4"/>
    <row r="149" spans="1:45" ht="14.5" customHeight="1" thickBot="1" x14ac:dyDescent="0.4">
      <c r="A149" s="27">
        <v>11294</v>
      </c>
      <c r="B149" s="1" t="s">
        <v>6</v>
      </c>
      <c r="C149" s="25">
        <v>45526</v>
      </c>
      <c r="D149" s="49" t="s">
        <v>143</v>
      </c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0" t="s">
        <v>142</v>
      </c>
      <c r="AA149" s="41"/>
      <c r="AB149" s="41"/>
      <c r="AC149" s="41"/>
      <c r="AD149" s="41"/>
      <c r="AE149" s="41"/>
      <c r="AF149" s="41"/>
      <c r="AG149" s="42"/>
    </row>
    <row r="150" spans="1:45" ht="15" thickBot="1" x14ac:dyDescent="0.4"/>
    <row r="151" spans="1:45" ht="15" thickBot="1" x14ac:dyDescent="0.4">
      <c r="A151" s="27">
        <v>11293</v>
      </c>
      <c r="B151" s="1" t="s">
        <v>7</v>
      </c>
      <c r="C151" s="25">
        <v>45525</v>
      </c>
      <c r="D151" s="56" t="s">
        <v>136</v>
      </c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2"/>
    </row>
    <row r="152" spans="1:45" ht="15" thickBot="1" x14ac:dyDescent="0.4"/>
    <row r="153" spans="1:45" ht="15" thickBot="1" x14ac:dyDescent="0.4">
      <c r="A153" s="27">
        <v>11306</v>
      </c>
      <c r="B153" s="1" t="s">
        <v>7</v>
      </c>
      <c r="C153" s="25">
        <v>45537</v>
      </c>
      <c r="D153" s="56" t="s">
        <v>135</v>
      </c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2"/>
    </row>
    <row r="154" spans="1:45" ht="15" thickBot="1" x14ac:dyDescent="0.4"/>
    <row r="155" spans="1:45" ht="15" thickBot="1" x14ac:dyDescent="0.4">
      <c r="A155" s="1">
        <v>11313</v>
      </c>
      <c r="B155" s="1" t="s">
        <v>6</v>
      </c>
      <c r="C155" s="25">
        <v>45540</v>
      </c>
      <c r="D155" s="49" t="s">
        <v>138</v>
      </c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50"/>
      <c r="V155" s="25">
        <v>45559</v>
      </c>
    </row>
    <row r="156" spans="1:45" ht="15" thickBot="1" x14ac:dyDescent="0.4"/>
    <row r="157" spans="1:45" ht="15" thickBot="1" x14ac:dyDescent="0.4">
      <c r="A157" s="27">
        <v>11276</v>
      </c>
      <c r="B157" s="1" t="s">
        <v>5</v>
      </c>
      <c r="C157" s="25">
        <v>45512</v>
      </c>
      <c r="D157" s="49" t="s">
        <v>131</v>
      </c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50"/>
      <c r="Z157" s="61" t="s">
        <v>137</v>
      </c>
      <c r="AA157" s="62"/>
      <c r="AB157" s="62"/>
      <c r="AC157" s="62"/>
      <c r="AD157" s="62"/>
      <c r="AE157" s="62"/>
      <c r="AF157" s="63"/>
      <c r="AG157" s="29">
        <v>45555</v>
      </c>
      <c r="AH157" s="41" t="s">
        <v>145</v>
      </c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2"/>
    </row>
    <row r="158" spans="1:45" ht="15" thickBot="1" x14ac:dyDescent="0.4"/>
    <row r="159" spans="1:45" ht="15" thickBot="1" x14ac:dyDescent="0.4">
      <c r="A159" s="27">
        <v>11277</v>
      </c>
      <c r="B159" s="1" t="s">
        <v>5</v>
      </c>
      <c r="C159" s="25">
        <v>45512</v>
      </c>
      <c r="D159" s="49" t="s">
        <v>131</v>
      </c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50"/>
      <c r="Z159" s="61" t="s">
        <v>137</v>
      </c>
      <c r="AA159" s="62"/>
      <c r="AB159" s="62"/>
      <c r="AC159" s="62"/>
      <c r="AD159" s="62"/>
      <c r="AE159" s="62"/>
      <c r="AF159" s="63"/>
      <c r="AG159" s="29">
        <v>45555</v>
      </c>
      <c r="AH159" s="41" t="s">
        <v>145</v>
      </c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2"/>
    </row>
    <row r="160" spans="1:45" ht="15" thickBot="1" x14ac:dyDescent="0.4"/>
    <row r="161" spans="1:40" ht="14.5" customHeight="1" thickBot="1" x14ac:dyDescent="0.4">
      <c r="A161" s="1">
        <v>11356</v>
      </c>
      <c r="B161" s="1" t="s">
        <v>6</v>
      </c>
      <c r="C161" s="46" t="s">
        <v>147</v>
      </c>
      <c r="D161" s="47"/>
      <c r="E161" s="88"/>
      <c r="F161" s="45" t="s">
        <v>153</v>
      </c>
      <c r="G161" s="45"/>
      <c r="H161" s="45"/>
      <c r="I161" s="45"/>
      <c r="J161" s="45"/>
      <c r="K161" s="45"/>
      <c r="L161" s="45"/>
      <c r="M161" s="45"/>
      <c r="N161" s="45"/>
      <c r="O161" s="44"/>
      <c r="P161" s="25">
        <v>45589</v>
      </c>
    </row>
    <row r="162" spans="1:40" ht="15" thickBot="1" x14ac:dyDescent="0.4"/>
    <row r="163" spans="1:40" ht="14.5" customHeight="1" thickBot="1" x14ac:dyDescent="0.4">
      <c r="A163" s="27">
        <v>11358</v>
      </c>
      <c r="B163" s="1" t="s">
        <v>7</v>
      </c>
      <c r="C163" s="46" t="s">
        <v>147</v>
      </c>
      <c r="D163" s="47"/>
      <c r="E163" s="47"/>
      <c r="F163" s="43" t="s">
        <v>153</v>
      </c>
      <c r="G163" s="45"/>
      <c r="H163" s="45"/>
      <c r="I163" s="45"/>
      <c r="J163" s="45"/>
      <c r="K163" s="45"/>
      <c r="L163" s="45"/>
      <c r="M163" s="45"/>
      <c r="N163" s="45"/>
      <c r="O163" s="44"/>
      <c r="P163" s="31">
        <v>45589</v>
      </c>
      <c r="Q163" s="48" t="s">
        <v>163</v>
      </c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0" t="s">
        <v>168</v>
      </c>
      <c r="AG163" s="41"/>
      <c r="AH163" s="41"/>
      <c r="AI163" s="41"/>
      <c r="AJ163" s="41"/>
      <c r="AK163" s="41"/>
      <c r="AL163" s="41"/>
      <c r="AM163" s="41"/>
      <c r="AN163" s="42"/>
    </row>
    <row r="164" spans="1:40" ht="15" thickBot="1" x14ac:dyDescent="0.4"/>
    <row r="165" spans="1:40" ht="14.5" customHeight="1" thickBot="1" x14ac:dyDescent="0.4">
      <c r="A165" s="27">
        <v>11359</v>
      </c>
      <c r="B165" s="1" t="s">
        <v>7</v>
      </c>
      <c r="C165" s="46" t="s">
        <v>147</v>
      </c>
      <c r="D165" s="47"/>
      <c r="E165" s="47"/>
      <c r="F165" s="43" t="s">
        <v>150</v>
      </c>
      <c r="G165" s="45"/>
      <c r="H165" s="45"/>
      <c r="I165" s="45"/>
      <c r="J165" s="45"/>
      <c r="K165" s="44"/>
      <c r="L165" s="25">
        <v>45587</v>
      </c>
      <c r="M165" s="43" t="s">
        <v>151</v>
      </c>
      <c r="N165" s="44"/>
      <c r="O165" s="40" t="s">
        <v>169</v>
      </c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2"/>
    </row>
    <row r="166" spans="1:40" ht="15" thickBot="1" x14ac:dyDescent="0.4"/>
    <row r="167" spans="1:40" ht="14.5" customHeight="1" thickBot="1" x14ac:dyDescent="0.4">
      <c r="A167" s="27">
        <v>11362</v>
      </c>
      <c r="B167" s="1" t="s">
        <v>5</v>
      </c>
      <c r="C167" s="46" t="s">
        <v>148</v>
      </c>
      <c r="D167" s="47"/>
      <c r="E167" s="92"/>
      <c r="F167" s="48" t="s">
        <v>157</v>
      </c>
      <c r="G167" s="49"/>
      <c r="H167" s="49"/>
      <c r="I167" s="49"/>
      <c r="J167" s="49"/>
      <c r="K167" s="49"/>
      <c r="L167" s="49"/>
      <c r="M167" s="49"/>
      <c r="N167" s="49"/>
      <c r="O167" s="49"/>
      <c r="P167" s="49"/>
      <c r="Q167" s="49"/>
      <c r="R167" s="49"/>
      <c r="S167" s="49"/>
      <c r="T167" s="49"/>
      <c r="U167" s="50"/>
      <c r="V167" s="25">
        <v>45600</v>
      </c>
      <c r="W167" s="40" t="s">
        <v>169</v>
      </c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2"/>
    </row>
    <row r="168" spans="1:40" ht="15" thickBot="1" x14ac:dyDescent="0.4"/>
    <row r="169" spans="1:40" ht="15.75" customHeight="1" thickBot="1" x14ac:dyDescent="0.4">
      <c r="A169" s="27">
        <v>11363</v>
      </c>
      <c r="B169" s="1" t="s">
        <v>5</v>
      </c>
      <c r="C169" s="46" t="s">
        <v>148</v>
      </c>
      <c r="D169" s="47"/>
      <c r="E169" s="47"/>
      <c r="F169" s="43" t="s">
        <v>154</v>
      </c>
      <c r="G169" s="45"/>
      <c r="H169" s="45"/>
      <c r="I169" s="45"/>
      <c r="J169" s="45"/>
      <c r="K169" s="45"/>
      <c r="L169" s="45"/>
      <c r="M169" s="45"/>
      <c r="N169" s="45"/>
      <c r="O169" s="44"/>
      <c r="P169" s="25">
        <v>45590</v>
      </c>
      <c r="Q169" s="43" t="s">
        <v>160</v>
      </c>
      <c r="R169" s="45"/>
      <c r="S169" s="45"/>
      <c r="T169" s="45"/>
      <c r="U169" s="45"/>
      <c r="V169" s="45"/>
      <c r="W169" s="45"/>
      <c r="X169" s="45"/>
      <c r="Y169" s="40" t="s">
        <v>169</v>
      </c>
      <c r="Z169" s="41"/>
      <c r="AA169" s="41"/>
      <c r="AB169" s="41"/>
      <c r="AC169" s="41"/>
      <c r="AD169" s="41"/>
      <c r="AE169" s="41"/>
      <c r="AF169" s="41"/>
      <c r="AG169" s="41"/>
      <c r="AH169" s="42"/>
      <c r="AI169" s="11"/>
      <c r="AJ169" s="11"/>
      <c r="AK169" s="11"/>
    </row>
    <row r="170" spans="1:40" ht="15" thickBot="1" x14ac:dyDescent="0.4"/>
    <row r="171" spans="1:40" ht="15" thickBot="1" x14ac:dyDescent="0.4">
      <c r="A171" s="27">
        <v>11364</v>
      </c>
      <c r="B171" s="1" t="s">
        <v>5</v>
      </c>
      <c r="C171" s="46" t="s">
        <v>148</v>
      </c>
      <c r="D171" s="47"/>
      <c r="E171" s="47"/>
      <c r="F171" s="43" t="s">
        <v>152</v>
      </c>
      <c r="G171" s="45"/>
      <c r="H171" s="45"/>
      <c r="I171" s="45"/>
      <c r="J171" s="45"/>
      <c r="K171" s="45"/>
      <c r="L171" s="45"/>
      <c r="M171" s="45"/>
      <c r="N171" s="44"/>
      <c r="O171" s="31">
        <v>45589</v>
      </c>
      <c r="P171" s="48" t="s">
        <v>163</v>
      </c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0" t="s">
        <v>169</v>
      </c>
      <c r="AF171" s="41"/>
      <c r="AG171" s="41"/>
      <c r="AH171" s="42"/>
    </row>
    <row r="172" spans="1:40" ht="15" thickBot="1" x14ac:dyDescent="0.4"/>
    <row r="173" spans="1:40" ht="15" customHeight="1" thickBot="1" x14ac:dyDescent="0.4">
      <c r="A173" s="27">
        <v>11365</v>
      </c>
      <c r="B173" s="1" t="s">
        <v>5</v>
      </c>
      <c r="C173" s="46" t="s">
        <v>148</v>
      </c>
      <c r="D173" s="47"/>
      <c r="E173" s="47"/>
      <c r="F173" s="48" t="s">
        <v>158</v>
      </c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50"/>
      <c r="T173" s="30">
        <v>45600</v>
      </c>
      <c r="U173" s="43" t="s">
        <v>159</v>
      </c>
      <c r="V173" s="45"/>
      <c r="W173" s="44"/>
      <c r="X173" s="40" t="s">
        <v>166</v>
      </c>
      <c r="Y173" s="41"/>
      <c r="Z173" s="41"/>
      <c r="AA173" s="41"/>
      <c r="AB173" s="41"/>
      <c r="AC173" s="41"/>
      <c r="AD173" s="42"/>
    </row>
    <row r="174" spans="1:40" ht="15" customHeight="1" thickBot="1" x14ac:dyDescent="0.4"/>
    <row r="175" spans="1:40" ht="15" customHeight="1" thickBot="1" x14ac:dyDescent="0.4">
      <c r="A175" s="27">
        <v>11394</v>
      </c>
      <c r="B175" s="1" t="s">
        <v>5</v>
      </c>
      <c r="C175" s="25">
        <v>45595</v>
      </c>
      <c r="D175" s="43" t="s">
        <v>161</v>
      </c>
      <c r="E175" s="45"/>
      <c r="F175" s="45"/>
      <c r="G175" s="45"/>
      <c r="H175" s="45"/>
      <c r="I175" s="40" t="s">
        <v>170</v>
      </c>
      <c r="J175" s="41"/>
      <c r="K175" s="41"/>
      <c r="L175" s="41"/>
      <c r="M175" s="41"/>
      <c r="N175" s="41"/>
      <c r="O175" s="41"/>
      <c r="P175" s="41"/>
      <c r="Q175" s="41"/>
      <c r="R175" s="42"/>
    </row>
    <row r="176" spans="1:40" ht="15" customHeight="1" thickBot="1" x14ac:dyDescent="0.4"/>
    <row r="177" spans="1:23" ht="15" thickBot="1" x14ac:dyDescent="0.4">
      <c r="A177" s="27">
        <v>11402</v>
      </c>
      <c r="B177" s="1" t="s">
        <v>7</v>
      </c>
      <c r="C177" s="25">
        <v>45603</v>
      </c>
      <c r="D177" s="43" t="s">
        <v>162</v>
      </c>
      <c r="E177" s="45"/>
      <c r="F177" s="45"/>
      <c r="G177" s="45"/>
      <c r="H177" s="44"/>
      <c r="I177" s="25">
        <v>45611</v>
      </c>
      <c r="J177" s="43" t="s">
        <v>164</v>
      </c>
      <c r="K177" s="44"/>
      <c r="L177" s="40" t="s">
        <v>183</v>
      </c>
      <c r="M177" s="41"/>
      <c r="N177" s="41"/>
      <c r="O177" s="41"/>
      <c r="P177" s="41"/>
      <c r="Q177" s="41"/>
      <c r="R177" s="41"/>
      <c r="S177" s="41"/>
      <c r="T177" s="41"/>
      <c r="U177" s="42"/>
    </row>
    <row r="178" spans="1:23" ht="15" thickBot="1" x14ac:dyDescent="0.4"/>
    <row r="179" spans="1:23" ht="15" customHeight="1" thickBot="1" x14ac:dyDescent="0.4">
      <c r="A179" s="1">
        <v>11423</v>
      </c>
      <c r="B179" s="1" t="s">
        <v>6</v>
      </c>
      <c r="C179" s="51" t="s">
        <v>165</v>
      </c>
      <c r="D179" s="52"/>
      <c r="E179" s="52"/>
      <c r="F179" s="52"/>
      <c r="G179" s="52"/>
      <c r="H179" s="43" t="s">
        <v>179</v>
      </c>
      <c r="I179" s="45"/>
      <c r="J179" s="45"/>
      <c r="K179" s="45"/>
      <c r="L179" s="45"/>
      <c r="M179" s="44"/>
      <c r="N179" s="25">
        <v>45624</v>
      </c>
    </row>
    <row r="180" spans="1:23" ht="15" thickBot="1" x14ac:dyDescent="0.4"/>
    <row r="181" spans="1:23" ht="15" thickBot="1" x14ac:dyDescent="0.4">
      <c r="A181" s="1">
        <v>11424</v>
      </c>
      <c r="B181" s="1" t="s">
        <v>5</v>
      </c>
      <c r="C181" s="51" t="s">
        <v>165</v>
      </c>
      <c r="D181" s="52"/>
      <c r="E181" s="52"/>
      <c r="F181" s="52"/>
      <c r="G181" s="52"/>
      <c r="H181" s="53" t="s">
        <v>181</v>
      </c>
      <c r="I181" s="54"/>
      <c r="J181" s="54"/>
      <c r="K181" s="54"/>
      <c r="L181" s="54"/>
      <c r="M181" s="54"/>
      <c r="N181" s="54"/>
      <c r="O181" s="54"/>
      <c r="P181" s="54"/>
      <c r="Q181" s="55"/>
      <c r="R181" s="25">
        <v>45628</v>
      </c>
      <c r="S181" s="43" t="s">
        <v>185</v>
      </c>
      <c r="T181" s="45"/>
      <c r="U181" s="45"/>
      <c r="V181" s="45"/>
      <c r="W181" s="44"/>
    </row>
    <row r="182" spans="1:23" ht="15" thickBot="1" x14ac:dyDescent="0.4"/>
    <row r="183" spans="1:23" ht="15" thickBot="1" x14ac:dyDescent="0.4">
      <c r="A183" s="27">
        <v>11420</v>
      </c>
      <c r="B183" s="1" t="s">
        <v>6</v>
      </c>
      <c r="C183" s="25">
        <v>45614</v>
      </c>
      <c r="D183" s="43" t="s">
        <v>167</v>
      </c>
      <c r="E183" s="44"/>
      <c r="F183" s="40" t="s">
        <v>187</v>
      </c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2"/>
    </row>
    <row r="184" spans="1:23" ht="15" thickBot="1" x14ac:dyDescent="0.4"/>
    <row r="185" spans="1:23" ht="15" thickBot="1" x14ac:dyDescent="0.4">
      <c r="A185" s="1">
        <v>11437</v>
      </c>
      <c r="B185" s="1" t="s">
        <v>5</v>
      </c>
      <c r="C185" s="25">
        <v>45621</v>
      </c>
      <c r="D185" s="43" t="s">
        <v>188</v>
      </c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4"/>
      <c r="P185" s="25">
        <v>45638</v>
      </c>
    </row>
    <row r="186" spans="1:23" ht="15" thickBot="1" x14ac:dyDescent="0.4"/>
    <row r="187" spans="1:23" ht="15" thickBot="1" x14ac:dyDescent="0.4">
      <c r="A187" s="1">
        <v>11438</v>
      </c>
      <c r="B187" s="1" t="s">
        <v>5</v>
      </c>
      <c r="C187" s="25">
        <v>45622</v>
      </c>
      <c r="D187" s="43" t="s">
        <v>180</v>
      </c>
      <c r="E187" s="44"/>
      <c r="F187" s="31">
        <v>45624</v>
      </c>
      <c r="G187" s="48" t="s">
        <v>186</v>
      </c>
      <c r="H187" s="49"/>
      <c r="I187" s="49"/>
      <c r="J187" s="49"/>
      <c r="K187" s="49"/>
      <c r="L187" s="49"/>
      <c r="M187" s="50"/>
      <c r="N187" s="11"/>
    </row>
    <row r="188" spans="1:23" ht="15" thickBot="1" x14ac:dyDescent="0.4"/>
    <row r="189" spans="1:23" ht="15" thickBot="1" x14ac:dyDescent="0.4">
      <c r="A189" s="1">
        <v>11439</v>
      </c>
      <c r="B189" s="1" t="s">
        <v>6</v>
      </c>
      <c r="C189" s="25">
        <v>45622</v>
      </c>
      <c r="D189" s="43" t="s">
        <v>180</v>
      </c>
      <c r="E189" s="44"/>
      <c r="F189" s="25">
        <v>45624</v>
      </c>
    </row>
    <row r="190" spans="1:23" ht="15" thickBot="1" x14ac:dyDescent="0.4"/>
    <row r="191" spans="1:23" ht="15" customHeight="1" thickBot="1" x14ac:dyDescent="0.4">
      <c r="A191" s="1">
        <v>11462</v>
      </c>
      <c r="B191" s="1" t="s">
        <v>6</v>
      </c>
      <c r="C191" s="46" t="s">
        <v>182</v>
      </c>
      <c r="D191" s="88"/>
      <c r="E191" s="43" t="s">
        <v>189</v>
      </c>
      <c r="F191" s="45"/>
      <c r="G191" s="45"/>
      <c r="H191" s="45"/>
      <c r="I191" s="45"/>
      <c r="J191" s="44"/>
      <c r="K191" s="25">
        <v>45639</v>
      </c>
    </row>
    <row r="192" spans="1:23" ht="15" thickBot="1" x14ac:dyDescent="0.4"/>
    <row r="193" spans="1:6" ht="15" customHeight="1" thickBot="1" x14ac:dyDescent="0.4">
      <c r="A193" s="1">
        <v>11464</v>
      </c>
      <c r="B193" s="1" t="s">
        <v>5</v>
      </c>
      <c r="C193" s="46" t="s">
        <v>182</v>
      </c>
      <c r="D193" s="88"/>
    </row>
    <row r="194" spans="1:6" ht="15" customHeight="1" thickBot="1" x14ac:dyDescent="0.4"/>
    <row r="195" spans="1:6" ht="15" customHeight="1" thickBot="1" x14ac:dyDescent="0.4">
      <c r="A195" s="1">
        <v>11465</v>
      </c>
      <c r="B195" s="1" t="s">
        <v>5</v>
      </c>
      <c r="C195" s="46" t="s">
        <v>182</v>
      </c>
      <c r="D195" s="88"/>
    </row>
    <row r="196" spans="1:6" ht="15" thickBot="1" x14ac:dyDescent="0.4"/>
    <row r="197" spans="1:6" ht="14.5" customHeight="1" thickBot="1" x14ac:dyDescent="0.4">
      <c r="A197" s="1">
        <v>11455</v>
      </c>
      <c r="B197" s="1" t="s">
        <v>7</v>
      </c>
      <c r="C197" s="25">
        <v>45630</v>
      </c>
      <c r="D197" s="29">
        <v>45630</v>
      </c>
      <c r="E197" s="43" t="s">
        <v>184</v>
      </c>
      <c r="F197" s="44"/>
    </row>
    <row r="198" spans="1:6" ht="15" thickBot="1" x14ac:dyDescent="0.4"/>
    <row r="199" spans="1:6" ht="15" thickBot="1" x14ac:dyDescent="0.4">
      <c r="A199" s="1">
        <v>11484</v>
      </c>
      <c r="B199" s="1" t="s">
        <v>7</v>
      </c>
      <c r="C199" s="25">
        <v>45639</v>
      </c>
    </row>
    <row r="200" spans="1:6" ht="15" thickBot="1" x14ac:dyDescent="0.4"/>
    <row r="201" spans="1:6" ht="15" thickBot="1" x14ac:dyDescent="0.4">
      <c r="A201" s="1">
        <v>11485</v>
      </c>
      <c r="B201" s="1" t="s">
        <v>7</v>
      </c>
      <c r="C201" s="25">
        <v>45639</v>
      </c>
    </row>
    <row r="203" spans="1:6" x14ac:dyDescent="0.35">
      <c r="A203" s="1">
        <v>11526</v>
      </c>
      <c r="B203" s="1" t="s">
        <v>7</v>
      </c>
      <c r="C203" s="14">
        <v>45672</v>
      </c>
    </row>
    <row r="204" spans="1:6" x14ac:dyDescent="0.35">
      <c r="C204" s="14"/>
    </row>
    <row r="205" spans="1:6" x14ac:dyDescent="0.35">
      <c r="A205" s="1">
        <v>11543</v>
      </c>
      <c r="B205" s="1" t="s">
        <v>7</v>
      </c>
      <c r="C205" s="14">
        <v>45681</v>
      </c>
    </row>
    <row r="206" spans="1:6" x14ac:dyDescent="0.35">
      <c r="C206" s="14"/>
    </row>
    <row r="207" spans="1:6" x14ac:dyDescent="0.35">
      <c r="A207" s="1">
        <v>11544</v>
      </c>
      <c r="B207" s="1" t="s">
        <v>7</v>
      </c>
      <c r="C207" s="14">
        <v>45681</v>
      </c>
    </row>
    <row r="208" spans="1:6" x14ac:dyDescent="0.35">
      <c r="C208" s="14"/>
    </row>
    <row r="209" spans="1:3" x14ac:dyDescent="0.35">
      <c r="A209" s="1">
        <v>11545</v>
      </c>
      <c r="B209" s="1" t="s">
        <v>7</v>
      </c>
      <c r="C209" s="14">
        <v>45681</v>
      </c>
    </row>
    <row r="210" spans="1:3" x14ac:dyDescent="0.35">
      <c r="C210" s="14"/>
    </row>
    <row r="211" spans="1:3" x14ac:dyDescent="0.35">
      <c r="A211" s="1">
        <v>11547</v>
      </c>
      <c r="B211" s="1" t="s">
        <v>5</v>
      </c>
      <c r="C211" s="14">
        <v>45684</v>
      </c>
    </row>
    <row r="212" spans="1:3" x14ac:dyDescent="0.35">
      <c r="C212" s="14"/>
    </row>
    <row r="213" spans="1:3" x14ac:dyDescent="0.35">
      <c r="A213" s="1">
        <v>11548</v>
      </c>
      <c r="B213" s="1" t="s">
        <v>6</v>
      </c>
      <c r="C213" s="14">
        <v>45684</v>
      </c>
    </row>
    <row r="214" spans="1:3" x14ac:dyDescent="0.35">
      <c r="C214" s="14"/>
    </row>
    <row r="215" spans="1:3" x14ac:dyDescent="0.35">
      <c r="A215" s="1">
        <v>11552</v>
      </c>
      <c r="B215" s="1" t="s">
        <v>6</v>
      </c>
      <c r="C215" s="14">
        <v>45686</v>
      </c>
    </row>
    <row r="216" spans="1:3" x14ac:dyDescent="0.35">
      <c r="C216" s="14"/>
    </row>
    <row r="217" spans="1:3" x14ac:dyDescent="0.35">
      <c r="A217" s="1">
        <v>11554</v>
      </c>
      <c r="B217" s="1" t="s">
        <v>5</v>
      </c>
      <c r="C217" s="14">
        <v>45687</v>
      </c>
    </row>
    <row r="218" spans="1:3" x14ac:dyDescent="0.35">
      <c r="C218" s="14"/>
    </row>
    <row r="219" spans="1:3" x14ac:dyDescent="0.35">
      <c r="A219" s="1">
        <v>11555</v>
      </c>
      <c r="B219" s="1" t="s">
        <v>5</v>
      </c>
      <c r="C219" s="14">
        <v>45687</v>
      </c>
    </row>
    <row r="220" spans="1:3" x14ac:dyDescent="0.35">
      <c r="C220" s="14"/>
    </row>
    <row r="221" spans="1:3" x14ac:dyDescent="0.35">
      <c r="A221" s="1">
        <v>11558</v>
      </c>
      <c r="B221" s="1" t="s">
        <v>5</v>
      </c>
      <c r="C221" s="14">
        <v>45691</v>
      </c>
    </row>
    <row r="222" spans="1:3" x14ac:dyDescent="0.35">
      <c r="C222" s="14"/>
    </row>
    <row r="223" spans="1:3" x14ac:dyDescent="0.35">
      <c r="A223" s="1">
        <v>11572</v>
      </c>
      <c r="B223" s="1" t="s">
        <v>6</v>
      </c>
      <c r="C223" s="14">
        <v>45698</v>
      </c>
    </row>
    <row r="224" spans="1:3" x14ac:dyDescent="0.35">
      <c r="C224" s="14"/>
    </row>
    <row r="225" spans="1:3" x14ac:dyDescent="0.35">
      <c r="A225" s="1">
        <v>11592</v>
      </c>
      <c r="B225" s="1" t="s">
        <v>6</v>
      </c>
      <c r="C225" s="14">
        <v>45709</v>
      </c>
    </row>
    <row r="226" spans="1:3" x14ac:dyDescent="0.35">
      <c r="C226" s="14"/>
    </row>
    <row r="227" spans="1:3" x14ac:dyDescent="0.35">
      <c r="A227" s="1">
        <v>11595</v>
      </c>
      <c r="B227" s="1" t="s">
        <v>5</v>
      </c>
      <c r="C227" s="14">
        <v>45712</v>
      </c>
    </row>
    <row r="228" spans="1:3" x14ac:dyDescent="0.35">
      <c r="C228" s="14"/>
    </row>
    <row r="229" spans="1:3" x14ac:dyDescent="0.35">
      <c r="A229" s="1">
        <v>11596</v>
      </c>
      <c r="B229" s="1" t="s">
        <v>5</v>
      </c>
      <c r="C229" s="14">
        <v>45712</v>
      </c>
    </row>
    <row r="230" spans="1:3" x14ac:dyDescent="0.35">
      <c r="C230" s="14"/>
    </row>
    <row r="231" spans="1:3" x14ac:dyDescent="0.35">
      <c r="A231" s="1">
        <v>11599</v>
      </c>
      <c r="B231" s="1" t="s">
        <v>5</v>
      </c>
      <c r="C231" s="14">
        <v>45714</v>
      </c>
    </row>
    <row r="232" spans="1:3" x14ac:dyDescent="0.35">
      <c r="C232" s="14"/>
    </row>
    <row r="233" spans="1:3" x14ac:dyDescent="0.35">
      <c r="A233" s="1">
        <v>11605</v>
      </c>
      <c r="B233" s="1" t="s">
        <v>7</v>
      </c>
      <c r="C233" s="14">
        <v>45715</v>
      </c>
    </row>
    <row r="234" spans="1:3" x14ac:dyDescent="0.35">
      <c r="C234" s="14"/>
    </row>
    <row r="235" spans="1:3" x14ac:dyDescent="0.35">
      <c r="A235" s="1">
        <v>11610</v>
      </c>
      <c r="B235" s="1" t="s">
        <v>7</v>
      </c>
      <c r="C235" s="14">
        <v>45720</v>
      </c>
    </row>
    <row r="236" spans="1:3" x14ac:dyDescent="0.35">
      <c r="C236" s="14"/>
    </row>
    <row r="237" spans="1:3" x14ac:dyDescent="0.35">
      <c r="A237" s="1">
        <v>11612</v>
      </c>
      <c r="B237" s="1" t="s">
        <v>5</v>
      </c>
      <c r="C237" s="14">
        <v>45720</v>
      </c>
    </row>
    <row r="239" spans="1:3" x14ac:dyDescent="0.35">
      <c r="A239" s="1">
        <v>11621</v>
      </c>
      <c r="B239" s="1" t="s">
        <v>5</v>
      </c>
      <c r="C239" s="14">
        <v>45723</v>
      </c>
    </row>
    <row r="241" spans="1:3" x14ac:dyDescent="0.35">
      <c r="A241" s="1">
        <v>11625</v>
      </c>
      <c r="B241" s="1" t="s">
        <v>7</v>
      </c>
      <c r="C241" s="14">
        <v>45729</v>
      </c>
    </row>
    <row r="242" spans="1:3" x14ac:dyDescent="0.35">
      <c r="C242" s="14"/>
    </row>
    <row r="243" spans="1:3" x14ac:dyDescent="0.35">
      <c r="A243" s="1">
        <v>11634</v>
      </c>
      <c r="B243" s="1" t="s">
        <v>6</v>
      </c>
      <c r="C243" s="14">
        <v>45729</v>
      </c>
    </row>
    <row r="244" spans="1:3" x14ac:dyDescent="0.35">
      <c r="C244" s="14"/>
    </row>
    <row r="245" spans="1:3" x14ac:dyDescent="0.35">
      <c r="A245" s="1">
        <v>11650</v>
      </c>
      <c r="B245" s="1" t="s">
        <v>6</v>
      </c>
      <c r="C245" s="14">
        <v>45736</v>
      </c>
    </row>
    <row r="246" spans="1:3" x14ac:dyDescent="0.35">
      <c r="C246" s="14"/>
    </row>
    <row r="247" spans="1:3" x14ac:dyDescent="0.35">
      <c r="A247" s="1">
        <v>11651</v>
      </c>
      <c r="B247" s="1" t="s">
        <v>5</v>
      </c>
      <c r="C247" s="14">
        <v>45737</v>
      </c>
    </row>
    <row r="248" spans="1:3" x14ac:dyDescent="0.35">
      <c r="C248" s="14"/>
    </row>
    <row r="249" spans="1:3" x14ac:dyDescent="0.35">
      <c r="A249" s="1">
        <v>11653</v>
      </c>
      <c r="B249" s="1" t="s">
        <v>6</v>
      </c>
      <c r="C249" s="14">
        <v>45740</v>
      </c>
    </row>
    <row r="250" spans="1:3" x14ac:dyDescent="0.35">
      <c r="C250" s="14"/>
    </row>
    <row r="251" spans="1:3" x14ac:dyDescent="0.35">
      <c r="A251" s="1">
        <v>11656</v>
      </c>
      <c r="B251" s="1" t="s">
        <v>7</v>
      </c>
      <c r="C251" s="14">
        <v>45740</v>
      </c>
    </row>
    <row r="252" spans="1:3" x14ac:dyDescent="0.35">
      <c r="C252" s="14"/>
    </row>
    <row r="253" spans="1:3" x14ac:dyDescent="0.35">
      <c r="A253" s="1">
        <v>11657</v>
      </c>
      <c r="B253" s="1" t="s">
        <v>5</v>
      </c>
      <c r="C253" s="14">
        <v>45740</v>
      </c>
    </row>
    <row r="254" spans="1:3" x14ac:dyDescent="0.35">
      <c r="C254" s="14"/>
    </row>
    <row r="255" spans="1:3" x14ac:dyDescent="0.35">
      <c r="A255" s="1">
        <v>11668</v>
      </c>
      <c r="B255" s="1" t="s">
        <v>5</v>
      </c>
      <c r="C255" s="14">
        <v>45743</v>
      </c>
    </row>
    <row r="256" spans="1:3" x14ac:dyDescent="0.35">
      <c r="C256" s="14"/>
    </row>
    <row r="257" spans="1:4" x14ac:dyDescent="0.35">
      <c r="A257" s="1">
        <v>11670</v>
      </c>
      <c r="B257" s="1" t="s">
        <v>7</v>
      </c>
      <c r="C257" s="14">
        <v>45748</v>
      </c>
    </row>
    <row r="258" spans="1:4" x14ac:dyDescent="0.35">
      <c r="C258" s="14"/>
    </row>
    <row r="259" spans="1:4" x14ac:dyDescent="0.35">
      <c r="A259" s="1">
        <v>11685</v>
      </c>
      <c r="B259" s="1" t="s">
        <v>5</v>
      </c>
      <c r="C259" s="14">
        <v>45755</v>
      </c>
    </row>
    <row r="260" spans="1:4" x14ac:dyDescent="0.35">
      <c r="C260" s="14"/>
    </row>
    <row r="261" spans="1:4" x14ac:dyDescent="0.35">
      <c r="A261" s="1">
        <v>11695</v>
      </c>
      <c r="B261" s="1" t="s">
        <v>6</v>
      </c>
      <c r="C261" s="14">
        <v>45758</v>
      </c>
    </row>
    <row r="262" spans="1:4" x14ac:dyDescent="0.35">
      <c r="C262" s="14"/>
    </row>
    <row r="263" spans="1:4" x14ac:dyDescent="0.35">
      <c r="A263" s="1">
        <v>11702</v>
      </c>
      <c r="B263" s="1" t="s">
        <v>5</v>
      </c>
      <c r="C263" s="14">
        <v>45775</v>
      </c>
    </row>
    <row r="264" spans="1:4" x14ac:dyDescent="0.35">
      <c r="C264" s="14"/>
      <c r="D264" s="14"/>
    </row>
    <row r="265" spans="1:4" x14ac:dyDescent="0.35">
      <c r="A265" s="1">
        <v>11722</v>
      </c>
      <c r="B265" s="1" t="s">
        <v>5</v>
      </c>
      <c r="C265" s="14">
        <v>45775</v>
      </c>
      <c r="D265" s="14"/>
    </row>
    <row r="266" spans="1:4" x14ac:dyDescent="0.35">
      <c r="C266" s="14"/>
      <c r="D266" s="14"/>
    </row>
    <row r="267" spans="1:4" x14ac:dyDescent="0.35">
      <c r="A267" s="1">
        <v>11741</v>
      </c>
      <c r="B267" s="1" t="s">
        <v>7</v>
      </c>
      <c r="C267" s="14">
        <v>45783</v>
      </c>
      <c r="D267" s="14"/>
    </row>
    <row r="268" spans="1:4" x14ac:dyDescent="0.35">
      <c r="C268" s="14"/>
      <c r="D268" s="14"/>
    </row>
    <row r="269" spans="1:4" x14ac:dyDescent="0.35">
      <c r="A269" s="1">
        <v>11748</v>
      </c>
      <c r="B269" s="1" t="s">
        <v>7</v>
      </c>
      <c r="C269" s="14">
        <v>45789</v>
      </c>
      <c r="D269" s="14"/>
    </row>
    <row r="270" spans="1:4" x14ac:dyDescent="0.35">
      <c r="C270" s="14"/>
      <c r="D270" s="14"/>
    </row>
    <row r="271" spans="1:4" x14ac:dyDescent="0.35">
      <c r="A271" s="1">
        <v>11749</v>
      </c>
      <c r="B271" s="1" t="s">
        <v>7</v>
      </c>
      <c r="C271" s="14">
        <v>45789</v>
      </c>
      <c r="D271" s="14"/>
    </row>
    <row r="272" spans="1:4" x14ac:dyDescent="0.35">
      <c r="C272" s="14"/>
      <c r="D272" s="14"/>
    </row>
    <row r="273" spans="1:4" x14ac:dyDescent="0.35">
      <c r="A273" s="1">
        <v>11765</v>
      </c>
      <c r="B273" s="1" t="s">
        <v>7</v>
      </c>
      <c r="C273" s="14">
        <v>45796</v>
      </c>
      <c r="D273" s="14"/>
    </row>
    <row r="274" spans="1:4" x14ac:dyDescent="0.35">
      <c r="C274" s="14"/>
      <c r="D274" s="14"/>
    </row>
    <row r="275" spans="1:4" x14ac:dyDescent="0.35">
      <c r="A275" s="1">
        <v>11780</v>
      </c>
      <c r="B275" s="1" t="s">
        <v>5</v>
      </c>
      <c r="C275" s="14">
        <v>45798</v>
      </c>
      <c r="D275" s="14"/>
    </row>
    <row r="276" spans="1:4" x14ac:dyDescent="0.35">
      <c r="C276" s="14"/>
      <c r="D276" s="14"/>
    </row>
    <row r="277" spans="1:4" x14ac:dyDescent="0.35">
      <c r="A277" s="1">
        <v>11783</v>
      </c>
      <c r="B277" s="1" t="s">
        <v>6</v>
      </c>
      <c r="C277" s="14">
        <v>45799</v>
      </c>
      <c r="D277" s="14"/>
    </row>
    <row r="278" spans="1:4" x14ac:dyDescent="0.35">
      <c r="C278" s="14"/>
      <c r="D278" s="14"/>
    </row>
    <row r="279" spans="1:4" x14ac:dyDescent="0.35">
      <c r="A279" s="1">
        <v>11785</v>
      </c>
      <c r="B279" s="1" t="s">
        <v>6</v>
      </c>
      <c r="C279" s="14">
        <v>45800</v>
      </c>
      <c r="D279" s="14"/>
    </row>
    <row r="280" spans="1:4" x14ac:dyDescent="0.35">
      <c r="C280" s="14"/>
      <c r="D280" s="14"/>
    </row>
    <row r="281" spans="1:4" x14ac:dyDescent="0.35">
      <c r="A281" s="1">
        <v>11787</v>
      </c>
      <c r="B281" s="1" t="s">
        <v>7</v>
      </c>
      <c r="C281" s="14">
        <v>45800</v>
      </c>
      <c r="D281" s="14"/>
    </row>
    <row r="282" spans="1:4" x14ac:dyDescent="0.35">
      <c r="C282" s="14"/>
      <c r="D282" s="14"/>
    </row>
    <row r="283" spans="1:4" x14ac:dyDescent="0.35">
      <c r="C283" s="14"/>
      <c r="D283" s="14"/>
    </row>
  </sheetData>
  <mergeCells count="260">
    <mergeCell ref="C195:D195"/>
    <mergeCell ref="C193:D193"/>
    <mergeCell ref="C191:D191"/>
    <mergeCell ref="D125:Q125"/>
    <mergeCell ref="F161:O161"/>
    <mergeCell ref="C165:E165"/>
    <mergeCell ref="F183:R183"/>
    <mergeCell ref="AW137:BK137"/>
    <mergeCell ref="AW141:BK141"/>
    <mergeCell ref="D159:Y159"/>
    <mergeCell ref="F165:K165"/>
    <mergeCell ref="M165:N165"/>
    <mergeCell ref="Z149:AG149"/>
    <mergeCell ref="D157:Y157"/>
    <mergeCell ref="F171:N171"/>
    <mergeCell ref="F163:O163"/>
    <mergeCell ref="C169:E169"/>
    <mergeCell ref="C171:E171"/>
    <mergeCell ref="C167:E167"/>
    <mergeCell ref="D141:U141"/>
    <mergeCell ref="F169:O169"/>
    <mergeCell ref="P171:AD171"/>
    <mergeCell ref="D137:U137"/>
    <mergeCell ref="E191:J191"/>
    <mergeCell ref="AF163:AN163"/>
    <mergeCell ref="C163:E163"/>
    <mergeCell ref="C161:E161"/>
    <mergeCell ref="D89:K89"/>
    <mergeCell ref="D91:K91"/>
    <mergeCell ref="L89:O89"/>
    <mergeCell ref="I93:U93"/>
    <mergeCell ref="D87:U87"/>
    <mergeCell ref="D97:M97"/>
    <mergeCell ref="D95:J95"/>
    <mergeCell ref="P89:AD89"/>
    <mergeCell ref="L91:O91"/>
    <mergeCell ref="P91:AD91"/>
    <mergeCell ref="T111:Z111"/>
    <mergeCell ref="X113:AD113"/>
    <mergeCell ref="D115:L115"/>
    <mergeCell ref="D113:L113"/>
    <mergeCell ref="K95:AK95"/>
    <mergeCell ref="N97:AH97"/>
    <mergeCell ref="P103:AD103"/>
    <mergeCell ref="Y107:AC107"/>
    <mergeCell ref="D93:H93"/>
    <mergeCell ref="S127:AC127"/>
    <mergeCell ref="AE145:AO145"/>
    <mergeCell ref="O165:AH165"/>
    <mergeCell ref="Y169:AH169"/>
    <mergeCell ref="S125:AM125"/>
    <mergeCell ref="J99:O99"/>
    <mergeCell ref="O107:X107"/>
    <mergeCell ref="AH101:AN101"/>
    <mergeCell ref="D101:K101"/>
    <mergeCell ref="D99:I99"/>
    <mergeCell ref="N111:S111"/>
    <mergeCell ref="Q105:U105"/>
    <mergeCell ref="D105:P105"/>
    <mergeCell ref="D109:L109"/>
    <mergeCell ref="D111:L111"/>
    <mergeCell ref="W109:AB109"/>
    <mergeCell ref="D107:M107"/>
    <mergeCell ref="D123:Y123"/>
    <mergeCell ref="N109:V109"/>
    <mergeCell ref="D103:O103"/>
    <mergeCell ref="M101:AG101"/>
    <mergeCell ref="N113:W113"/>
    <mergeCell ref="D117:L117"/>
    <mergeCell ref="D119:L119"/>
    <mergeCell ref="D121:P121"/>
    <mergeCell ref="Q163:AE163"/>
    <mergeCell ref="J85:Q85"/>
    <mergeCell ref="N83:Y83"/>
    <mergeCell ref="F79:J79"/>
    <mergeCell ref="F81:J81"/>
    <mergeCell ref="F83:L83"/>
    <mergeCell ref="K81:M81"/>
    <mergeCell ref="T81:AD81"/>
    <mergeCell ref="C79:E79"/>
    <mergeCell ref="K77:M77"/>
    <mergeCell ref="Q77:AE77"/>
    <mergeCell ref="C77:E77"/>
    <mergeCell ref="Z83:AM83"/>
    <mergeCell ref="R85:AH85"/>
    <mergeCell ref="K79:M79"/>
    <mergeCell ref="N81:S81"/>
    <mergeCell ref="D85:H85"/>
    <mergeCell ref="Q79:AE79"/>
    <mergeCell ref="C83:E83"/>
    <mergeCell ref="N79:P79"/>
    <mergeCell ref="C81:E81"/>
    <mergeCell ref="D73:N73"/>
    <mergeCell ref="L69:V69"/>
    <mergeCell ref="C75:H75"/>
    <mergeCell ref="I75:N75"/>
    <mergeCell ref="M71:W71"/>
    <mergeCell ref="U67:AL67"/>
    <mergeCell ref="C69:D69"/>
    <mergeCell ref="O75:DQ75"/>
    <mergeCell ref="F77:J77"/>
    <mergeCell ref="N77:P77"/>
    <mergeCell ref="K55:V55"/>
    <mergeCell ref="F51:K51"/>
    <mergeCell ref="F53:K53"/>
    <mergeCell ref="L63:S63"/>
    <mergeCell ref="K65:CZ65"/>
    <mergeCell ref="E63:J63"/>
    <mergeCell ref="E65:I65"/>
    <mergeCell ref="C71:D71"/>
    <mergeCell ref="E69:H69"/>
    <mergeCell ref="C63:D63"/>
    <mergeCell ref="C65:D65"/>
    <mergeCell ref="T63:AB63"/>
    <mergeCell ref="U51:AD51"/>
    <mergeCell ref="I69:K69"/>
    <mergeCell ref="E71:I71"/>
    <mergeCell ref="J71:L71"/>
    <mergeCell ref="M67:T67"/>
    <mergeCell ref="E67:K67"/>
    <mergeCell ref="C67:D67"/>
    <mergeCell ref="BS20:CY20"/>
    <mergeCell ref="E8:M8"/>
    <mergeCell ref="E6:M6"/>
    <mergeCell ref="D30:T30"/>
    <mergeCell ref="C11:D11"/>
    <mergeCell ref="E18:J18"/>
    <mergeCell ref="U30:AL30"/>
    <mergeCell ref="C41:E41"/>
    <mergeCell ref="C45:E45"/>
    <mergeCell ref="C43:E43"/>
    <mergeCell ref="K18:BD18"/>
    <mergeCell ref="N6:AA6"/>
    <mergeCell ref="N8:AA8"/>
    <mergeCell ref="O34:S34"/>
    <mergeCell ref="O36:T36"/>
    <mergeCell ref="S43:AG43"/>
    <mergeCell ref="Y12:DA12"/>
    <mergeCell ref="F41:J41"/>
    <mergeCell ref="F43:K43"/>
    <mergeCell ref="D36:N36"/>
    <mergeCell ref="F45:K45"/>
    <mergeCell ref="M45:AC45"/>
    <mergeCell ref="M43:R43"/>
    <mergeCell ref="Z1:AS1"/>
    <mergeCell ref="Z2:AS2"/>
    <mergeCell ref="L41:N41"/>
    <mergeCell ref="O38:AJ38"/>
    <mergeCell ref="U32:AN32"/>
    <mergeCell ref="D26:V26"/>
    <mergeCell ref="C22:D22"/>
    <mergeCell ref="G24:BH24"/>
    <mergeCell ref="D24:F24"/>
    <mergeCell ref="E20:BR20"/>
    <mergeCell ref="R1:S1"/>
    <mergeCell ref="T1:Y1"/>
    <mergeCell ref="F1:Q1"/>
    <mergeCell ref="D34:N34"/>
    <mergeCell ref="D32:T32"/>
    <mergeCell ref="T2:Y2"/>
    <mergeCell ref="E10:V10"/>
    <mergeCell ref="C10:D10"/>
    <mergeCell ref="C1:E1"/>
    <mergeCell ref="C2:E2"/>
    <mergeCell ref="W10:AL10"/>
    <mergeCell ref="R14:AX14"/>
    <mergeCell ref="R16:AY16"/>
    <mergeCell ref="D38:N38"/>
    <mergeCell ref="R2:S2"/>
    <mergeCell ref="C6:D6"/>
    <mergeCell ref="F2:Q2"/>
    <mergeCell ref="C4:K4"/>
    <mergeCell ref="L4:V4"/>
    <mergeCell ref="C8:D8"/>
    <mergeCell ref="U22:AX22"/>
    <mergeCell ref="W26:AO26"/>
    <mergeCell ref="U28:AK28"/>
    <mergeCell ref="J22:T22"/>
    <mergeCell ref="E16:Q16"/>
    <mergeCell ref="E14:Q14"/>
    <mergeCell ref="E12:X12"/>
    <mergeCell ref="D28:T28"/>
    <mergeCell ref="C12:D12"/>
    <mergeCell ref="C14:D14"/>
    <mergeCell ref="C16:D16"/>
    <mergeCell ref="C20:D20"/>
    <mergeCell ref="X4:AK4"/>
    <mergeCell ref="C18:D18"/>
    <mergeCell ref="C47:E47"/>
    <mergeCell ref="F47:K47"/>
    <mergeCell ref="Q49:AH49"/>
    <mergeCell ref="E59:J59"/>
    <mergeCell ref="C55:E55"/>
    <mergeCell ref="C53:E53"/>
    <mergeCell ref="F55:J55"/>
    <mergeCell ref="C59:D59"/>
    <mergeCell ref="C61:D61"/>
    <mergeCell ref="M53:AD53"/>
    <mergeCell ref="M47:BM47"/>
    <mergeCell ref="U61:AC61"/>
    <mergeCell ref="T59:AG59"/>
    <mergeCell ref="K57:T57"/>
    <mergeCell ref="F57:J57"/>
    <mergeCell ref="E61:K61"/>
    <mergeCell ref="C57:E57"/>
    <mergeCell ref="L59:S59"/>
    <mergeCell ref="M61:T61"/>
    <mergeCell ref="C49:E49"/>
    <mergeCell ref="C51:E51"/>
    <mergeCell ref="M51:T51"/>
    <mergeCell ref="M49:P49"/>
    <mergeCell ref="F49:K49"/>
    <mergeCell ref="AD127:AS127"/>
    <mergeCell ref="S145:AD145"/>
    <mergeCell ref="D153:S153"/>
    <mergeCell ref="AH157:AS157"/>
    <mergeCell ref="D127:Q127"/>
    <mergeCell ref="AG139:AQ139"/>
    <mergeCell ref="D129:AE129"/>
    <mergeCell ref="AH159:AS159"/>
    <mergeCell ref="D131:AE131"/>
    <mergeCell ref="Z157:AF157"/>
    <mergeCell ref="Z159:AF159"/>
    <mergeCell ref="D149:Y149"/>
    <mergeCell ref="D147:Q147"/>
    <mergeCell ref="D151:W151"/>
    <mergeCell ref="D139:Y139"/>
    <mergeCell ref="Z139:AF139"/>
    <mergeCell ref="W137:AV137"/>
    <mergeCell ref="W141:AV141"/>
    <mergeCell ref="D155:U155"/>
    <mergeCell ref="D145:R145"/>
    <mergeCell ref="D133:AK133"/>
    <mergeCell ref="D135:AK135"/>
    <mergeCell ref="D143:O143"/>
    <mergeCell ref="AR139:BI139"/>
    <mergeCell ref="AE171:AH171"/>
    <mergeCell ref="W167:AI167"/>
    <mergeCell ref="E197:F197"/>
    <mergeCell ref="D187:E187"/>
    <mergeCell ref="D189:E189"/>
    <mergeCell ref="I175:R175"/>
    <mergeCell ref="X173:AD173"/>
    <mergeCell ref="J177:K177"/>
    <mergeCell ref="D177:H177"/>
    <mergeCell ref="C173:E173"/>
    <mergeCell ref="G187:M187"/>
    <mergeCell ref="L177:U177"/>
    <mergeCell ref="D183:E183"/>
    <mergeCell ref="C179:G179"/>
    <mergeCell ref="C181:G181"/>
    <mergeCell ref="F173:S173"/>
    <mergeCell ref="F167:U167"/>
    <mergeCell ref="Q169:X169"/>
    <mergeCell ref="D175:H175"/>
    <mergeCell ref="H181:Q181"/>
    <mergeCell ref="H179:M179"/>
    <mergeCell ref="S181:W181"/>
    <mergeCell ref="U173:W173"/>
    <mergeCell ref="D185:O18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workbookViewId="0">
      <selection activeCell="G11" sqref="G11"/>
    </sheetView>
  </sheetViews>
  <sheetFormatPr baseColWidth="10" defaultRowHeight="14.5" x14ac:dyDescent="0.35"/>
  <cols>
    <col min="3" max="3" width="18.7265625" bestFit="1" customWidth="1"/>
  </cols>
  <sheetData>
    <row r="1" spans="1:4" x14ac:dyDescent="0.35">
      <c r="A1" s="93" t="s">
        <v>177</v>
      </c>
      <c r="B1" s="93"/>
      <c r="C1" s="93"/>
      <c r="D1" s="93"/>
    </row>
    <row r="2" spans="1:4" x14ac:dyDescent="0.35">
      <c r="A2" t="s">
        <v>171</v>
      </c>
      <c r="B2" t="s">
        <v>174</v>
      </c>
      <c r="C2" t="s">
        <v>175</v>
      </c>
      <c r="D2" t="s">
        <v>176</v>
      </c>
    </row>
    <row r="3" spans="1:4" x14ac:dyDescent="0.35">
      <c r="A3" t="s">
        <v>172</v>
      </c>
      <c r="B3">
        <v>87</v>
      </c>
      <c r="C3">
        <v>57</v>
      </c>
      <c r="D3" s="32">
        <f>C3/B3*100</f>
        <v>65.517241379310349</v>
      </c>
    </row>
    <row r="4" spans="1:4" x14ac:dyDescent="0.35">
      <c r="A4" t="s">
        <v>173</v>
      </c>
      <c r="B4">
        <v>115</v>
      </c>
      <c r="C4">
        <v>104</v>
      </c>
      <c r="D4" s="32">
        <f>C4/B4*100</f>
        <v>90.434782608695656</v>
      </c>
    </row>
    <row r="6" spans="1:4" x14ac:dyDescent="0.35">
      <c r="A6" s="93" t="s">
        <v>178</v>
      </c>
      <c r="B6" s="93"/>
      <c r="C6" s="93"/>
      <c r="D6" s="93"/>
    </row>
    <row r="7" spans="1:4" x14ac:dyDescent="0.35">
      <c r="A7" t="s">
        <v>171</v>
      </c>
      <c r="B7" t="s">
        <v>174</v>
      </c>
      <c r="C7" t="s">
        <v>175</v>
      </c>
      <c r="D7" t="s">
        <v>176</v>
      </c>
    </row>
    <row r="8" spans="1:4" x14ac:dyDescent="0.35">
      <c r="A8" t="s">
        <v>172</v>
      </c>
      <c r="B8">
        <v>24</v>
      </c>
      <c r="C8">
        <v>14</v>
      </c>
      <c r="D8" s="32">
        <f>C8/B8*100</f>
        <v>58.333333333333336</v>
      </c>
    </row>
    <row r="9" spans="1:4" x14ac:dyDescent="0.35">
      <c r="A9" t="s">
        <v>173</v>
      </c>
      <c r="B9">
        <v>34</v>
      </c>
      <c r="C9">
        <v>30</v>
      </c>
      <c r="D9" s="32">
        <f>C9/B9*100</f>
        <v>88.235294117647058</v>
      </c>
    </row>
  </sheetData>
  <mergeCells count="2">
    <mergeCell ref="A1:D1"/>
    <mergeCell ref="A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SUIVI GLOBAL</vt:lpstr>
      <vt:lpstr>RECAP RESPECT DELAIS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Baptiste Dhuy</dc:creator>
  <cp:lastModifiedBy>Manon Lauffenburger</cp:lastModifiedBy>
  <dcterms:created xsi:type="dcterms:W3CDTF">2023-12-07T09:30:09Z</dcterms:created>
  <dcterms:modified xsi:type="dcterms:W3CDTF">2025-07-18T13:05:16Z</dcterms:modified>
</cp:coreProperties>
</file>