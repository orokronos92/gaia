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N:\QHSE\34. PROJETS D'AMELIORATION CONTINUE\26. PROCESS ETIQUETTES\"/>
    </mc:Choice>
  </mc:AlternateContent>
  <xr:revisionPtr revIDLastSave="0" documentId="13_ncr:1_{4694C4AD-5557-47F3-B876-E997F11CAB2C}" xr6:coauthVersionLast="36" xr6:coauthVersionMax="47" xr10:uidLastSave="{00000000-0000-0000-0000-000000000000}"/>
  <bookViews>
    <workbookView xWindow="-120" yWindow="-120" windowWidth="29040" windowHeight="15720" tabRatio="601" xr2:uid="{DBE5751E-2BCE-41D1-ABA6-1958A9BC8754}"/>
  </bookViews>
  <sheets>
    <sheet name="JDG" sheetId="5" r:id="rId1"/>
  </sheets>
  <externalReferences>
    <externalReference r:id="rId2"/>
    <externalReference r:id="rId3"/>
    <externalReference r:id="rId4"/>
  </externalReferences>
  <definedNames>
    <definedName name="_xlnm._FilterDatabase" localSheetId="0" hidden="1">JDG!$A$1:$CW$150</definedName>
    <definedName name="_Hlk134790031" localSheetId="0">JDG!#REF!</definedName>
    <definedName name="_Hlk198112844" localSheetId="0">JDG!#REF!</definedName>
    <definedName name="_Hlk198125985" localSheetId="0">JDG!#REF!</definedName>
    <definedName name="_Hlk198132783" localSheetId="0">JDG!#REF!</definedName>
    <definedName name="_Hlk207369692" localSheetId="0">JDG!$S$71</definedName>
    <definedName name="Articles">JDG!$A$5:$AQ$498</definedName>
    <definedName name="BDDETI25">'[1]BDD ETI 2025'!$A$1:$AM$789</definedName>
    <definedName name="CODESEXPORT">#REF!</definedName>
    <definedName name="COMPOEN">'[1]BDD 2024 ANGLAIS'!$A$1:$L$683</definedName>
    <definedName name="EXPORT1">'[2]LISTE EXPORT'!$A$1:$E$75</definedName>
    <definedName name="PRIORITE">#REF!</definedName>
    <definedName name="RAJOUTS">'[2]IA_Rajouts EN'!$A$1:$K$99</definedName>
    <definedName name="TRADS">#REF!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U2" i="5" l="1"/>
  <c r="U3" i="5"/>
  <c r="U4" i="5"/>
  <c r="U5" i="5"/>
  <c r="U6" i="5"/>
  <c r="U7" i="5"/>
  <c r="U8" i="5"/>
  <c r="U9" i="5"/>
  <c r="U10" i="5"/>
  <c r="U11" i="5"/>
  <c r="U12" i="5"/>
  <c r="U13" i="5"/>
  <c r="U14" i="5"/>
  <c r="U15" i="5"/>
  <c r="U16" i="5"/>
  <c r="U17" i="5"/>
  <c r="U18" i="5"/>
  <c r="U19" i="5"/>
  <c r="U20" i="5"/>
  <c r="U21" i="5"/>
  <c r="U22" i="5"/>
  <c r="U23" i="5"/>
  <c r="U24" i="5"/>
  <c r="U25" i="5"/>
  <c r="U26" i="5"/>
  <c r="U27" i="5"/>
  <c r="U28" i="5"/>
  <c r="U29" i="5"/>
  <c r="U30" i="5"/>
  <c r="U31" i="5"/>
  <c r="U32" i="5"/>
  <c r="U33" i="5"/>
  <c r="U34" i="5"/>
  <c r="U35" i="5"/>
  <c r="U36" i="5"/>
  <c r="U37" i="5"/>
  <c r="U38" i="5"/>
  <c r="U39" i="5"/>
  <c r="U40" i="5"/>
  <c r="U41" i="5"/>
  <c r="U42" i="5"/>
  <c r="U43" i="5"/>
  <c r="U44" i="5"/>
  <c r="U45" i="5"/>
  <c r="U46" i="5"/>
  <c r="U47" i="5"/>
  <c r="U48" i="5"/>
  <c r="U49" i="5"/>
  <c r="U50" i="5"/>
  <c r="U51" i="5"/>
  <c r="U52" i="5"/>
  <c r="U53" i="5"/>
  <c r="U54" i="5"/>
  <c r="U55" i="5"/>
  <c r="U56" i="5"/>
  <c r="U57" i="5"/>
  <c r="U58" i="5"/>
  <c r="U59" i="5"/>
  <c r="U60" i="5"/>
  <c r="U61" i="5"/>
  <c r="U62" i="5"/>
  <c r="U63" i="5"/>
  <c r="U64" i="5"/>
  <c r="U65" i="5"/>
  <c r="U66" i="5"/>
  <c r="U67" i="5"/>
  <c r="U68" i="5"/>
  <c r="U69" i="5"/>
  <c r="U70" i="5"/>
  <c r="U71" i="5"/>
  <c r="U72" i="5"/>
  <c r="U73" i="5"/>
  <c r="U74" i="5"/>
  <c r="U75" i="5"/>
  <c r="U76" i="5"/>
  <c r="U77" i="5"/>
  <c r="U78" i="5"/>
  <c r="U79" i="5"/>
  <c r="U80" i="5"/>
  <c r="U81" i="5"/>
  <c r="U82" i="5"/>
  <c r="U83" i="5"/>
  <c r="U84" i="5"/>
  <c r="U85" i="5"/>
  <c r="U86" i="5"/>
  <c r="U87" i="5"/>
  <c r="U88" i="5"/>
  <c r="U89" i="5"/>
  <c r="U90" i="5"/>
  <c r="U91" i="5"/>
  <c r="U92" i="5"/>
  <c r="U93" i="5"/>
  <c r="U94" i="5"/>
  <c r="U95" i="5"/>
  <c r="U96" i="5"/>
  <c r="U97" i="5"/>
  <c r="U98" i="5"/>
  <c r="U99" i="5"/>
  <c r="U100" i="5"/>
  <c r="U101" i="5"/>
  <c r="U102" i="5"/>
  <c r="U103" i="5"/>
  <c r="U104" i="5"/>
  <c r="U105" i="5"/>
  <c r="U106" i="5"/>
  <c r="U107" i="5"/>
  <c r="U108" i="5"/>
  <c r="U109" i="5"/>
  <c r="U110" i="5"/>
  <c r="U111" i="5"/>
  <c r="U112" i="5"/>
  <c r="U113" i="5"/>
  <c r="U114" i="5"/>
  <c r="U115" i="5"/>
  <c r="U116" i="5"/>
  <c r="U117" i="5"/>
  <c r="U118" i="5"/>
  <c r="U119" i="5"/>
  <c r="U120" i="5"/>
  <c r="U121" i="5"/>
  <c r="U122" i="5"/>
  <c r="U123" i="5"/>
  <c r="U124" i="5"/>
  <c r="U125" i="5"/>
  <c r="U126" i="5"/>
  <c r="U127" i="5"/>
  <c r="U128" i="5"/>
  <c r="U129" i="5"/>
  <c r="U130" i="5"/>
  <c r="U131" i="5"/>
  <c r="U132" i="5"/>
  <c r="U133" i="5"/>
  <c r="U134" i="5"/>
  <c r="U135" i="5"/>
  <c r="U136" i="5"/>
  <c r="U137" i="5"/>
  <c r="U138" i="5"/>
  <c r="U139" i="5"/>
  <c r="U140" i="5"/>
  <c r="U141" i="5"/>
  <c r="U142" i="5"/>
  <c r="U143" i="5"/>
  <c r="U144" i="5"/>
  <c r="U145" i="5"/>
  <c r="U146" i="5"/>
  <c r="U147" i="5"/>
  <c r="U148" i="5"/>
  <c r="U149" i="5"/>
  <c r="U150" i="5"/>
  <c r="BN2" i="5"/>
  <c r="BV2" i="5"/>
  <c r="BW2" i="5"/>
  <c r="BX2" i="5"/>
  <c r="BY2" i="5"/>
  <c r="BZ2" i="5"/>
  <c r="CA2" i="5"/>
  <c r="CB2" i="5"/>
  <c r="CC2" i="5"/>
  <c r="CD2" i="5"/>
  <c r="CE2" i="5"/>
  <c r="CF2" i="5"/>
  <c r="CG2" i="5"/>
  <c r="CH2" i="5"/>
  <c r="CI2" i="5"/>
  <c r="CJ2" i="5"/>
  <c r="CK2" i="5"/>
  <c r="CL2" i="5"/>
  <c r="CM2" i="5"/>
  <c r="CN2" i="5"/>
  <c r="CO2" i="5"/>
  <c r="CP2" i="5"/>
  <c r="CQ2" i="5"/>
  <c r="CR2" i="5"/>
  <c r="CS2" i="5"/>
  <c r="CT2" i="5"/>
  <c r="CU2" i="5"/>
  <c r="CV2" i="5"/>
  <c r="CW2" i="5"/>
  <c r="BN3" i="5"/>
  <c r="BV3" i="5"/>
  <c r="BW3" i="5"/>
  <c r="BX3" i="5"/>
  <c r="BY3" i="5"/>
  <c r="BZ3" i="5"/>
  <c r="CA3" i="5"/>
  <c r="CB3" i="5"/>
  <c r="CC3" i="5"/>
  <c r="CD3" i="5"/>
  <c r="CE3" i="5"/>
  <c r="CF3" i="5"/>
  <c r="CG3" i="5"/>
  <c r="CH3" i="5"/>
  <c r="CI3" i="5"/>
  <c r="CJ3" i="5"/>
  <c r="CK3" i="5"/>
  <c r="CL3" i="5"/>
  <c r="CM3" i="5"/>
  <c r="CN3" i="5"/>
  <c r="CO3" i="5"/>
  <c r="CP3" i="5"/>
  <c r="CQ3" i="5"/>
  <c r="CR3" i="5"/>
  <c r="CS3" i="5"/>
  <c r="CT3" i="5"/>
  <c r="CU3" i="5"/>
  <c r="CV3" i="5"/>
  <c r="CW3" i="5"/>
  <c r="BN4" i="5"/>
  <c r="BV4" i="5"/>
  <c r="BW4" i="5"/>
  <c r="BX4" i="5"/>
  <c r="BY4" i="5"/>
  <c r="BZ4" i="5"/>
  <c r="CA4" i="5"/>
  <c r="CB4" i="5"/>
  <c r="CC4" i="5"/>
  <c r="CD4" i="5"/>
  <c r="CE4" i="5"/>
  <c r="CF4" i="5"/>
  <c r="CG4" i="5"/>
  <c r="CH4" i="5"/>
  <c r="CI4" i="5"/>
  <c r="CJ4" i="5"/>
  <c r="CK4" i="5"/>
  <c r="CL4" i="5"/>
  <c r="CM4" i="5"/>
  <c r="CN4" i="5"/>
  <c r="CO4" i="5"/>
  <c r="CP4" i="5"/>
  <c r="CQ4" i="5"/>
  <c r="CR4" i="5"/>
  <c r="CS4" i="5"/>
  <c r="CT4" i="5"/>
  <c r="CU4" i="5"/>
  <c r="CV4" i="5"/>
  <c r="CW4" i="5"/>
  <c r="CW152" i="5" l="1"/>
  <c r="CV152" i="5"/>
  <c r="CU152" i="5"/>
  <c r="CT152" i="5"/>
  <c r="CS152" i="5"/>
  <c r="CR152" i="5"/>
  <c r="CQ152" i="5"/>
  <c r="CP152" i="5"/>
  <c r="CO152" i="5"/>
  <c r="CN152" i="5"/>
  <c r="CM152" i="5"/>
  <c r="CL152" i="5"/>
  <c r="CK152" i="5"/>
  <c r="CJ152" i="5"/>
  <c r="CI152" i="5"/>
  <c r="CH152" i="5"/>
  <c r="CG152" i="5"/>
  <c r="CF152" i="5"/>
  <c r="CE152" i="5"/>
  <c r="CD152" i="5"/>
  <c r="CC152" i="5"/>
  <c r="CB152" i="5"/>
  <c r="CA152" i="5"/>
  <c r="BZ152" i="5"/>
  <c r="BY152" i="5"/>
  <c r="BX152" i="5"/>
  <c r="BW152" i="5"/>
  <c r="BV152" i="5"/>
  <c r="BN152" i="5"/>
  <c r="U152" i="5"/>
  <c r="CW151" i="5"/>
  <c r="CV151" i="5"/>
  <c r="CU151" i="5"/>
  <c r="CT151" i="5"/>
  <c r="CS151" i="5"/>
  <c r="CR151" i="5"/>
  <c r="CQ151" i="5"/>
  <c r="CP151" i="5"/>
  <c r="CO151" i="5"/>
  <c r="CN151" i="5"/>
  <c r="CM151" i="5"/>
  <c r="CL151" i="5"/>
  <c r="CK151" i="5"/>
  <c r="CJ151" i="5"/>
  <c r="CI151" i="5"/>
  <c r="CH151" i="5"/>
  <c r="CG151" i="5"/>
  <c r="CF151" i="5"/>
  <c r="CE151" i="5"/>
  <c r="CD151" i="5"/>
  <c r="CC151" i="5"/>
  <c r="CB151" i="5"/>
  <c r="CA151" i="5"/>
  <c r="BZ151" i="5"/>
  <c r="BY151" i="5"/>
  <c r="BX151" i="5"/>
  <c r="BW151" i="5"/>
  <c r="BV151" i="5"/>
  <c r="BN151" i="5"/>
  <c r="U151" i="5"/>
  <c r="BN59" i="5" l="1"/>
  <c r="BV59" i="5"/>
  <c r="BW59" i="5"/>
  <c r="BX59" i="5"/>
  <c r="BY59" i="5"/>
  <c r="BZ59" i="5"/>
  <c r="CA59" i="5"/>
  <c r="CB59" i="5"/>
  <c r="CC59" i="5"/>
  <c r="CD59" i="5"/>
  <c r="CE59" i="5"/>
  <c r="CF59" i="5"/>
  <c r="CG59" i="5"/>
  <c r="CH59" i="5"/>
  <c r="CI59" i="5"/>
  <c r="CJ59" i="5"/>
  <c r="CK59" i="5"/>
  <c r="CL59" i="5"/>
  <c r="CM59" i="5"/>
  <c r="CN59" i="5"/>
  <c r="CO59" i="5"/>
  <c r="CP59" i="5"/>
  <c r="CQ59" i="5"/>
  <c r="CR59" i="5"/>
  <c r="CS59" i="5"/>
  <c r="CT59" i="5"/>
  <c r="CU59" i="5"/>
  <c r="CV59" i="5"/>
  <c r="CW59" i="5"/>
  <c r="BV125" i="5" l="1"/>
  <c r="BW125" i="5"/>
  <c r="BX125" i="5"/>
  <c r="BY125" i="5"/>
  <c r="BZ125" i="5"/>
  <c r="CA125" i="5"/>
  <c r="CB125" i="5"/>
  <c r="CC125" i="5"/>
  <c r="CD125" i="5"/>
  <c r="CE125" i="5"/>
  <c r="CF125" i="5"/>
  <c r="CG125" i="5"/>
  <c r="CH125" i="5"/>
  <c r="CI125" i="5"/>
  <c r="CJ125" i="5"/>
  <c r="CK125" i="5"/>
  <c r="CL125" i="5"/>
  <c r="CM125" i="5"/>
  <c r="CN125" i="5"/>
  <c r="CO125" i="5"/>
  <c r="CP125" i="5"/>
  <c r="CQ125" i="5"/>
  <c r="CR125" i="5"/>
  <c r="CS125" i="5"/>
  <c r="CT125" i="5"/>
  <c r="CU125" i="5"/>
  <c r="CV125" i="5"/>
  <c r="CW125" i="5"/>
  <c r="BV5" i="5"/>
  <c r="BW5" i="5"/>
  <c r="BX5" i="5"/>
  <c r="BY5" i="5"/>
  <c r="BZ5" i="5"/>
  <c r="CA5" i="5"/>
  <c r="CB5" i="5"/>
  <c r="CC5" i="5"/>
  <c r="CD5" i="5"/>
  <c r="CE5" i="5"/>
  <c r="CF5" i="5"/>
  <c r="CG5" i="5"/>
  <c r="CH5" i="5"/>
  <c r="CI5" i="5"/>
  <c r="CJ5" i="5"/>
  <c r="CK5" i="5"/>
  <c r="CL5" i="5"/>
  <c r="CM5" i="5"/>
  <c r="CN5" i="5"/>
  <c r="CO5" i="5"/>
  <c r="CP5" i="5"/>
  <c r="CQ5" i="5"/>
  <c r="CR5" i="5"/>
  <c r="CS5" i="5"/>
  <c r="CT5" i="5"/>
  <c r="CU5" i="5"/>
  <c r="CV5" i="5"/>
  <c r="CW5" i="5"/>
  <c r="BV6" i="5"/>
  <c r="BW6" i="5"/>
  <c r="BX6" i="5"/>
  <c r="BY6" i="5"/>
  <c r="BZ6" i="5"/>
  <c r="CA6" i="5"/>
  <c r="CB6" i="5"/>
  <c r="CC6" i="5"/>
  <c r="CD6" i="5"/>
  <c r="CE6" i="5"/>
  <c r="CF6" i="5"/>
  <c r="CG6" i="5"/>
  <c r="CH6" i="5"/>
  <c r="CI6" i="5"/>
  <c r="CJ6" i="5"/>
  <c r="CK6" i="5"/>
  <c r="CL6" i="5"/>
  <c r="CM6" i="5"/>
  <c r="CN6" i="5"/>
  <c r="CO6" i="5"/>
  <c r="CP6" i="5"/>
  <c r="CQ6" i="5"/>
  <c r="CR6" i="5"/>
  <c r="CS6" i="5"/>
  <c r="CT6" i="5"/>
  <c r="CU6" i="5"/>
  <c r="CV6" i="5"/>
  <c r="CW6" i="5"/>
  <c r="BV7" i="5"/>
  <c r="BW7" i="5"/>
  <c r="BX7" i="5"/>
  <c r="BY7" i="5"/>
  <c r="BZ7" i="5"/>
  <c r="CA7" i="5"/>
  <c r="CB7" i="5"/>
  <c r="CC7" i="5"/>
  <c r="CD7" i="5"/>
  <c r="CE7" i="5"/>
  <c r="CF7" i="5"/>
  <c r="CG7" i="5"/>
  <c r="CH7" i="5"/>
  <c r="CI7" i="5"/>
  <c r="CJ7" i="5"/>
  <c r="CK7" i="5"/>
  <c r="CL7" i="5"/>
  <c r="CM7" i="5"/>
  <c r="CN7" i="5"/>
  <c r="CO7" i="5"/>
  <c r="CP7" i="5"/>
  <c r="CQ7" i="5"/>
  <c r="CR7" i="5"/>
  <c r="CS7" i="5"/>
  <c r="CT7" i="5"/>
  <c r="CU7" i="5"/>
  <c r="CV7" i="5"/>
  <c r="CW7" i="5"/>
  <c r="BV8" i="5"/>
  <c r="BW8" i="5"/>
  <c r="BX8" i="5"/>
  <c r="BY8" i="5"/>
  <c r="BZ8" i="5"/>
  <c r="CA8" i="5"/>
  <c r="CB8" i="5"/>
  <c r="CC8" i="5"/>
  <c r="CD8" i="5"/>
  <c r="CE8" i="5"/>
  <c r="CF8" i="5"/>
  <c r="CG8" i="5"/>
  <c r="CH8" i="5"/>
  <c r="CI8" i="5"/>
  <c r="CJ8" i="5"/>
  <c r="CK8" i="5"/>
  <c r="CL8" i="5"/>
  <c r="CM8" i="5"/>
  <c r="CN8" i="5"/>
  <c r="CO8" i="5"/>
  <c r="CP8" i="5"/>
  <c r="CQ8" i="5"/>
  <c r="CR8" i="5"/>
  <c r="CS8" i="5"/>
  <c r="CT8" i="5"/>
  <c r="CU8" i="5"/>
  <c r="CV8" i="5"/>
  <c r="CW8" i="5"/>
  <c r="BV9" i="5"/>
  <c r="BW9" i="5"/>
  <c r="BX9" i="5"/>
  <c r="BY9" i="5"/>
  <c r="BZ9" i="5"/>
  <c r="CA9" i="5"/>
  <c r="CB9" i="5"/>
  <c r="CC9" i="5"/>
  <c r="CD9" i="5"/>
  <c r="CE9" i="5"/>
  <c r="CF9" i="5"/>
  <c r="CG9" i="5"/>
  <c r="CH9" i="5"/>
  <c r="CI9" i="5"/>
  <c r="CJ9" i="5"/>
  <c r="CK9" i="5"/>
  <c r="CL9" i="5"/>
  <c r="CM9" i="5"/>
  <c r="CN9" i="5"/>
  <c r="CO9" i="5"/>
  <c r="CP9" i="5"/>
  <c r="CQ9" i="5"/>
  <c r="CR9" i="5"/>
  <c r="CS9" i="5"/>
  <c r="CT9" i="5"/>
  <c r="CU9" i="5"/>
  <c r="CV9" i="5"/>
  <c r="CW9" i="5"/>
  <c r="BV10" i="5"/>
  <c r="BW10" i="5"/>
  <c r="BX10" i="5"/>
  <c r="BY10" i="5"/>
  <c r="BZ10" i="5"/>
  <c r="CA10" i="5"/>
  <c r="CB10" i="5"/>
  <c r="CC10" i="5"/>
  <c r="CD10" i="5"/>
  <c r="CE10" i="5"/>
  <c r="CF10" i="5"/>
  <c r="CG10" i="5"/>
  <c r="CH10" i="5"/>
  <c r="CI10" i="5"/>
  <c r="CJ10" i="5"/>
  <c r="CK10" i="5"/>
  <c r="CL10" i="5"/>
  <c r="CM10" i="5"/>
  <c r="CN10" i="5"/>
  <c r="CO10" i="5"/>
  <c r="CP10" i="5"/>
  <c r="CQ10" i="5"/>
  <c r="CR10" i="5"/>
  <c r="CS10" i="5"/>
  <c r="CT10" i="5"/>
  <c r="CU10" i="5"/>
  <c r="CV10" i="5"/>
  <c r="CW10" i="5"/>
  <c r="BV11" i="5"/>
  <c r="BW11" i="5"/>
  <c r="BX11" i="5"/>
  <c r="BY11" i="5"/>
  <c r="BZ11" i="5"/>
  <c r="CA11" i="5"/>
  <c r="CB11" i="5"/>
  <c r="CC11" i="5"/>
  <c r="CD11" i="5"/>
  <c r="CE11" i="5"/>
  <c r="CF11" i="5"/>
  <c r="CG11" i="5"/>
  <c r="CH11" i="5"/>
  <c r="CI11" i="5"/>
  <c r="CJ11" i="5"/>
  <c r="CK11" i="5"/>
  <c r="CL11" i="5"/>
  <c r="CM11" i="5"/>
  <c r="CN11" i="5"/>
  <c r="CO11" i="5"/>
  <c r="CP11" i="5"/>
  <c r="CQ11" i="5"/>
  <c r="CR11" i="5"/>
  <c r="CS11" i="5"/>
  <c r="CT11" i="5"/>
  <c r="CU11" i="5"/>
  <c r="CV11" i="5"/>
  <c r="CW11" i="5"/>
  <c r="BV12" i="5"/>
  <c r="BW12" i="5"/>
  <c r="BX12" i="5"/>
  <c r="BY12" i="5"/>
  <c r="BZ12" i="5"/>
  <c r="CA12" i="5"/>
  <c r="CB12" i="5"/>
  <c r="CC12" i="5"/>
  <c r="CD12" i="5"/>
  <c r="CE12" i="5"/>
  <c r="CF12" i="5"/>
  <c r="CG12" i="5"/>
  <c r="CH12" i="5"/>
  <c r="CI12" i="5"/>
  <c r="CJ12" i="5"/>
  <c r="CK12" i="5"/>
  <c r="CL12" i="5"/>
  <c r="CM12" i="5"/>
  <c r="CN12" i="5"/>
  <c r="CO12" i="5"/>
  <c r="CP12" i="5"/>
  <c r="CQ12" i="5"/>
  <c r="CR12" i="5"/>
  <c r="CS12" i="5"/>
  <c r="CT12" i="5"/>
  <c r="CU12" i="5"/>
  <c r="CV12" i="5"/>
  <c r="CW12" i="5"/>
  <c r="BV13" i="5"/>
  <c r="BW13" i="5"/>
  <c r="BX13" i="5"/>
  <c r="BY13" i="5"/>
  <c r="BZ13" i="5"/>
  <c r="CA13" i="5"/>
  <c r="CB13" i="5"/>
  <c r="CC13" i="5"/>
  <c r="CD13" i="5"/>
  <c r="CE13" i="5"/>
  <c r="CF13" i="5"/>
  <c r="CG13" i="5"/>
  <c r="CH13" i="5"/>
  <c r="CI13" i="5"/>
  <c r="CJ13" i="5"/>
  <c r="CK13" i="5"/>
  <c r="CL13" i="5"/>
  <c r="CM13" i="5"/>
  <c r="CN13" i="5"/>
  <c r="CO13" i="5"/>
  <c r="CP13" i="5"/>
  <c r="CQ13" i="5"/>
  <c r="CR13" i="5"/>
  <c r="CS13" i="5"/>
  <c r="CT13" i="5"/>
  <c r="CU13" i="5"/>
  <c r="CV13" i="5"/>
  <c r="CW13" i="5"/>
  <c r="BV14" i="5"/>
  <c r="BW14" i="5"/>
  <c r="BX14" i="5"/>
  <c r="BY14" i="5"/>
  <c r="BZ14" i="5"/>
  <c r="CA14" i="5"/>
  <c r="CB14" i="5"/>
  <c r="CC14" i="5"/>
  <c r="CD14" i="5"/>
  <c r="CE14" i="5"/>
  <c r="CF14" i="5"/>
  <c r="CG14" i="5"/>
  <c r="CH14" i="5"/>
  <c r="CI14" i="5"/>
  <c r="CJ14" i="5"/>
  <c r="CK14" i="5"/>
  <c r="CL14" i="5"/>
  <c r="CM14" i="5"/>
  <c r="CN14" i="5"/>
  <c r="CO14" i="5"/>
  <c r="CP14" i="5"/>
  <c r="CQ14" i="5"/>
  <c r="CR14" i="5"/>
  <c r="CS14" i="5"/>
  <c r="CT14" i="5"/>
  <c r="CU14" i="5"/>
  <c r="CV14" i="5"/>
  <c r="CW14" i="5"/>
  <c r="BV15" i="5"/>
  <c r="BW15" i="5"/>
  <c r="BX15" i="5"/>
  <c r="BY15" i="5"/>
  <c r="BZ15" i="5"/>
  <c r="CA15" i="5"/>
  <c r="CB15" i="5"/>
  <c r="CC15" i="5"/>
  <c r="CD15" i="5"/>
  <c r="CE15" i="5"/>
  <c r="CF15" i="5"/>
  <c r="CG15" i="5"/>
  <c r="CH15" i="5"/>
  <c r="CI15" i="5"/>
  <c r="CJ15" i="5"/>
  <c r="CK15" i="5"/>
  <c r="CL15" i="5"/>
  <c r="CM15" i="5"/>
  <c r="CN15" i="5"/>
  <c r="CO15" i="5"/>
  <c r="CP15" i="5"/>
  <c r="CQ15" i="5"/>
  <c r="CR15" i="5"/>
  <c r="CS15" i="5"/>
  <c r="CT15" i="5"/>
  <c r="CU15" i="5"/>
  <c r="CV15" i="5"/>
  <c r="CW15" i="5"/>
  <c r="BV16" i="5"/>
  <c r="BW16" i="5"/>
  <c r="BX16" i="5"/>
  <c r="BY16" i="5"/>
  <c r="BZ16" i="5"/>
  <c r="CA16" i="5"/>
  <c r="CB16" i="5"/>
  <c r="CC16" i="5"/>
  <c r="CD16" i="5"/>
  <c r="CE16" i="5"/>
  <c r="CF16" i="5"/>
  <c r="CG16" i="5"/>
  <c r="CH16" i="5"/>
  <c r="CI16" i="5"/>
  <c r="CJ16" i="5"/>
  <c r="CK16" i="5"/>
  <c r="CL16" i="5"/>
  <c r="CM16" i="5"/>
  <c r="CN16" i="5"/>
  <c r="CO16" i="5"/>
  <c r="CP16" i="5"/>
  <c r="CQ16" i="5"/>
  <c r="CR16" i="5"/>
  <c r="CS16" i="5"/>
  <c r="CT16" i="5"/>
  <c r="CU16" i="5"/>
  <c r="CV16" i="5"/>
  <c r="CW16" i="5"/>
  <c r="BV17" i="5"/>
  <c r="BW17" i="5"/>
  <c r="BX17" i="5"/>
  <c r="BY17" i="5"/>
  <c r="BZ17" i="5"/>
  <c r="CA17" i="5"/>
  <c r="CB17" i="5"/>
  <c r="CC17" i="5"/>
  <c r="CD17" i="5"/>
  <c r="CE17" i="5"/>
  <c r="CF17" i="5"/>
  <c r="CG17" i="5"/>
  <c r="CH17" i="5"/>
  <c r="CI17" i="5"/>
  <c r="CJ17" i="5"/>
  <c r="CK17" i="5"/>
  <c r="CL17" i="5"/>
  <c r="CM17" i="5"/>
  <c r="CN17" i="5"/>
  <c r="CO17" i="5"/>
  <c r="CP17" i="5"/>
  <c r="CQ17" i="5"/>
  <c r="CR17" i="5"/>
  <c r="CS17" i="5"/>
  <c r="CT17" i="5"/>
  <c r="CU17" i="5"/>
  <c r="CV17" i="5"/>
  <c r="CW17" i="5"/>
  <c r="BV18" i="5"/>
  <c r="BW18" i="5"/>
  <c r="BX18" i="5"/>
  <c r="BY18" i="5"/>
  <c r="BZ18" i="5"/>
  <c r="CA18" i="5"/>
  <c r="CB18" i="5"/>
  <c r="CC18" i="5"/>
  <c r="CD18" i="5"/>
  <c r="CE18" i="5"/>
  <c r="CF18" i="5"/>
  <c r="CG18" i="5"/>
  <c r="CH18" i="5"/>
  <c r="CI18" i="5"/>
  <c r="CJ18" i="5"/>
  <c r="CK18" i="5"/>
  <c r="CL18" i="5"/>
  <c r="CM18" i="5"/>
  <c r="CN18" i="5"/>
  <c r="CO18" i="5"/>
  <c r="CP18" i="5"/>
  <c r="CQ18" i="5"/>
  <c r="CR18" i="5"/>
  <c r="CS18" i="5"/>
  <c r="CT18" i="5"/>
  <c r="CU18" i="5"/>
  <c r="CV18" i="5"/>
  <c r="CW18" i="5"/>
  <c r="BV19" i="5"/>
  <c r="BW19" i="5"/>
  <c r="BX19" i="5"/>
  <c r="BY19" i="5"/>
  <c r="BZ19" i="5"/>
  <c r="CA19" i="5"/>
  <c r="CB19" i="5"/>
  <c r="CC19" i="5"/>
  <c r="CD19" i="5"/>
  <c r="CE19" i="5"/>
  <c r="CF19" i="5"/>
  <c r="CG19" i="5"/>
  <c r="CH19" i="5"/>
  <c r="CI19" i="5"/>
  <c r="CJ19" i="5"/>
  <c r="CK19" i="5"/>
  <c r="CL19" i="5"/>
  <c r="CM19" i="5"/>
  <c r="CN19" i="5"/>
  <c r="CO19" i="5"/>
  <c r="CP19" i="5"/>
  <c r="CQ19" i="5"/>
  <c r="CR19" i="5"/>
  <c r="CS19" i="5"/>
  <c r="CT19" i="5"/>
  <c r="CU19" i="5"/>
  <c r="CV19" i="5"/>
  <c r="CW19" i="5"/>
  <c r="BV20" i="5"/>
  <c r="BW20" i="5"/>
  <c r="BX20" i="5"/>
  <c r="BY20" i="5"/>
  <c r="BZ20" i="5"/>
  <c r="CA20" i="5"/>
  <c r="CB20" i="5"/>
  <c r="CC20" i="5"/>
  <c r="CD20" i="5"/>
  <c r="CE20" i="5"/>
  <c r="CF20" i="5"/>
  <c r="CG20" i="5"/>
  <c r="CH20" i="5"/>
  <c r="CI20" i="5"/>
  <c r="CJ20" i="5"/>
  <c r="CK20" i="5"/>
  <c r="CL20" i="5"/>
  <c r="CM20" i="5"/>
  <c r="CN20" i="5"/>
  <c r="CO20" i="5"/>
  <c r="CP20" i="5"/>
  <c r="CQ20" i="5"/>
  <c r="CR20" i="5"/>
  <c r="CS20" i="5"/>
  <c r="CT20" i="5"/>
  <c r="CU20" i="5"/>
  <c r="CV20" i="5"/>
  <c r="CW20" i="5"/>
  <c r="BV21" i="5"/>
  <c r="BW21" i="5"/>
  <c r="BX21" i="5"/>
  <c r="BY21" i="5"/>
  <c r="BZ21" i="5"/>
  <c r="CA21" i="5"/>
  <c r="CB21" i="5"/>
  <c r="CC21" i="5"/>
  <c r="CD21" i="5"/>
  <c r="CE21" i="5"/>
  <c r="CF21" i="5"/>
  <c r="CG21" i="5"/>
  <c r="CH21" i="5"/>
  <c r="CI21" i="5"/>
  <c r="CJ21" i="5"/>
  <c r="CK21" i="5"/>
  <c r="CL21" i="5"/>
  <c r="CM21" i="5"/>
  <c r="CN21" i="5"/>
  <c r="CO21" i="5"/>
  <c r="CP21" i="5"/>
  <c r="CQ21" i="5"/>
  <c r="CR21" i="5"/>
  <c r="CS21" i="5"/>
  <c r="CT21" i="5"/>
  <c r="CU21" i="5"/>
  <c r="CV21" i="5"/>
  <c r="CW21" i="5"/>
  <c r="BV22" i="5"/>
  <c r="BW22" i="5"/>
  <c r="BX22" i="5"/>
  <c r="BY22" i="5"/>
  <c r="BZ22" i="5"/>
  <c r="CA22" i="5"/>
  <c r="CB22" i="5"/>
  <c r="CC22" i="5"/>
  <c r="CD22" i="5"/>
  <c r="CE22" i="5"/>
  <c r="CF22" i="5"/>
  <c r="CG22" i="5"/>
  <c r="CH22" i="5"/>
  <c r="CI22" i="5"/>
  <c r="CJ22" i="5"/>
  <c r="CK22" i="5"/>
  <c r="CL22" i="5"/>
  <c r="CM22" i="5"/>
  <c r="CN22" i="5"/>
  <c r="CO22" i="5"/>
  <c r="CP22" i="5"/>
  <c r="CQ22" i="5"/>
  <c r="CR22" i="5"/>
  <c r="CS22" i="5"/>
  <c r="CT22" i="5"/>
  <c r="CU22" i="5"/>
  <c r="CV22" i="5"/>
  <c r="CW22" i="5"/>
  <c r="BV23" i="5"/>
  <c r="BW23" i="5"/>
  <c r="BX23" i="5"/>
  <c r="BY23" i="5"/>
  <c r="BZ23" i="5"/>
  <c r="CA23" i="5"/>
  <c r="CB23" i="5"/>
  <c r="CC23" i="5"/>
  <c r="CD23" i="5"/>
  <c r="CE23" i="5"/>
  <c r="CF23" i="5"/>
  <c r="CG23" i="5"/>
  <c r="CH23" i="5"/>
  <c r="CI23" i="5"/>
  <c r="CJ23" i="5"/>
  <c r="CK23" i="5"/>
  <c r="CL23" i="5"/>
  <c r="CM23" i="5"/>
  <c r="CN23" i="5"/>
  <c r="CO23" i="5"/>
  <c r="CP23" i="5"/>
  <c r="CQ23" i="5"/>
  <c r="CR23" i="5"/>
  <c r="CS23" i="5"/>
  <c r="CT23" i="5"/>
  <c r="CU23" i="5"/>
  <c r="CV23" i="5"/>
  <c r="CW23" i="5"/>
  <c r="BV24" i="5"/>
  <c r="BW24" i="5"/>
  <c r="BX24" i="5"/>
  <c r="BY24" i="5"/>
  <c r="BZ24" i="5"/>
  <c r="CA24" i="5"/>
  <c r="CB24" i="5"/>
  <c r="CC24" i="5"/>
  <c r="CD24" i="5"/>
  <c r="CE24" i="5"/>
  <c r="CF24" i="5"/>
  <c r="CG24" i="5"/>
  <c r="CH24" i="5"/>
  <c r="CI24" i="5"/>
  <c r="CJ24" i="5"/>
  <c r="CK24" i="5"/>
  <c r="CL24" i="5"/>
  <c r="CM24" i="5"/>
  <c r="CN24" i="5"/>
  <c r="CO24" i="5"/>
  <c r="CP24" i="5"/>
  <c r="CQ24" i="5"/>
  <c r="CR24" i="5"/>
  <c r="CS24" i="5"/>
  <c r="CT24" i="5"/>
  <c r="CU24" i="5"/>
  <c r="CV24" i="5"/>
  <c r="CW24" i="5"/>
  <c r="BV25" i="5"/>
  <c r="BW25" i="5"/>
  <c r="BX25" i="5"/>
  <c r="BY25" i="5"/>
  <c r="BZ25" i="5"/>
  <c r="CA25" i="5"/>
  <c r="CB25" i="5"/>
  <c r="CC25" i="5"/>
  <c r="CD25" i="5"/>
  <c r="CE25" i="5"/>
  <c r="CF25" i="5"/>
  <c r="CG25" i="5"/>
  <c r="CH25" i="5"/>
  <c r="CI25" i="5"/>
  <c r="CJ25" i="5"/>
  <c r="CK25" i="5"/>
  <c r="CL25" i="5"/>
  <c r="CM25" i="5"/>
  <c r="CN25" i="5"/>
  <c r="CO25" i="5"/>
  <c r="CP25" i="5"/>
  <c r="CQ25" i="5"/>
  <c r="CR25" i="5"/>
  <c r="CS25" i="5"/>
  <c r="CT25" i="5"/>
  <c r="CU25" i="5"/>
  <c r="CV25" i="5"/>
  <c r="CW25" i="5"/>
  <c r="BV26" i="5"/>
  <c r="BW26" i="5"/>
  <c r="BX26" i="5"/>
  <c r="BY26" i="5"/>
  <c r="BZ26" i="5"/>
  <c r="CA26" i="5"/>
  <c r="CB26" i="5"/>
  <c r="CC26" i="5"/>
  <c r="CD26" i="5"/>
  <c r="CE26" i="5"/>
  <c r="CF26" i="5"/>
  <c r="CG26" i="5"/>
  <c r="CH26" i="5"/>
  <c r="CI26" i="5"/>
  <c r="CJ26" i="5"/>
  <c r="CK26" i="5"/>
  <c r="CL26" i="5"/>
  <c r="CM26" i="5"/>
  <c r="CN26" i="5"/>
  <c r="CO26" i="5"/>
  <c r="CP26" i="5"/>
  <c r="CQ26" i="5"/>
  <c r="CR26" i="5"/>
  <c r="CS26" i="5"/>
  <c r="CT26" i="5"/>
  <c r="CU26" i="5"/>
  <c r="CV26" i="5"/>
  <c r="CW26" i="5"/>
  <c r="BV27" i="5"/>
  <c r="BW27" i="5"/>
  <c r="BX27" i="5"/>
  <c r="BY27" i="5"/>
  <c r="BZ27" i="5"/>
  <c r="CA27" i="5"/>
  <c r="CB27" i="5"/>
  <c r="CC27" i="5"/>
  <c r="CD27" i="5"/>
  <c r="CE27" i="5"/>
  <c r="CF27" i="5"/>
  <c r="CG27" i="5"/>
  <c r="CH27" i="5"/>
  <c r="CI27" i="5"/>
  <c r="CJ27" i="5"/>
  <c r="CK27" i="5"/>
  <c r="CL27" i="5"/>
  <c r="CM27" i="5"/>
  <c r="CN27" i="5"/>
  <c r="CO27" i="5"/>
  <c r="CP27" i="5"/>
  <c r="CQ27" i="5"/>
  <c r="CR27" i="5"/>
  <c r="CS27" i="5"/>
  <c r="CT27" i="5"/>
  <c r="CU27" i="5"/>
  <c r="CV27" i="5"/>
  <c r="CW27" i="5"/>
  <c r="BV28" i="5"/>
  <c r="BW28" i="5"/>
  <c r="BX28" i="5"/>
  <c r="BY28" i="5"/>
  <c r="BZ28" i="5"/>
  <c r="CA28" i="5"/>
  <c r="CB28" i="5"/>
  <c r="CC28" i="5"/>
  <c r="CD28" i="5"/>
  <c r="CE28" i="5"/>
  <c r="CF28" i="5"/>
  <c r="CG28" i="5"/>
  <c r="CH28" i="5"/>
  <c r="CI28" i="5"/>
  <c r="CJ28" i="5"/>
  <c r="CK28" i="5"/>
  <c r="CL28" i="5"/>
  <c r="CM28" i="5"/>
  <c r="CN28" i="5"/>
  <c r="CO28" i="5"/>
  <c r="CP28" i="5"/>
  <c r="CQ28" i="5"/>
  <c r="CR28" i="5"/>
  <c r="CS28" i="5"/>
  <c r="CT28" i="5"/>
  <c r="CU28" i="5"/>
  <c r="CV28" i="5"/>
  <c r="CW28" i="5"/>
  <c r="BV29" i="5"/>
  <c r="BW29" i="5"/>
  <c r="BX29" i="5"/>
  <c r="BY29" i="5"/>
  <c r="BZ29" i="5"/>
  <c r="CA29" i="5"/>
  <c r="CB29" i="5"/>
  <c r="CC29" i="5"/>
  <c r="CD29" i="5"/>
  <c r="CE29" i="5"/>
  <c r="CF29" i="5"/>
  <c r="CG29" i="5"/>
  <c r="CH29" i="5"/>
  <c r="CI29" i="5"/>
  <c r="CJ29" i="5"/>
  <c r="CK29" i="5"/>
  <c r="CL29" i="5"/>
  <c r="CM29" i="5"/>
  <c r="CN29" i="5"/>
  <c r="CO29" i="5"/>
  <c r="CP29" i="5"/>
  <c r="CQ29" i="5"/>
  <c r="CR29" i="5"/>
  <c r="CS29" i="5"/>
  <c r="CT29" i="5"/>
  <c r="CU29" i="5"/>
  <c r="CV29" i="5"/>
  <c r="CW29" i="5"/>
  <c r="BV30" i="5"/>
  <c r="BW30" i="5"/>
  <c r="BX30" i="5"/>
  <c r="BY30" i="5"/>
  <c r="BZ30" i="5"/>
  <c r="CA30" i="5"/>
  <c r="CB30" i="5"/>
  <c r="CC30" i="5"/>
  <c r="CD30" i="5"/>
  <c r="CE30" i="5"/>
  <c r="CF30" i="5"/>
  <c r="CG30" i="5"/>
  <c r="CH30" i="5"/>
  <c r="CI30" i="5"/>
  <c r="CJ30" i="5"/>
  <c r="CK30" i="5"/>
  <c r="CL30" i="5"/>
  <c r="CM30" i="5"/>
  <c r="CN30" i="5"/>
  <c r="CO30" i="5"/>
  <c r="CP30" i="5"/>
  <c r="CQ30" i="5"/>
  <c r="CR30" i="5"/>
  <c r="CS30" i="5"/>
  <c r="CT30" i="5"/>
  <c r="CU30" i="5"/>
  <c r="CV30" i="5"/>
  <c r="CW30" i="5"/>
  <c r="BV31" i="5"/>
  <c r="BW31" i="5"/>
  <c r="BX31" i="5"/>
  <c r="BY31" i="5"/>
  <c r="BZ31" i="5"/>
  <c r="CA31" i="5"/>
  <c r="CB31" i="5"/>
  <c r="CC31" i="5"/>
  <c r="CD31" i="5"/>
  <c r="CE31" i="5"/>
  <c r="CF31" i="5"/>
  <c r="CG31" i="5"/>
  <c r="CH31" i="5"/>
  <c r="CI31" i="5"/>
  <c r="CJ31" i="5"/>
  <c r="CK31" i="5"/>
  <c r="CL31" i="5"/>
  <c r="CM31" i="5"/>
  <c r="CN31" i="5"/>
  <c r="CO31" i="5"/>
  <c r="CP31" i="5"/>
  <c r="CQ31" i="5"/>
  <c r="CR31" i="5"/>
  <c r="CS31" i="5"/>
  <c r="CT31" i="5"/>
  <c r="CU31" i="5"/>
  <c r="CV31" i="5"/>
  <c r="CW31" i="5"/>
  <c r="BV32" i="5"/>
  <c r="BW32" i="5"/>
  <c r="BX32" i="5"/>
  <c r="BY32" i="5"/>
  <c r="BZ32" i="5"/>
  <c r="CA32" i="5"/>
  <c r="CB32" i="5"/>
  <c r="CC32" i="5"/>
  <c r="CD32" i="5"/>
  <c r="CE32" i="5"/>
  <c r="CF32" i="5"/>
  <c r="CG32" i="5"/>
  <c r="CH32" i="5"/>
  <c r="CI32" i="5"/>
  <c r="CJ32" i="5"/>
  <c r="CK32" i="5"/>
  <c r="CL32" i="5"/>
  <c r="CM32" i="5"/>
  <c r="CN32" i="5"/>
  <c r="CO32" i="5"/>
  <c r="CP32" i="5"/>
  <c r="CQ32" i="5"/>
  <c r="CR32" i="5"/>
  <c r="CS32" i="5"/>
  <c r="CT32" i="5"/>
  <c r="CU32" i="5"/>
  <c r="CV32" i="5"/>
  <c r="CW32" i="5"/>
  <c r="BV33" i="5"/>
  <c r="BW33" i="5"/>
  <c r="BX33" i="5"/>
  <c r="BY33" i="5"/>
  <c r="BZ33" i="5"/>
  <c r="CA33" i="5"/>
  <c r="CB33" i="5"/>
  <c r="CC33" i="5"/>
  <c r="CD33" i="5"/>
  <c r="CE33" i="5"/>
  <c r="CF33" i="5"/>
  <c r="CG33" i="5"/>
  <c r="CH33" i="5"/>
  <c r="CI33" i="5"/>
  <c r="CJ33" i="5"/>
  <c r="CK33" i="5"/>
  <c r="CL33" i="5"/>
  <c r="CM33" i="5"/>
  <c r="CN33" i="5"/>
  <c r="CO33" i="5"/>
  <c r="CP33" i="5"/>
  <c r="CQ33" i="5"/>
  <c r="CR33" i="5"/>
  <c r="CS33" i="5"/>
  <c r="CT33" i="5"/>
  <c r="CU33" i="5"/>
  <c r="CV33" i="5"/>
  <c r="CW33" i="5"/>
  <c r="BX34" i="5"/>
  <c r="BY34" i="5"/>
  <c r="BZ34" i="5"/>
  <c r="CA34" i="5"/>
  <c r="CB34" i="5"/>
  <c r="CC34" i="5"/>
  <c r="CD34" i="5"/>
  <c r="CE34" i="5"/>
  <c r="CF34" i="5"/>
  <c r="CG34" i="5"/>
  <c r="CH34" i="5"/>
  <c r="CI34" i="5"/>
  <c r="CJ34" i="5"/>
  <c r="CK34" i="5"/>
  <c r="CL34" i="5"/>
  <c r="CM34" i="5"/>
  <c r="CN34" i="5"/>
  <c r="CO34" i="5"/>
  <c r="CP34" i="5"/>
  <c r="CQ34" i="5"/>
  <c r="CR34" i="5"/>
  <c r="CS34" i="5"/>
  <c r="CT34" i="5"/>
  <c r="CU34" i="5"/>
  <c r="CV34" i="5"/>
  <c r="CW34" i="5"/>
  <c r="BV35" i="5"/>
  <c r="BW35" i="5"/>
  <c r="BX35" i="5"/>
  <c r="BY35" i="5"/>
  <c r="BZ35" i="5"/>
  <c r="CA35" i="5"/>
  <c r="CB35" i="5"/>
  <c r="CC35" i="5"/>
  <c r="CD35" i="5"/>
  <c r="CE35" i="5"/>
  <c r="CF35" i="5"/>
  <c r="CG35" i="5"/>
  <c r="CH35" i="5"/>
  <c r="CI35" i="5"/>
  <c r="CJ35" i="5"/>
  <c r="CK35" i="5"/>
  <c r="CL35" i="5"/>
  <c r="CM35" i="5"/>
  <c r="CN35" i="5"/>
  <c r="CO35" i="5"/>
  <c r="CP35" i="5"/>
  <c r="CQ35" i="5"/>
  <c r="CR35" i="5"/>
  <c r="CS35" i="5"/>
  <c r="CT35" i="5"/>
  <c r="CU35" i="5"/>
  <c r="CV35" i="5"/>
  <c r="CW35" i="5"/>
  <c r="BV36" i="5"/>
  <c r="BW36" i="5"/>
  <c r="BX36" i="5"/>
  <c r="BY36" i="5"/>
  <c r="BZ36" i="5"/>
  <c r="CA36" i="5"/>
  <c r="CB36" i="5"/>
  <c r="CC36" i="5"/>
  <c r="CD36" i="5"/>
  <c r="CE36" i="5"/>
  <c r="CF36" i="5"/>
  <c r="CG36" i="5"/>
  <c r="CH36" i="5"/>
  <c r="CI36" i="5"/>
  <c r="CJ36" i="5"/>
  <c r="CK36" i="5"/>
  <c r="CL36" i="5"/>
  <c r="CM36" i="5"/>
  <c r="CN36" i="5"/>
  <c r="CO36" i="5"/>
  <c r="CP36" i="5"/>
  <c r="CQ36" i="5"/>
  <c r="CR36" i="5"/>
  <c r="CS36" i="5"/>
  <c r="CT36" i="5"/>
  <c r="CU36" i="5"/>
  <c r="CV36" i="5"/>
  <c r="CW36" i="5"/>
  <c r="BV37" i="5"/>
  <c r="BW37" i="5"/>
  <c r="BX37" i="5"/>
  <c r="BY37" i="5"/>
  <c r="BZ37" i="5"/>
  <c r="CA37" i="5"/>
  <c r="CB37" i="5"/>
  <c r="CC37" i="5"/>
  <c r="CD37" i="5"/>
  <c r="CE37" i="5"/>
  <c r="CF37" i="5"/>
  <c r="CG37" i="5"/>
  <c r="CH37" i="5"/>
  <c r="CI37" i="5"/>
  <c r="CJ37" i="5"/>
  <c r="CK37" i="5"/>
  <c r="CL37" i="5"/>
  <c r="CM37" i="5"/>
  <c r="CN37" i="5"/>
  <c r="CO37" i="5"/>
  <c r="CP37" i="5"/>
  <c r="CQ37" i="5"/>
  <c r="CR37" i="5"/>
  <c r="CS37" i="5"/>
  <c r="CT37" i="5"/>
  <c r="CU37" i="5"/>
  <c r="CV37" i="5"/>
  <c r="CW37" i="5"/>
  <c r="BV38" i="5"/>
  <c r="BW38" i="5"/>
  <c r="BX38" i="5"/>
  <c r="BY38" i="5"/>
  <c r="BZ38" i="5"/>
  <c r="CA38" i="5"/>
  <c r="CB38" i="5"/>
  <c r="CC38" i="5"/>
  <c r="CD38" i="5"/>
  <c r="CE38" i="5"/>
  <c r="CF38" i="5"/>
  <c r="CG38" i="5"/>
  <c r="CH38" i="5"/>
  <c r="CI38" i="5"/>
  <c r="CJ38" i="5"/>
  <c r="CK38" i="5"/>
  <c r="CL38" i="5"/>
  <c r="CM38" i="5"/>
  <c r="CN38" i="5"/>
  <c r="CO38" i="5"/>
  <c r="CP38" i="5"/>
  <c r="CQ38" i="5"/>
  <c r="CR38" i="5"/>
  <c r="CS38" i="5"/>
  <c r="CT38" i="5"/>
  <c r="CU38" i="5"/>
  <c r="CV38" i="5"/>
  <c r="CW38" i="5"/>
  <c r="BV39" i="5"/>
  <c r="BW39" i="5"/>
  <c r="BX39" i="5"/>
  <c r="BY39" i="5"/>
  <c r="BZ39" i="5"/>
  <c r="CA39" i="5"/>
  <c r="CB39" i="5"/>
  <c r="CC39" i="5"/>
  <c r="CD39" i="5"/>
  <c r="CE39" i="5"/>
  <c r="CF39" i="5"/>
  <c r="CG39" i="5"/>
  <c r="CH39" i="5"/>
  <c r="CI39" i="5"/>
  <c r="CJ39" i="5"/>
  <c r="CK39" i="5"/>
  <c r="CL39" i="5"/>
  <c r="CM39" i="5"/>
  <c r="CN39" i="5"/>
  <c r="CO39" i="5"/>
  <c r="CP39" i="5"/>
  <c r="CQ39" i="5"/>
  <c r="CR39" i="5"/>
  <c r="CS39" i="5"/>
  <c r="CT39" i="5"/>
  <c r="CU39" i="5"/>
  <c r="CV39" i="5"/>
  <c r="CW39" i="5"/>
  <c r="BV40" i="5"/>
  <c r="BW40" i="5"/>
  <c r="BX40" i="5"/>
  <c r="BY40" i="5"/>
  <c r="BZ40" i="5"/>
  <c r="CA40" i="5"/>
  <c r="CB40" i="5"/>
  <c r="CC40" i="5"/>
  <c r="CD40" i="5"/>
  <c r="CE40" i="5"/>
  <c r="CF40" i="5"/>
  <c r="CG40" i="5"/>
  <c r="CH40" i="5"/>
  <c r="CI40" i="5"/>
  <c r="CJ40" i="5"/>
  <c r="CK40" i="5"/>
  <c r="CL40" i="5"/>
  <c r="CM40" i="5"/>
  <c r="CN40" i="5"/>
  <c r="CO40" i="5"/>
  <c r="CP40" i="5"/>
  <c r="CQ40" i="5"/>
  <c r="CR40" i="5"/>
  <c r="CS40" i="5"/>
  <c r="CT40" i="5"/>
  <c r="CU40" i="5"/>
  <c r="CV40" i="5"/>
  <c r="CW40" i="5"/>
  <c r="BV41" i="5"/>
  <c r="BW41" i="5"/>
  <c r="BX41" i="5"/>
  <c r="BY41" i="5"/>
  <c r="BZ41" i="5"/>
  <c r="CA41" i="5"/>
  <c r="CB41" i="5"/>
  <c r="CC41" i="5"/>
  <c r="CD41" i="5"/>
  <c r="CE41" i="5"/>
  <c r="CF41" i="5"/>
  <c r="CG41" i="5"/>
  <c r="CH41" i="5"/>
  <c r="CI41" i="5"/>
  <c r="CJ41" i="5"/>
  <c r="CK41" i="5"/>
  <c r="CL41" i="5"/>
  <c r="CM41" i="5"/>
  <c r="CN41" i="5"/>
  <c r="CO41" i="5"/>
  <c r="CP41" i="5"/>
  <c r="CQ41" i="5"/>
  <c r="CR41" i="5"/>
  <c r="CS41" i="5"/>
  <c r="CT41" i="5"/>
  <c r="CU41" i="5"/>
  <c r="CV41" i="5"/>
  <c r="CW41" i="5"/>
  <c r="BV42" i="5"/>
  <c r="BW42" i="5"/>
  <c r="BX42" i="5"/>
  <c r="BY42" i="5"/>
  <c r="BZ42" i="5"/>
  <c r="CA42" i="5"/>
  <c r="CB42" i="5"/>
  <c r="CC42" i="5"/>
  <c r="CD42" i="5"/>
  <c r="CE42" i="5"/>
  <c r="CF42" i="5"/>
  <c r="CG42" i="5"/>
  <c r="CH42" i="5"/>
  <c r="CI42" i="5"/>
  <c r="CJ42" i="5"/>
  <c r="CK42" i="5"/>
  <c r="CL42" i="5"/>
  <c r="CM42" i="5"/>
  <c r="CN42" i="5"/>
  <c r="CO42" i="5"/>
  <c r="CP42" i="5"/>
  <c r="CQ42" i="5"/>
  <c r="CR42" i="5"/>
  <c r="CS42" i="5"/>
  <c r="CT42" i="5"/>
  <c r="CU42" i="5"/>
  <c r="CV42" i="5"/>
  <c r="CW42" i="5"/>
  <c r="BV43" i="5"/>
  <c r="BW43" i="5"/>
  <c r="BX43" i="5"/>
  <c r="BY43" i="5"/>
  <c r="BZ43" i="5"/>
  <c r="CA43" i="5"/>
  <c r="CB43" i="5"/>
  <c r="CC43" i="5"/>
  <c r="CD43" i="5"/>
  <c r="CE43" i="5"/>
  <c r="CF43" i="5"/>
  <c r="CG43" i="5"/>
  <c r="CH43" i="5"/>
  <c r="CI43" i="5"/>
  <c r="CJ43" i="5"/>
  <c r="CK43" i="5"/>
  <c r="CL43" i="5"/>
  <c r="CM43" i="5"/>
  <c r="CN43" i="5"/>
  <c r="CO43" i="5"/>
  <c r="CP43" i="5"/>
  <c r="CQ43" i="5"/>
  <c r="CR43" i="5"/>
  <c r="CS43" i="5"/>
  <c r="CT43" i="5"/>
  <c r="CU43" i="5"/>
  <c r="CV43" i="5"/>
  <c r="CW43" i="5"/>
  <c r="BV44" i="5"/>
  <c r="BW44" i="5"/>
  <c r="BX44" i="5"/>
  <c r="BY44" i="5"/>
  <c r="BZ44" i="5"/>
  <c r="CA44" i="5"/>
  <c r="CB44" i="5"/>
  <c r="CC44" i="5"/>
  <c r="CD44" i="5"/>
  <c r="CE44" i="5"/>
  <c r="CF44" i="5"/>
  <c r="CG44" i="5"/>
  <c r="CH44" i="5"/>
  <c r="CI44" i="5"/>
  <c r="CJ44" i="5"/>
  <c r="CK44" i="5"/>
  <c r="CL44" i="5"/>
  <c r="CM44" i="5"/>
  <c r="CN44" i="5"/>
  <c r="CO44" i="5"/>
  <c r="CP44" i="5"/>
  <c r="CQ44" i="5"/>
  <c r="CR44" i="5"/>
  <c r="CS44" i="5"/>
  <c r="CT44" i="5"/>
  <c r="CU44" i="5"/>
  <c r="CV44" i="5"/>
  <c r="CW44" i="5"/>
  <c r="BV45" i="5"/>
  <c r="BW45" i="5"/>
  <c r="BX45" i="5"/>
  <c r="BY45" i="5"/>
  <c r="BZ45" i="5"/>
  <c r="CA45" i="5"/>
  <c r="CB45" i="5"/>
  <c r="CC45" i="5"/>
  <c r="CD45" i="5"/>
  <c r="CE45" i="5"/>
  <c r="CF45" i="5"/>
  <c r="CG45" i="5"/>
  <c r="CH45" i="5"/>
  <c r="CI45" i="5"/>
  <c r="CJ45" i="5"/>
  <c r="CK45" i="5"/>
  <c r="CL45" i="5"/>
  <c r="CM45" i="5"/>
  <c r="CN45" i="5"/>
  <c r="CO45" i="5"/>
  <c r="CP45" i="5"/>
  <c r="CQ45" i="5"/>
  <c r="CR45" i="5"/>
  <c r="CS45" i="5"/>
  <c r="CT45" i="5"/>
  <c r="CU45" i="5"/>
  <c r="CV45" i="5"/>
  <c r="CW45" i="5"/>
  <c r="BV46" i="5"/>
  <c r="BW46" i="5"/>
  <c r="BX46" i="5"/>
  <c r="BY46" i="5"/>
  <c r="BZ46" i="5"/>
  <c r="CA46" i="5"/>
  <c r="CB46" i="5"/>
  <c r="CC46" i="5"/>
  <c r="CD46" i="5"/>
  <c r="CE46" i="5"/>
  <c r="CF46" i="5"/>
  <c r="CG46" i="5"/>
  <c r="CH46" i="5"/>
  <c r="CI46" i="5"/>
  <c r="CJ46" i="5"/>
  <c r="CK46" i="5"/>
  <c r="CL46" i="5"/>
  <c r="CM46" i="5"/>
  <c r="CN46" i="5"/>
  <c r="CO46" i="5"/>
  <c r="CP46" i="5"/>
  <c r="CQ46" i="5"/>
  <c r="CR46" i="5"/>
  <c r="CS46" i="5"/>
  <c r="CT46" i="5"/>
  <c r="CU46" i="5"/>
  <c r="CV46" i="5"/>
  <c r="CW46" i="5"/>
  <c r="BV47" i="5"/>
  <c r="BW47" i="5"/>
  <c r="BX47" i="5"/>
  <c r="BY47" i="5"/>
  <c r="BZ47" i="5"/>
  <c r="CA47" i="5"/>
  <c r="CB47" i="5"/>
  <c r="CC47" i="5"/>
  <c r="CD47" i="5"/>
  <c r="CE47" i="5"/>
  <c r="CF47" i="5"/>
  <c r="CG47" i="5"/>
  <c r="CH47" i="5"/>
  <c r="CI47" i="5"/>
  <c r="CJ47" i="5"/>
  <c r="CK47" i="5"/>
  <c r="CL47" i="5"/>
  <c r="CM47" i="5"/>
  <c r="CN47" i="5"/>
  <c r="CO47" i="5"/>
  <c r="CP47" i="5"/>
  <c r="CQ47" i="5"/>
  <c r="CR47" i="5"/>
  <c r="CS47" i="5"/>
  <c r="CT47" i="5"/>
  <c r="CU47" i="5"/>
  <c r="CV47" i="5"/>
  <c r="CW47" i="5"/>
  <c r="BV48" i="5"/>
  <c r="BW48" i="5"/>
  <c r="BX48" i="5"/>
  <c r="BY48" i="5"/>
  <c r="BZ48" i="5"/>
  <c r="CA48" i="5"/>
  <c r="CB48" i="5"/>
  <c r="CC48" i="5"/>
  <c r="CD48" i="5"/>
  <c r="CE48" i="5"/>
  <c r="CF48" i="5"/>
  <c r="CG48" i="5"/>
  <c r="CH48" i="5"/>
  <c r="CI48" i="5"/>
  <c r="CJ48" i="5"/>
  <c r="CK48" i="5"/>
  <c r="CL48" i="5"/>
  <c r="CM48" i="5"/>
  <c r="CN48" i="5"/>
  <c r="CO48" i="5"/>
  <c r="CP48" i="5"/>
  <c r="CQ48" i="5"/>
  <c r="CR48" i="5"/>
  <c r="CS48" i="5"/>
  <c r="CT48" i="5"/>
  <c r="CU48" i="5"/>
  <c r="CV48" i="5"/>
  <c r="CW48" i="5"/>
  <c r="BV49" i="5"/>
  <c r="BW49" i="5"/>
  <c r="BX49" i="5"/>
  <c r="BY49" i="5"/>
  <c r="BZ49" i="5"/>
  <c r="CA49" i="5"/>
  <c r="CB49" i="5"/>
  <c r="CC49" i="5"/>
  <c r="CD49" i="5"/>
  <c r="CE49" i="5"/>
  <c r="CF49" i="5"/>
  <c r="CG49" i="5"/>
  <c r="CH49" i="5"/>
  <c r="CI49" i="5"/>
  <c r="CJ49" i="5"/>
  <c r="CK49" i="5"/>
  <c r="CL49" i="5"/>
  <c r="CM49" i="5"/>
  <c r="CN49" i="5"/>
  <c r="CO49" i="5"/>
  <c r="CP49" i="5"/>
  <c r="CQ49" i="5"/>
  <c r="CR49" i="5"/>
  <c r="CS49" i="5"/>
  <c r="CT49" i="5"/>
  <c r="CU49" i="5"/>
  <c r="CV49" i="5"/>
  <c r="CW49" i="5"/>
  <c r="BV50" i="5"/>
  <c r="BW50" i="5"/>
  <c r="BX50" i="5"/>
  <c r="BY50" i="5"/>
  <c r="BZ50" i="5"/>
  <c r="CA50" i="5"/>
  <c r="CB50" i="5"/>
  <c r="CC50" i="5"/>
  <c r="CD50" i="5"/>
  <c r="CE50" i="5"/>
  <c r="CF50" i="5"/>
  <c r="CG50" i="5"/>
  <c r="CH50" i="5"/>
  <c r="CI50" i="5"/>
  <c r="CJ50" i="5"/>
  <c r="CK50" i="5"/>
  <c r="CL50" i="5"/>
  <c r="CM50" i="5"/>
  <c r="CN50" i="5"/>
  <c r="CO50" i="5"/>
  <c r="CP50" i="5"/>
  <c r="CQ50" i="5"/>
  <c r="CR50" i="5"/>
  <c r="CS50" i="5"/>
  <c r="CT50" i="5"/>
  <c r="CU50" i="5"/>
  <c r="CV50" i="5"/>
  <c r="CW50" i="5"/>
  <c r="BV52" i="5"/>
  <c r="BW52" i="5"/>
  <c r="BX52" i="5"/>
  <c r="BY52" i="5"/>
  <c r="BZ52" i="5"/>
  <c r="CA52" i="5"/>
  <c r="CB52" i="5"/>
  <c r="CC52" i="5"/>
  <c r="CD52" i="5"/>
  <c r="CE52" i="5"/>
  <c r="CF52" i="5"/>
  <c r="CG52" i="5"/>
  <c r="CH52" i="5"/>
  <c r="CI52" i="5"/>
  <c r="CJ52" i="5"/>
  <c r="CK52" i="5"/>
  <c r="CL52" i="5"/>
  <c r="CM52" i="5"/>
  <c r="CN52" i="5"/>
  <c r="CO52" i="5"/>
  <c r="CP52" i="5"/>
  <c r="CQ52" i="5"/>
  <c r="CR52" i="5"/>
  <c r="CS52" i="5"/>
  <c r="CT52" i="5"/>
  <c r="CU52" i="5"/>
  <c r="CV52" i="5"/>
  <c r="CW52" i="5"/>
  <c r="BV54" i="5"/>
  <c r="BW54" i="5"/>
  <c r="BX54" i="5"/>
  <c r="BY54" i="5"/>
  <c r="BZ54" i="5"/>
  <c r="CA54" i="5"/>
  <c r="CB54" i="5"/>
  <c r="CC54" i="5"/>
  <c r="CD54" i="5"/>
  <c r="CE54" i="5"/>
  <c r="CF54" i="5"/>
  <c r="CG54" i="5"/>
  <c r="CH54" i="5"/>
  <c r="CI54" i="5"/>
  <c r="CJ54" i="5"/>
  <c r="CK54" i="5"/>
  <c r="CL54" i="5"/>
  <c r="CM54" i="5"/>
  <c r="CN54" i="5"/>
  <c r="CO54" i="5"/>
  <c r="CP54" i="5"/>
  <c r="CQ54" i="5"/>
  <c r="CR54" i="5"/>
  <c r="CS54" i="5"/>
  <c r="CT54" i="5"/>
  <c r="CU54" i="5"/>
  <c r="CV54" i="5"/>
  <c r="CW54" i="5"/>
  <c r="BV55" i="5"/>
  <c r="BW55" i="5"/>
  <c r="BX55" i="5"/>
  <c r="BY55" i="5"/>
  <c r="BZ55" i="5"/>
  <c r="CA55" i="5"/>
  <c r="CB55" i="5"/>
  <c r="CC55" i="5"/>
  <c r="CD55" i="5"/>
  <c r="CE55" i="5"/>
  <c r="CF55" i="5"/>
  <c r="CG55" i="5"/>
  <c r="CH55" i="5"/>
  <c r="CI55" i="5"/>
  <c r="CJ55" i="5"/>
  <c r="CK55" i="5"/>
  <c r="CL55" i="5"/>
  <c r="CM55" i="5"/>
  <c r="CN55" i="5"/>
  <c r="CO55" i="5"/>
  <c r="CP55" i="5"/>
  <c r="CQ55" i="5"/>
  <c r="CR55" i="5"/>
  <c r="CS55" i="5"/>
  <c r="CT55" i="5"/>
  <c r="CU55" i="5"/>
  <c r="CV55" i="5"/>
  <c r="CW55" i="5"/>
  <c r="BV56" i="5"/>
  <c r="BW56" i="5"/>
  <c r="BX56" i="5"/>
  <c r="BY56" i="5"/>
  <c r="BZ56" i="5"/>
  <c r="CA56" i="5"/>
  <c r="CB56" i="5"/>
  <c r="CC56" i="5"/>
  <c r="CD56" i="5"/>
  <c r="CE56" i="5"/>
  <c r="CF56" i="5"/>
  <c r="CG56" i="5"/>
  <c r="CH56" i="5"/>
  <c r="CI56" i="5"/>
  <c r="CJ56" i="5"/>
  <c r="CK56" i="5"/>
  <c r="CL56" i="5"/>
  <c r="CM56" i="5"/>
  <c r="CN56" i="5"/>
  <c r="CO56" i="5"/>
  <c r="CP56" i="5"/>
  <c r="CQ56" i="5"/>
  <c r="CR56" i="5"/>
  <c r="CS56" i="5"/>
  <c r="CT56" i="5"/>
  <c r="CU56" i="5"/>
  <c r="CV56" i="5"/>
  <c r="CW56" i="5"/>
  <c r="BV57" i="5"/>
  <c r="BW57" i="5"/>
  <c r="BX57" i="5"/>
  <c r="BY57" i="5"/>
  <c r="BZ57" i="5"/>
  <c r="CA57" i="5"/>
  <c r="CB57" i="5"/>
  <c r="CC57" i="5"/>
  <c r="CD57" i="5"/>
  <c r="CE57" i="5"/>
  <c r="CF57" i="5"/>
  <c r="CG57" i="5"/>
  <c r="CH57" i="5"/>
  <c r="CI57" i="5"/>
  <c r="CJ57" i="5"/>
  <c r="CK57" i="5"/>
  <c r="CL57" i="5"/>
  <c r="CM57" i="5"/>
  <c r="CN57" i="5"/>
  <c r="CO57" i="5"/>
  <c r="CP57" i="5"/>
  <c r="CQ57" i="5"/>
  <c r="CR57" i="5"/>
  <c r="CS57" i="5"/>
  <c r="CT57" i="5"/>
  <c r="CU57" i="5"/>
  <c r="CV57" i="5"/>
  <c r="CW57" i="5"/>
  <c r="BV67" i="5"/>
  <c r="BW67" i="5"/>
  <c r="BX67" i="5"/>
  <c r="BY67" i="5"/>
  <c r="BZ67" i="5"/>
  <c r="CA67" i="5"/>
  <c r="CB67" i="5"/>
  <c r="CC67" i="5"/>
  <c r="CD67" i="5"/>
  <c r="CE67" i="5"/>
  <c r="CF67" i="5"/>
  <c r="CG67" i="5"/>
  <c r="CH67" i="5"/>
  <c r="CI67" i="5"/>
  <c r="CJ67" i="5"/>
  <c r="CK67" i="5"/>
  <c r="CL67" i="5"/>
  <c r="CM67" i="5"/>
  <c r="CN67" i="5"/>
  <c r="CO67" i="5"/>
  <c r="CP67" i="5"/>
  <c r="CQ67" i="5"/>
  <c r="CR67" i="5"/>
  <c r="CS67" i="5"/>
  <c r="CT67" i="5"/>
  <c r="CU67" i="5"/>
  <c r="CV67" i="5"/>
  <c r="CW67" i="5"/>
  <c r="BV51" i="5"/>
  <c r="BW51" i="5"/>
  <c r="BX51" i="5"/>
  <c r="BY51" i="5"/>
  <c r="BZ51" i="5"/>
  <c r="CA51" i="5"/>
  <c r="CB51" i="5"/>
  <c r="CC51" i="5"/>
  <c r="CD51" i="5"/>
  <c r="CE51" i="5"/>
  <c r="CF51" i="5"/>
  <c r="CG51" i="5"/>
  <c r="CH51" i="5"/>
  <c r="CI51" i="5"/>
  <c r="CJ51" i="5"/>
  <c r="CK51" i="5"/>
  <c r="CL51" i="5"/>
  <c r="CM51" i="5"/>
  <c r="CN51" i="5"/>
  <c r="CO51" i="5"/>
  <c r="CP51" i="5"/>
  <c r="CQ51" i="5"/>
  <c r="CR51" i="5"/>
  <c r="CS51" i="5"/>
  <c r="CT51" i="5"/>
  <c r="CU51" i="5"/>
  <c r="CV51" i="5"/>
  <c r="CW51" i="5"/>
  <c r="BV58" i="5"/>
  <c r="BW58" i="5"/>
  <c r="BX58" i="5"/>
  <c r="BY58" i="5"/>
  <c r="BZ58" i="5"/>
  <c r="CA58" i="5"/>
  <c r="CB58" i="5"/>
  <c r="CC58" i="5"/>
  <c r="CD58" i="5"/>
  <c r="CE58" i="5"/>
  <c r="CF58" i="5"/>
  <c r="CG58" i="5"/>
  <c r="CH58" i="5"/>
  <c r="CI58" i="5"/>
  <c r="CJ58" i="5"/>
  <c r="CK58" i="5"/>
  <c r="CL58" i="5"/>
  <c r="CM58" i="5"/>
  <c r="CN58" i="5"/>
  <c r="CO58" i="5"/>
  <c r="CP58" i="5"/>
  <c r="CQ58" i="5"/>
  <c r="CR58" i="5"/>
  <c r="CS58" i="5"/>
  <c r="CT58" i="5"/>
  <c r="CU58" i="5"/>
  <c r="CV58" i="5"/>
  <c r="CW58" i="5"/>
  <c r="BV60" i="5"/>
  <c r="BW60" i="5"/>
  <c r="BX60" i="5"/>
  <c r="BY60" i="5"/>
  <c r="BZ60" i="5"/>
  <c r="CA60" i="5"/>
  <c r="CB60" i="5"/>
  <c r="CC60" i="5"/>
  <c r="CD60" i="5"/>
  <c r="CE60" i="5"/>
  <c r="CF60" i="5"/>
  <c r="CG60" i="5"/>
  <c r="CH60" i="5"/>
  <c r="CI60" i="5"/>
  <c r="CJ60" i="5"/>
  <c r="CK60" i="5"/>
  <c r="CL60" i="5"/>
  <c r="CM60" i="5"/>
  <c r="CN60" i="5"/>
  <c r="CO60" i="5"/>
  <c r="CP60" i="5"/>
  <c r="CQ60" i="5"/>
  <c r="CR60" i="5"/>
  <c r="CS60" i="5"/>
  <c r="CT60" i="5"/>
  <c r="CU60" i="5"/>
  <c r="CV60" i="5"/>
  <c r="CW60" i="5"/>
  <c r="BV61" i="5"/>
  <c r="BW61" i="5"/>
  <c r="BX61" i="5"/>
  <c r="BY61" i="5"/>
  <c r="BZ61" i="5"/>
  <c r="CA61" i="5"/>
  <c r="CB61" i="5"/>
  <c r="CC61" i="5"/>
  <c r="CD61" i="5"/>
  <c r="CE61" i="5"/>
  <c r="CF61" i="5"/>
  <c r="CG61" i="5"/>
  <c r="CH61" i="5"/>
  <c r="CI61" i="5"/>
  <c r="CJ61" i="5"/>
  <c r="CK61" i="5"/>
  <c r="CL61" i="5"/>
  <c r="CM61" i="5"/>
  <c r="CN61" i="5"/>
  <c r="CO61" i="5"/>
  <c r="CP61" i="5"/>
  <c r="CQ61" i="5"/>
  <c r="CR61" i="5"/>
  <c r="CS61" i="5"/>
  <c r="CT61" i="5"/>
  <c r="CU61" i="5"/>
  <c r="CV61" i="5"/>
  <c r="CW61" i="5"/>
  <c r="BV62" i="5"/>
  <c r="BW62" i="5"/>
  <c r="BX62" i="5"/>
  <c r="BY62" i="5"/>
  <c r="BZ62" i="5"/>
  <c r="CA62" i="5"/>
  <c r="CB62" i="5"/>
  <c r="CC62" i="5"/>
  <c r="CD62" i="5"/>
  <c r="CE62" i="5"/>
  <c r="CF62" i="5"/>
  <c r="CG62" i="5"/>
  <c r="CH62" i="5"/>
  <c r="CI62" i="5"/>
  <c r="CJ62" i="5"/>
  <c r="CK62" i="5"/>
  <c r="CL62" i="5"/>
  <c r="CM62" i="5"/>
  <c r="CN62" i="5"/>
  <c r="CO62" i="5"/>
  <c r="CP62" i="5"/>
  <c r="CQ62" i="5"/>
  <c r="CR62" i="5"/>
  <c r="CS62" i="5"/>
  <c r="CT62" i="5"/>
  <c r="CU62" i="5"/>
  <c r="CV62" i="5"/>
  <c r="CW62" i="5"/>
  <c r="BV63" i="5"/>
  <c r="BW63" i="5"/>
  <c r="BX63" i="5"/>
  <c r="BY63" i="5"/>
  <c r="BZ63" i="5"/>
  <c r="CA63" i="5"/>
  <c r="CB63" i="5"/>
  <c r="CC63" i="5"/>
  <c r="CD63" i="5"/>
  <c r="CE63" i="5"/>
  <c r="CF63" i="5"/>
  <c r="CG63" i="5"/>
  <c r="CH63" i="5"/>
  <c r="CI63" i="5"/>
  <c r="CJ63" i="5"/>
  <c r="CK63" i="5"/>
  <c r="CL63" i="5"/>
  <c r="CM63" i="5"/>
  <c r="CN63" i="5"/>
  <c r="CO63" i="5"/>
  <c r="CP63" i="5"/>
  <c r="CQ63" i="5"/>
  <c r="CR63" i="5"/>
  <c r="CS63" i="5"/>
  <c r="CT63" i="5"/>
  <c r="CU63" i="5"/>
  <c r="CV63" i="5"/>
  <c r="CW63" i="5"/>
  <c r="BV69" i="5"/>
  <c r="BW69" i="5"/>
  <c r="BX69" i="5"/>
  <c r="BY69" i="5"/>
  <c r="BZ69" i="5"/>
  <c r="CA69" i="5"/>
  <c r="CB69" i="5"/>
  <c r="CC69" i="5"/>
  <c r="CD69" i="5"/>
  <c r="CE69" i="5"/>
  <c r="CF69" i="5"/>
  <c r="CG69" i="5"/>
  <c r="CH69" i="5"/>
  <c r="CI69" i="5"/>
  <c r="CJ69" i="5"/>
  <c r="CK69" i="5"/>
  <c r="CL69" i="5"/>
  <c r="CM69" i="5"/>
  <c r="CN69" i="5"/>
  <c r="CO69" i="5"/>
  <c r="CP69" i="5"/>
  <c r="CQ69" i="5"/>
  <c r="CR69" i="5"/>
  <c r="CS69" i="5"/>
  <c r="CT69" i="5"/>
  <c r="CU69" i="5"/>
  <c r="CV69" i="5"/>
  <c r="CW69" i="5"/>
  <c r="BV64" i="5"/>
  <c r="BW64" i="5"/>
  <c r="BX64" i="5"/>
  <c r="BY64" i="5"/>
  <c r="BZ64" i="5"/>
  <c r="CA64" i="5"/>
  <c r="CB64" i="5"/>
  <c r="CC64" i="5"/>
  <c r="CD64" i="5"/>
  <c r="CE64" i="5"/>
  <c r="CF64" i="5"/>
  <c r="CG64" i="5"/>
  <c r="CH64" i="5"/>
  <c r="CI64" i="5"/>
  <c r="CJ64" i="5"/>
  <c r="CK64" i="5"/>
  <c r="CL64" i="5"/>
  <c r="CM64" i="5"/>
  <c r="CN64" i="5"/>
  <c r="CO64" i="5"/>
  <c r="CP64" i="5"/>
  <c r="CQ64" i="5"/>
  <c r="CR64" i="5"/>
  <c r="CS64" i="5"/>
  <c r="CT64" i="5"/>
  <c r="CU64" i="5"/>
  <c r="CV64" i="5"/>
  <c r="CW64" i="5"/>
  <c r="BV65" i="5"/>
  <c r="BW65" i="5"/>
  <c r="BX65" i="5"/>
  <c r="BY65" i="5"/>
  <c r="BZ65" i="5"/>
  <c r="CA65" i="5"/>
  <c r="CB65" i="5"/>
  <c r="CC65" i="5"/>
  <c r="CD65" i="5"/>
  <c r="CE65" i="5"/>
  <c r="CF65" i="5"/>
  <c r="CG65" i="5"/>
  <c r="CH65" i="5"/>
  <c r="CI65" i="5"/>
  <c r="CJ65" i="5"/>
  <c r="CK65" i="5"/>
  <c r="CL65" i="5"/>
  <c r="CM65" i="5"/>
  <c r="CN65" i="5"/>
  <c r="CO65" i="5"/>
  <c r="CP65" i="5"/>
  <c r="CQ65" i="5"/>
  <c r="CR65" i="5"/>
  <c r="CS65" i="5"/>
  <c r="CT65" i="5"/>
  <c r="CU65" i="5"/>
  <c r="CV65" i="5"/>
  <c r="CW65" i="5"/>
  <c r="BV66" i="5"/>
  <c r="BW66" i="5"/>
  <c r="BX66" i="5"/>
  <c r="BY66" i="5"/>
  <c r="BZ66" i="5"/>
  <c r="CA66" i="5"/>
  <c r="CB66" i="5"/>
  <c r="CC66" i="5"/>
  <c r="CD66" i="5"/>
  <c r="CE66" i="5"/>
  <c r="CF66" i="5"/>
  <c r="CG66" i="5"/>
  <c r="CH66" i="5"/>
  <c r="CI66" i="5"/>
  <c r="CJ66" i="5"/>
  <c r="CK66" i="5"/>
  <c r="CL66" i="5"/>
  <c r="CM66" i="5"/>
  <c r="CN66" i="5"/>
  <c r="CO66" i="5"/>
  <c r="CP66" i="5"/>
  <c r="CQ66" i="5"/>
  <c r="CR66" i="5"/>
  <c r="CS66" i="5"/>
  <c r="CT66" i="5"/>
  <c r="CU66" i="5"/>
  <c r="CV66" i="5"/>
  <c r="CW66" i="5"/>
  <c r="BV68" i="5"/>
  <c r="BW68" i="5"/>
  <c r="BX68" i="5"/>
  <c r="BY68" i="5"/>
  <c r="BZ68" i="5"/>
  <c r="CA68" i="5"/>
  <c r="CB68" i="5"/>
  <c r="CC68" i="5"/>
  <c r="CD68" i="5"/>
  <c r="CE68" i="5"/>
  <c r="CF68" i="5"/>
  <c r="CG68" i="5"/>
  <c r="CH68" i="5"/>
  <c r="CI68" i="5"/>
  <c r="CJ68" i="5"/>
  <c r="CK68" i="5"/>
  <c r="CL68" i="5"/>
  <c r="CM68" i="5"/>
  <c r="CN68" i="5"/>
  <c r="CO68" i="5"/>
  <c r="CP68" i="5"/>
  <c r="CQ68" i="5"/>
  <c r="CR68" i="5"/>
  <c r="CS68" i="5"/>
  <c r="CT68" i="5"/>
  <c r="CU68" i="5"/>
  <c r="CV68" i="5"/>
  <c r="CW68" i="5"/>
  <c r="BV70" i="5"/>
  <c r="BW70" i="5"/>
  <c r="BX70" i="5"/>
  <c r="BY70" i="5"/>
  <c r="BZ70" i="5"/>
  <c r="CA70" i="5"/>
  <c r="CB70" i="5"/>
  <c r="CC70" i="5"/>
  <c r="CD70" i="5"/>
  <c r="CE70" i="5"/>
  <c r="CF70" i="5"/>
  <c r="CG70" i="5"/>
  <c r="CH70" i="5"/>
  <c r="CI70" i="5"/>
  <c r="CJ70" i="5"/>
  <c r="CK70" i="5"/>
  <c r="CL70" i="5"/>
  <c r="CM70" i="5"/>
  <c r="CN70" i="5"/>
  <c r="CO70" i="5"/>
  <c r="CP70" i="5"/>
  <c r="CQ70" i="5"/>
  <c r="CR70" i="5"/>
  <c r="CS70" i="5"/>
  <c r="CT70" i="5"/>
  <c r="CU70" i="5"/>
  <c r="CV70" i="5"/>
  <c r="CW70" i="5"/>
  <c r="BV71" i="5"/>
  <c r="BW71" i="5"/>
  <c r="BX71" i="5"/>
  <c r="BY71" i="5"/>
  <c r="BZ71" i="5"/>
  <c r="CA71" i="5"/>
  <c r="CB71" i="5"/>
  <c r="CC71" i="5"/>
  <c r="CD71" i="5"/>
  <c r="CE71" i="5"/>
  <c r="CF71" i="5"/>
  <c r="CG71" i="5"/>
  <c r="CH71" i="5"/>
  <c r="CI71" i="5"/>
  <c r="CJ71" i="5"/>
  <c r="CK71" i="5"/>
  <c r="CL71" i="5"/>
  <c r="CM71" i="5"/>
  <c r="CN71" i="5"/>
  <c r="CO71" i="5"/>
  <c r="CP71" i="5"/>
  <c r="CQ71" i="5"/>
  <c r="CR71" i="5"/>
  <c r="CS71" i="5"/>
  <c r="CT71" i="5"/>
  <c r="CU71" i="5"/>
  <c r="CV71" i="5"/>
  <c r="CW71" i="5"/>
  <c r="BV73" i="5"/>
  <c r="BW73" i="5"/>
  <c r="BX73" i="5"/>
  <c r="BY73" i="5"/>
  <c r="BZ73" i="5"/>
  <c r="CA73" i="5"/>
  <c r="CB73" i="5"/>
  <c r="CC73" i="5"/>
  <c r="CD73" i="5"/>
  <c r="CE73" i="5"/>
  <c r="CF73" i="5"/>
  <c r="CG73" i="5"/>
  <c r="CH73" i="5"/>
  <c r="CI73" i="5"/>
  <c r="CJ73" i="5"/>
  <c r="CK73" i="5"/>
  <c r="CL73" i="5"/>
  <c r="CM73" i="5"/>
  <c r="CN73" i="5"/>
  <c r="CO73" i="5"/>
  <c r="CP73" i="5"/>
  <c r="CQ73" i="5"/>
  <c r="CR73" i="5"/>
  <c r="CS73" i="5"/>
  <c r="CT73" i="5"/>
  <c r="CU73" i="5"/>
  <c r="CV73" i="5"/>
  <c r="CW73" i="5"/>
  <c r="BV74" i="5"/>
  <c r="BW74" i="5"/>
  <c r="BX74" i="5"/>
  <c r="BY74" i="5"/>
  <c r="BZ74" i="5"/>
  <c r="CA74" i="5"/>
  <c r="CB74" i="5"/>
  <c r="CC74" i="5"/>
  <c r="CD74" i="5"/>
  <c r="CE74" i="5"/>
  <c r="CF74" i="5"/>
  <c r="CG74" i="5"/>
  <c r="CH74" i="5"/>
  <c r="CI74" i="5"/>
  <c r="CJ74" i="5"/>
  <c r="CK74" i="5"/>
  <c r="CL74" i="5"/>
  <c r="CM74" i="5"/>
  <c r="CN74" i="5"/>
  <c r="CO74" i="5"/>
  <c r="CP74" i="5"/>
  <c r="CQ74" i="5"/>
  <c r="CR74" i="5"/>
  <c r="CS74" i="5"/>
  <c r="CT74" i="5"/>
  <c r="CU74" i="5"/>
  <c r="CV74" i="5"/>
  <c r="CW74" i="5"/>
  <c r="BV75" i="5"/>
  <c r="BW75" i="5"/>
  <c r="BX75" i="5"/>
  <c r="BY75" i="5"/>
  <c r="BZ75" i="5"/>
  <c r="CA75" i="5"/>
  <c r="CB75" i="5"/>
  <c r="CC75" i="5"/>
  <c r="CD75" i="5"/>
  <c r="CE75" i="5"/>
  <c r="CF75" i="5"/>
  <c r="CG75" i="5"/>
  <c r="CH75" i="5"/>
  <c r="CI75" i="5"/>
  <c r="CJ75" i="5"/>
  <c r="CK75" i="5"/>
  <c r="CL75" i="5"/>
  <c r="CM75" i="5"/>
  <c r="CN75" i="5"/>
  <c r="CO75" i="5"/>
  <c r="CP75" i="5"/>
  <c r="CQ75" i="5"/>
  <c r="CR75" i="5"/>
  <c r="CS75" i="5"/>
  <c r="CT75" i="5"/>
  <c r="CU75" i="5"/>
  <c r="CV75" i="5"/>
  <c r="CW75" i="5"/>
  <c r="BV76" i="5"/>
  <c r="BW76" i="5"/>
  <c r="BX76" i="5"/>
  <c r="BY76" i="5"/>
  <c r="BZ76" i="5"/>
  <c r="CA76" i="5"/>
  <c r="CB76" i="5"/>
  <c r="CC76" i="5"/>
  <c r="CD76" i="5"/>
  <c r="CE76" i="5"/>
  <c r="CF76" i="5"/>
  <c r="CG76" i="5"/>
  <c r="CH76" i="5"/>
  <c r="CI76" i="5"/>
  <c r="CJ76" i="5"/>
  <c r="CK76" i="5"/>
  <c r="CL76" i="5"/>
  <c r="CM76" i="5"/>
  <c r="CN76" i="5"/>
  <c r="CO76" i="5"/>
  <c r="CP76" i="5"/>
  <c r="CQ76" i="5"/>
  <c r="CR76" i="5"/>
  <c r="CS76" i="5"/>
  <c r="CT76" i="5"/>
  <c r="CU76" i="5"/>
  <c r="CV76" i="5"/>
  <c r="CW76" i="5"/>
  <c r="BV77" i="5"/>
  <c r="BW77" i="5"/>
  <c r="BX77" i="5"/>
  <c r="BY77" i="5"/>
  <c r="BZ77" i="5"/>
  <c r="CA77" i="5"/>
  <c r="CB77" i="5"/>
  <c r="CC77" i="5"/>
  <c r="CD77" i="5"/>
  <c r="CE77" i="5"/>
  <c r="CF77" i="5"/>
  <c r="CG77" i="5"/>
  <c r="CH77" i="5"/>
  <c r="CI77" i="5"/>
  <c r="CJ77" i="5"/>
  <c r="CK77" i="5"/>
  <c r="CL77" i="5"/>
  <c r="CM77" i="5"/>
  <c r="CN77" i="5"/>
  <c r="CO77" i="5"/>
  <c r="CP77" i="5"/>
  <c r="CQ77" i="5"/>
  <c r="CR77" i="5"/>
  <c r="CS77" i="5"/>
  <c r="CT77" i="5"/>
  <c r="CU77" i="5"/>
  <c r="CV77" i="5"/>
  <c r="CW77" i="5"/>
  <c r="BV78" i="5"/>
  <c r="BW78" i="5"/>
  <c r="BX78" i="5"/>
  <c r="BY78" i="5"/>
  <c r="BZ78" i="5"/>
  <c r="CA78" i="5"/>
  <c r="CB78" i="5"/>
  <c r="CC78" i="5"/>
  <c r="CD78" i="5"/>
  <c r="CE78" i="5"/>
  <c r="CF78" i="5"/>
  <c r="CG78" i="5"/>
  <c r="CH78" i="5"/>
  <c r="CI78" i="5"/>
  <c r="CJ78" i="5"/>
  <c r="CK78" i="5"/>
  <c r="CL78" i="5"/>
  <c r="CM78" i="5"/>
  <c r="CN78" i="5"/>
  <c r="CO78" i="5"/>
  <c r="CP78" i="5"/>
  <c r="CQ78" i="5"/>
  <c r="CR78" i="5"/>
  <c r="CS78" i="5"/>
  <c r="CT78" i="5"/>
  <c r="CU78" i="5"/>
  <c r="CV78" i="5"/>
  <c r="CW78" i="5"/>
  <c r="BV79" i="5"/>
  <c r="BW79" i="5"/>
  <c r="BX79" i="5"/>
  <c r="BY79" i="5"/>
  <c r="BZ79" i="5"/>
  <c r="CA79" i="5"/>
  <c r="CB79" i="5"/>
  <c r="CC79" i="5"/>
  <c r="CD79" i="5"/>
  <c r="CE79" i="5"/>
  <c r="CF79" i="5"/>
  <c r="CG79" i="5"/>
  <c r="CH79" i="5"/>
  <c r="CI79" i="5"/>
  <c r="CJ79" i="5"/>
  <c r="CK79" i="5"/>
  <c r="CL79" i="5"/>
  <c r="CM79" i="5"/>
  <c r="CN79" i="5"/>
  <c r="CO79" i="5"/>
  <c r="CP79" i="5"/>
  <c r="CQ79" i="5"/>
  <c r="CR79" i="5"/>
  <c r="CS79" i="5"/>
  <c r="CT79" i="5"/>
  <c r="CU79" i="5"/>
  <c r="CV79" i="5"/>
  <c r="CW79" i="5"/>
  <c r="BV80" i="5"/>
  <c r="BW80" i="5"/>
  <c r="BX80" i="5"/>
  <c r="BY80" i="5"/>
  <c r="BZ80" i="5"/>
  <c r="CA80" i="5"/>
  <c r="CB80" i="5"/>
  <c r="CC80" i="5"/>
  <c r="CD80" i="5"/>
  <c r="CE80" i="5"/>
  <c r="CF80" i="5"/>
  <c r="CG80" i="5"/>
  <c r="CH80" i="5"/>
  <c r="CI80" i="5"/>
  <c r="CJ80" i="5"/>
  <c r="CK80" i="5"/>
  <c r="CL80" i="5"/>
  <c r="CM80" i="5"/>
  <c r="CN80" i="5"/>
  <c r="CO80" i="5"/>
  <c r="CP80" i="5"/>
  <c r="CQ80" i="5"/>
  <c r="CR80" i="5"/>
  <c r="CS80" i="5"/>
  <c r="CT80" i="5"/>
  <c r="CU80" i="5"/>
  <c r="CV80" i="5"/>
  <c r="CW80" i="5"/>
  <c r="BV81" i="5"/>
  <c r="BW81" i="5"/>
  <c r="BX81" i="5"/>
  <c r="BY81" i="5"/>
  <c r="BZ81" i="5"/>
  <c r="CA81" i="5"/>
  <c r="CB81" i="5"/>
  <c r="CC81" i="5"/>
  <c r="CD81" i="5"/>
  <c r="CE81" i="5"/>
  <c r="CF81" i="5"/>
  <c r="CG81" i="5"/>
  <c r="CH81" i="5"/>
  <c r="CI81" i="5"/>
  <c r="CJ81" i="5"/>
  <c r="CK81" i="5"/>
  <c r="CL81" i="5"/>
  <c r="CM81" i="5"/>
  <c r="CN81" i="5"/>
  <c r="CO81" i="5"/>
  <c r="CP81" i="5"/>
  <c r="CQ81" i="5"/>
  <c r="CR81" i="5"/>
  <c r="CS81" i="5"/>
  <c r="CT81" i="5"/>
  <c r="CU81" i="5"/>
  <c r="CV81" i="5"/>
  <c r="CW81" i="5"/>
  <c r="BV82" i="5"/>
  <c r="BW82" i="5"/>
  <c r="BX82" i="5"/>
  <c r="BY82" i="5"/>
  <c r="BZ82" i="5"/>
  <c r="CA82" i="5"/>
  <c r="CB82" i="5"/>
  <c r="CC82" i="5"/>
  <c r="CD82" i="5"/>
  <c r="CE82" i="5"/>
  <c r="CF82" i="5"/>
  <c r="CG82" i="5"/>
  <c r="CH82" i="5"/>
  <c r="CI82" i="5"/>
  <c r="CJ82" i="5"/>
  <c r="CK82" i="5"/>
  <c r="CL82" i="5"/>
  <c r="CM82" i="5"/>
  <c r="CN82" i="5"/>
  <c r="CO82" i="5"/>
  <c r="CP82" i="5"/>
  <c r="CQ82" i="5"/>
  <c r="CR82" i="5"/>
  <c r="CS82" i="5"/>
  <c r="CT82" i="5"/>
  <c r="CU82" i="5"/>
  <c r="CV82" i="5"/>
  <c r="CW82" i="5"/>
  <c r="BV83" i="5"/>
  <c r="BW83" i="5"/>
  <c r="BX83" i="5"/>
  <c r="BY83" i="5"/>
  <c r="BZ83" i="5"/>
  <c r="CA83" i="5"/>
  <c r="CB83" i="5"/>
  <c r="CC83" i="5"/>
  <c r="CD83" i="5"/>
  <c r="CE83" i="5"/>
  <c r="CF83" i="5"/>
  <c r="CG83" i="5"/>
  <c r="CH83" i="5"/>
  <c r="CI83" i="5"/>
  <c r="CJ83" i="5"/>
  <c r="CK83" i="5"/>
  <c r="CL83" i="5"/>
  <c r="CM83" i="5"/>
  <c r="CN83" i="5"/>
  <c r="CO83" i="5"/>
  <c r="CP83" i="5"/>
  <c r="CQ83" i="5"/>
  <c r="CR83" i="5"/>
  <c r="CS83" i="5"/>
  <c r="CT83" i="5"/>
  <c r="CU83" i="5"/>
  <c r="CV83" i="5"/>
  <c r="CW83" i="5"/>
  <c r="BV84" i="5"/>
  <c r="BW84" i="5"/>
  <c r="BX84" i="5"/>
  <c r="BY84" i="5"/>
  <c r="BZ84" i="5"/>
  <c r="CA84" i="5"/>
  <c r="CB84" i="5"/>
  <c r="CC84" i="5"/>
  <c r="CD84" i="5"/>
  <c r="CE84" i="5"/>
  <c r="CF84" i="5"/>
  <c r="CG84" i="5"/>
  <c r="CH84" i="5"/>
  <c r="CI84" i="5"/>
  <c r="CJ84" i="5"/>
  <c r="CK84" i="5"/>
  <c r="CL84" i="5"/>
  <c r="CM84" i="5"/>
  <c r="CN84" i="5"/>
  <c r="CO84" i="5"/>
  <c r="CP84" i="5"/>
  <c r="CQ84" i="5"/>
  <c r="CR84" i="5"/>
  <c r="CS84" i="5"/>
  <c r="CT84" i="5"/>
  <c r="CU84" i="5"/>
  <c r="CV84" i="5"/>
  <c r="CW84" i="5"/>
  <c r="BV85" i="5"/>
  <c r="BW85" i="5"/>
  <c r="BX85" i="5"/>
  <c r="BY85" i="5"/>
  <c r="BZ85" i="5"/>
  <c r="CA85" i="5"/>
  <c r="CB85" i="5"/>
  <c r="CC85" i="5"/>
  <c r="CD85" i="5"/>
  <c r="CE85" i="5"/>
  <c r="CF85" i="5"/>
  <c r="CG85" i="5"/>
  <c r="CH85" i="5"/>
  <c r="CI85" i="5"/>
  <c r="CJ85" i="5"/>
  <c r="CK85" i="5"/>
  <c r="CL85" i="5"/>
  <c r="CM85" i="5"/>
  <c r="CN85" i="5"/>
  <c r="CO85" i="5"/>
  <c r="CP85" i="5"/>
  <c r="CQ85" i="5"/>
  <c r="CR85" i="5"/>
  <c r="CS85" i="5"/>
  <c r="CT85" i="5"/>
  <c r="CU85" i="5"/>
  <c r="CV85" i="5"/>
  <c r="CW85" i="5"/>
  <c r="BV86" i="5"/>
  <c r="BW86" i="5"/>
  <c r="BX86" i="5"/>
  <c r="BY86" i="5"/>
  <c r="BZ86" i="5"/>
  <c r="CA86" i="5"/>
  <c r="CB86" i="5"/>
  <c r="CC86" i="5"/>
  <c r="CD86" i="5"/>
  <c r="CE86" i="5"/>
  <c r="CF86" i="5"/>
  <c r="CG86" i="5"/>
  <c r="CH86" i="5"/>
  <c r="CI86" i="5"/>
  <c r="CJ86" i="5"/>
  <c r="CK86" i="5"/>
  <c r="CL86" i="5"/>
  <c r="CM86" i="5"/>
  <c r="CN86" i="5"/>
  <c r="CO86" i="5"/>
  <c r="CP86" i="5"/>
  <c r="CQ86" i="5"/>
  <c r="CR86" i="5"/>
  <c r="CS86" i="5"/>
  <c r="CT86" i="5"/>
  <c r="CU86" i="5"/>
  <c r="CV86" i="5"/>
  <c r="CW86" i="5"/>
  <c r="BV87" i="5"/>
  <c r="BW87" i="5"/>
  <c r="BX87" i="5"/>
  <c r="BY87" i="5"/>
  <c r="BZ87" i="5"/>
  <c r="CA87" i="5"/>
  <c r="CB87" i="5"/>
  <c r="CC87" i="5"/>
  <c r="CD87" i="5"/>
  <c r="CE87" i="5"/>
  <c r="CF87" i="5"/>
  <c r="CG87" i="5"/>
  <c r="CH87" i="5"/>
  <c r="CI87" i="5"/>
  <c r="CJ87" i="5"/>
  <c r="CK87" i="5"/>
  <c r="CL87" i="5"/>
  <c r="CM87" i="5"/>
  <c r="CN87" i="5"/>
  <c r="CO87" i="5"/>
  <c r="CP87" i="5"/>
  <c r="CQ87" i="5"/>
  <c r="CR87" i="5"/>
  <c r="CS87" i="5"/>
  <c r="CT87" i="5"/>
  <c r="CU87" i="5"/>
  <c r="CV87" i="5"/>
  <c r="CW87" i="5"/>
  <c r="BV88" i="5"/>
  <c r="BW88" i="5"/>
  <c r="BX88" i="5"/>
  <c r="BY88" i="5"/>
  <c r="BZ88" i="5"/>
  <c r="CA88" i="5"/>
  <c r="CB88" i="5"/>
  <c r="CC88" i="5"/>
  <c r="CD88" i="5"/>
  <c r="CE88" i="5"/>
  <c r="CF88" i="5"/>
  <c r="CG88" i="5"/>
  <c r="CH88" i="5"/>
  <c r="CI88" i="5"/>
  <c r="CJ88" i="5"/>
  <c r="CK88" i="5"/>
  <c r="CL88" i="5"/>
  <c r="CM88" i="5"/>
  <c r="CN88" i="5"/>
  <c r="CO88" i="5"/>
  <c r="CP88" i="5"/>
  <c r="CQ88" i="5"/>
  <c r="CR88" i="5"/>
  <c r="CS88" i="5"/>
  <c r="CT88" i="5"/>
  <c r="CU88" i="5"/>
  <c r="CV88" i="5"/>
  <c r="CW88" i="5"/>
  <c r="BV89" i="5"/>
  <c r="BW89" i="5"/>
  <c r="BX89" i="5"/>
  <c r="BY89" i="5"/>
  <c r="BZ89" i="5"/>
  <c r="CA89" i="5"/>
  <c r="CB89" i="5"/>
  <c r="CC89" i="5"/>
  <c r="CD89" i="5"/>
  <c r="CE89" i="5"/>
  <c r="CF89" i="5"/>
  <c r="CG89" i="5"/>
  <c r="CH89" i="5"/>
  <c r="CI89" i="5"/>
  <c r="CJ89" i="5"/>
  <c r="CK89" i="5"/>
  <c r="CL89" i="5"/>
  <c r="CM89" i="5"/>
  <c r="CN89" i="5"/>
  <c r="CO89" i="5"/>
  <c r="CP89" i="5"/>
  <c r="CQ89" i="5"/>
  <c r="CR89" i="5"/>
  <c r="CS89" i="5"/>
  <c r="CT89" i="5"/>
  <c r="CU89" i="5"/>
  <c r="CV89" i="5"/>
  <c r="CW89" i="5"/>
  <c r="BV90" i="5"/>
  <c r="BW90" i="5"/>
  <c r="BX90" i="5"/>
  <c r="BY90" i="5"/>
  <c r="BZ90" i="5"/>
  <c r="CA90" i="5"/>
  <c r="CB90" i="5"/>
  <c r="CC90" i="5"/>
  <c r="CD90" i="5"/>
  <c r="CE90" i="5"/>
  <c r="CF90" i="5"/>
  <c r="CG90" i="5"/>
  <c r="CH90" i="5"/>
  <c r="CI90" i="5"/>
  <c r="CJ90" i="5"/>
  <c r="CK90" i="5"/>
  <c r="CL90" i="5"/>
  <c r="CM90" i="5"/>
  <c r="CN90" i="5"/>
  <c r="CO90" i="5"/>
  <c r="CP90" i="5"/>
  <c r="CQ90" i="5"/>
  <c r="CR90" i="5"/>
  <c r="CS90" i="5"/>
  <c r="CT90" i="5"/>
  <c r="CU90" i="5"/>
  <c r="CV90" i="5"/>
  <c r="CW90" i="5"/>
  <c r="BV91" i="5"/>
  <c r="BW91" i="5"/>
  <c r="BX91" i="5"/>
  <c r="BY91" i="5"/>
  <c r="BZ91" i="5"/>
  <c r="CA91" i="5"/>
  <c r="CB91" i="5"/>
  <c r="CC91" i="5"/>
  <c r="CD91" i="5"/>
  <c r="CE91" i="5"/>
  <c r="CF91" i="5"/>
  <c r="CG91" i="5"/>
  <c r="CH91" i="5"/>
  <c r="CI91" i="5"/>
  <c r="CJ91" i="5"/>
  <c r="CK91" i="5"/>
  <c r="CL91" i="5"/>
  <c r="CM91" i="5"/>
  <c r="CN91" i="5"/>
  <c r="CO91" i="5"/>
  <c r="CP91" i="5"/>
  <c r="CQ91" i="5"/>
  <c r="CR91" i="5"/>
  <c r="CS91" i="5"/>
  <c r="CT91" i="5"/>
  <c r="CU91" i="5"/>
  <c r="CV91" i="5"/>
  <c r="CW91" i="5"/>
  <c r="BV92" i="5"/>
  <c r="BW92" i="5"/>
  <c r="BX92" i="5"/>
  <c r="BY92" i="5"/>
  <c r="BZ92" i="5"/>
  <c r="CA92" i="5"/>
  <c r="CB92" i="5"/>
  <c r="CC92" i="5"/>
  <c r="CD92" i="5"/>
  <c r="CE92" i="5"/>
  <c r="CF92" i="5"/>
  <c r="CG92" i="5"/>
  <c r="CH92" i="5"/>
  <c r="CI92" i="5"/>
  <c r="CJ92" i="5"/>
  <c r="CK92" i="5"/>
  <c r="CL92" i="5"/>
  <c r="CM92" i="5"/>
  <c r="CN92" i="5"/>
  <c r="CO92" i="5"/>
  <c r="CP92" i="5"/>
  <c r="CQ92" i="5"/>
  <c r="CR92" i="5"/>
  <c r="CS92" i="5"/>
  <c r="CT92" i="5"/>
  <c r="CU92" i="5"/>
  <c r="CV92" i="5"/>
  <c r="CW92" i="5"/>
  <c r="BV94" i="5"/>
  <c r="BW94" i="5"/>
  <c r="BX94" i="5"/>
  <c r="BY94" i="5"/>
  <c r="BZ94" i="5"/>
  <c r="CA94" i="5"/>
  <c r="CB94" i="5"/>
  <c r="CC94" i="5"/>
  <c r="CD94" i="5"/>
  <c r="CE94" i="5"/>
  <c r="CF94" i="5"/>
  <c r="CG94" i="5"/>
  <c r="CH94" i="5"/>
  <c r="CI94" i="5"/>
  <c r="CJ94" i="5"/>
  <c r="CK94" i="5"/>
  <c r="CL94" i="5"/>
  <c r="CM94" i="5"/>
  <c r="CN94" i="5"/>
  <c r="CO94" i="5"/>
  <c r="CP94" i="5"/>
  <c r="CQ94" i="5"/>
  <c r="CR94" i="5"/>
  <c r="CS94" i="5"/>
  <c r="CT94" i="5"/>
  <c r="CU94" i="5"/>
  <c r="CV94" i="5"/>
  <c r="CW94" i="5"/>
  <c r="BV95" i="5"/>
  <c r="BW95" i="5"/>
  <c r="BX95" i="5"/>
  <c r="BY95" i="5"/>
  <c r="BZ95" i="5"/>
  <c r="CA95" i="5"/>
  <c r="CB95" i="5"/>
  <c r="CC95" i="5"/>
  <c r="CD95" i="5"/>
  <c r="CE95" i="5"/>
  <c r="CF95" i="5"/>
  <c r="CG95" i="5"/>
  <c r="CH95" i="5"/>
  <c r="CI95" i="5"/>
  <c r="CJ95" i="5"/>
  <c r="CK95" i="5"/>
  <c r="CL95" i="5"/>
  <c r="CM95" i="5"/>
  <c r="CN95" i="5"/>
  <c r="CO95" i="5"/>
  <c r="CP95" i="5"/>
  <c r="CQ95" i="5"/>
  <c r="CR95" i="5"/>
  <c r="CS95" i="5"/>
  <c r="CT95" i="5"/>
  <c r="CU95" i="5"/>
  <c r="CV95" i="5"/>
  <c r="CW95" i="5"/>
  <c r="BV96" i="5"/>
  <c r="BW96" i="5"/>
  <c r="BX96" i="5"/>
  <c r="BY96" i="5"/>
  <c r="BZ96" i="5"/>
  <c r="CA96" i="5"/>
  <c r="CB96" i="5"/>
  <c r="CC96" i="5"/>
  <c r="CD96" i="5"/>
  <c r="CE96" i="5"/>
  <c r="CF96" i="5"/>
  <c r="CG96" i="5"/>
  <c r="CH96" i="5"/>
  <c r="CI96" i="5"/>
  <c r="CJ96" i="5"/>
  <c r="CK96" i="5"/>
  <c r="CL96" i="5"/>
  <c r="CM96" i="5"/>
  <c r="CN96" i="5"/>
  <c r="CO96" i="5"/>
  <c r="CP96" i="5"/>
  <c r="CQ96" i="5"/>
  <c r="CR96" i="5"/>
  <c r="CS96" i="5"/>
  <c r="CT96" i="5"/>
  <c r="CU96" i="5"/>
  <c r="CV96" i="5"/>
  <c r="CW96" i="5"/>
  <c r="BV97" i="5"/>
  <c r="BW97" i="5"/>
  <c r="BX97" i="5"/>
  <c r="BY97" i="5"/>
  <c r="BZ97" i="5"/>
  <c r="CA97" i="5"/>
  <c r="CB97" i="5"/>
  <c r="CC97" i="5"/>
  <c r="CD97" i="5"/>
  <c r="CE97" i="5"/>
  <c r="CF97" i="5"/>
  <c r="CG97" i="5"/>
  <c r="CH97" i="5"/>
  <c r="CI97" i="5"/>
  <c r="CJ97" i="5"/>
  <c r="CK97" i="5"/>
  <c r="CL97" i="5"/>
  <c r="CM97" i="5"/>
  <c r="CN97" i="5"/>
  <c r="CO97" i="5"/>
  <c r="CP97" i="5"/>
  <c r="CQ97" i="5"/>
  <c r="CR97" i="5"/>
  <c r="CS97" i="5"/>
  <c r="CT97" i="5"/>
  <c r="CU97" i="5"/>
  <c r="CV97" i="5"/>
  <c r="CW97" i="5"/>
  <c r="BV98" i="5"/>
  <c r="BW98" i="5"/>
  <c r="BX98" i="5"/>
  <c r="BY98" i="5"/>
  <c r="BZ98" i="5"/>
  <c r="CA98" i="5"/>
  <c r="CB98" i="5"/>
  <c r="CC98" i="5"/>
  <c r="CD98" i="5"/>
  <c r="CE98" i="5"/>
  <c r="CF98" i="5"/>
  <c r="CG98" i="5"/>
  <c r="CH98" i="5"/>
  <c r="CI98" i="5"/>
  <c r="CJ98" i="5"/>
  <c r="CK98" i="5"/>
  <c r="CL98" i="5"/>
  <c r="CM98" i="5"/>
  <c r="CN98" i="5"/>
  <c r="CO98" i="5"/>
  <c r="CP98" i="5"/>
  <c r="CQ98" i="5"/>
  <c r="CR98" i="5"/>
  <c r="CS98" i="5"/>
  <c r="CT98" i="5"/>
  <c r="CU98" i="5"/>
  <c r="CV98" i="5"/>
  <c r="CW98" i="5"/>
  <c r="BV99" i="5"/>
  <c r="BW99" i="5"/>
  <c r="BX99" i="5"/>
  <c r="BY99" i="5"/>
  <c r="BZ99" i="5"/>
  <c r="CA99" i="5"/>
  <c r="CB99" i="5"/>
  <c r="CC99" i="5"/>
  <c r="CD99" i="5"/>
  <c r="CE99" i="5"/>
  <c r="CF99" i="5"/>
  <c r="CG99" i="5"/>
  <c r="CH99" i="5"/>
  <c r="CI99" i="5"/>
  <c r="CJ99" i="5"/>
  <c r="CK99" i="5"/>
  <c r="CL99" i="5"/>
  <c r="CM99" i="5"/>
  <c r="CN99" i="5"/>
  <c r="CO99" i="5"/>
  <c r="CP99" i="5"/>
  <c r="CQ99" i="5"/>
  <c r="CR99" i="5"/>
  <c r="CS99" i="5"/>
  <c r="CT99" i="5"/>
  <c r="CU99" i="5"/>
  <c r="CV99" i="5"/>
  <c r="CW99" i="5"/>
  <c r="BV100" i="5"/>
  <c r="BW100" i="5"/>
  <c r="BX100" i="5"/>
  <c r="BY100" i="5"/>
  <c r="BZ100" i="5"/>
  <c r="CA100" i="5"/>
  <c r="CB100" i="5"/>
  <c r="CC100" i="5"/>
  <c r="CD100" i="5"/>
  <c r="CE100" i="5"/>
  <c r="CF100" i="5"/>
  <c r="CG100" i="5"/>
  <c r="CH100" i="5"/>
  <c r="CI100" i="5"/>
  <c r="CJ100" i="5"/>
  <c r="CK100" i="5"/>
  <c r="CL100" i="5"/>
  <c r="CM100" i="5"/>
  <c r="CN100" i="5"/>
  <c r="CO100" i="5"/>
  <c r="CP100" i="5"/>
  <c r="CQ100" i="5"/>
  <c r="CR100" i="5"/>
  <c r="CS100" i="5"/>
  <c r="CT100" i="5"/>
  <c r="CU100" i="5"/>
  <c r="CV100" i="5"/>
  <c r="CW100" i="5"/>
  <c r="BV101" i="5"/>
  <c r="BW101" i="5"/>
  <c r="BX101" i="5"/>
  <c r="BY101" i="5"/>
  <c r="BZ101" i="5"/>
  <c r="CA101" i="5"/>
  <c r="CB101" i="5"/>
  <c r="CC101" i="5"/>
  <c r="CD101" i="5"/>
  <c r="CE101" i="5"/>
  <c r="CF101" i="5"/>
  <c r="CG101" i="5"/>
  <c r="CH101" i="5"/>
  <c r="CI101" i="5"/>
  <c r="CJ101" i="5"/>
  <c r="CK101" i="5"/>
  <c r="CL101" i="5"/>
  <c r="CM101" i="5"/>
  <c r="CN101" i="5"/>
  <c r="CO101" i="5"/>
  <c r="CP101" i="5"/>
  <c r="CQ101" i="5"/>
  <c r="CR101" i="5"/>
  <c r="CS101" i="5"/>
  <c r="CT101" i="5"/>
  <c r="CU101" i="5"/>
  <c r="CV101" i="5"/>
  <c r="CW101" i="5"/>
  <c r="BV102" i="5"/>
  <c r="BW102" i="5"/>
  <c r="BX102" i="5"/>
  <c r="BY102" i="5"/>
  <c r="BZ102" i="5"/>
  <c r="CA102" i="5"/>
  <c r="CB102" i="5"/>
  <c r="CC102" i="5"/>
  <c r="CD102" i="5"/>
  <c r="CE102" i="5"/>
  <c r="CF102" i="5"/>
  <c r="CG102" i="5"/>
  <c r="CH102" i="5"/>
  <c r="CI102" i="5"/>
  <c r="CJ102" i="5"/>
  <c r="CK102" i="5"/>
  <c r="CL102" i="5"/>
  <c r="CM102" i="5"/>
  <c r="CN102" i="5"/>
  <c r="CO102" i="5"/>
  <c r="CP102" i="5"/>
  <c r="CQ102" i="5"/>
  <c r="CR102" i="5"/>
  <c r="CS102" i="5"/>
  <c r="CT102" i="5"/>
  <c r="CU102" i="5"/>
  <c r="CV102" i="5"/>
  <c r="CW102" i="5"/>
  <c r="BV103" i="5"/>
  <c r="BW103" i="5"/>
  <c r="BX103" i="5"/>
  <c r="BY103" i="5"/>
  <c r="BZ103" i="5"/>
  <c r="CA103" i="5"/>
  <c r="CB103" i="5"/>
  <c r="CC103" i="5"/>
  <c r="CD103" i="5"/>
  <c r="CE103" i="5"/>
  <c r="CF103" i="5"/>
  <c r="CG103" i="5"/>
  <c r="CH103" i="5"/>
  <c r="CI103" i="5"/>
  <c r="CJ103" i="5"/>
  <c r="CK103" i="5"/>
  <c r="CL103" i="5"/>
  <c r="CM103" i="5"/>
  <c r="CN103" i="5"/>
  <c r="CO103" i="5"/>
  <c r="CP103" i="5"/>
  <c r="CQ103" i="5"/>
  <c r="CR103" i="5"/>
  <c r="CS103" i="5"/>
  <c r="CT103" i="5"/>
  <c r="CU103" i="5"/>
  <c r="CV103" i="5"/>
  <c r="CW103" i="5"/>
  <c r="BV104" i="5"/>
  <c r="BW104" i="5"/>
  <c r="BX104" i="5"/>
  <c r="BY104" i="5"/>
  <c r="BZ104" i="5"/>
  <c r="CA104" i="5"/>
  <c r="CB104" i="5"/>
  <c r="CC104" i="5"/>
  <c r="CD104" i="5"/>
  <c r="CE104" i="5"/>
  <c r="CF104" i="5"/>
  <c r="CG104" i="5"/>
  <c r="CH104" i="5"/>
  <c r="CI104" i="5"/>
  <c r="CJ104" i="5"/>
  <c r="CK104" i="5"/>
  <c r="CL104" i="5"/>
  <c r="CM104" i="5"/>
  <c r="CN104" i="5"/>
  <c r="CO104" i="5"/>
  <c r="CP104" i="5"/>
  <c r="CQ104" i="5"/>
  <c r="CR104" i="5"/>
  <c r="CS104" i="5"/>
  <c r="CT104" i="5"/>
  <c r="CU104" i="5"/>
  <c r="CV104" i="5"/>
  <c r="CW104" i="5"/>
  <c r="BV105" i="5"/>
  <c r="BW105" i="5"/>
  <c r="BX105" i="5"/>
  <c r="BY105" i="5"/>
  <c r="BZ105" i="5"/>
  <c r="CA105" i="5"/>
  <c r="CB105" i="5"/>
  <c r="CC105" i="5"/>
  <c r="CD105" i="5"/>
  <c r="CE105" i="5"/>
  <c r="CF105" i="5"/>
  <c r="CG105" i="5"/>
  <c r="CH105" i="5"/>
  <c r="CI105" i="5"/>
  <c r="CJ105" i="5"/>
  <c r="CK105" i="5"/>
  <c r="CL105" i="5"/>
  <c r="CM105" i="5"/>
  <c r="CN105" i="5"/>
  <c r="CO105" i="5"/>
  <c r="CP105" i="5"/>
  <c r="CQ105" i="5"/>
  <c r="CR105" i="5"/>
  <c r="CS105" i="5"/>
  <c r="CT105" i="5"/>
  <c r="CU105" i="5"/>
  <c r="CV105" i="5"/>
  <c r="CW105" i="5"/>
  <c r="BV106" i="5"/>
  <c r="BW106" i="5"/>
  <c r="BX106" i="5"/>
  <c r="BY106" i="5"/>
  <c r="BZ106" i="5"/>
  <c r="CA106" i="5"/>
  <c r="CB106" i="5"/>
  <c r="CC106" i="5"/>
  <c r="CD106" i="5"/>
  <c r="CE106" i="5"/>
  <c r="CF106" i="5"/>
  <c r="CG106" i="5"/>
  <c r="CH106" i="5"/>
  <c r="CI106" i="5"/>
  <c r="CJ106" i="5"/>
  <c r="CK106" i="5"/>
  <c r="CL106" i="5"/>
  <c r="CM106" i="5"/>
  <c r="CN106" i="5"/>
  <c r="CO106" i="5"/>
  <c r="CP106" i="5"/>
  <c r="CQ106" i="5"/>
  <c r="CR106" i="5"/>
  <c r="CS106" i="5"/>
  <c r="CT106" i="5"/>
  <c r="CU106" i="5"/>
  <c r="CV106" i="5"/>
  <c r="CW106" i="5"/>
  <c r="BV107" i="5"/>
  <c r="BW107" i="5"/>
  <c r="BX107" i="5"/>
  <c r="BY107" i="5"/>
  <c r="BZ107" i="5"/>
  <c r="CA107" i="5"/>
  <c r="CB107" i="5"/>
  <c r="CC107" i="5"/>
  <c r="CD107" i="5"/>
  <c r="CE107" i="5"/>
  <c r="CF107" i="5"/>
  <c r="CG107" i="5"/>
  <c r="CH107" i="5"/>
  <c r="CI107" i="5"/>
  <c r="CJ107" i="5"/>
  <c r="CK107" i="5"/>
  <c r="CL107" i="5"/>
  <c r="CM107" i="5"/>
  <c r="CN107" i="5"/>
  <c r="CO107" i="5"/>
  <c r="CP107" i="5"/>
  <c r="CQ107" i="5"/>
  <c r="CR107" i="5"/>
  <c r="CS107" i="5"/>
  <c r="CT107" i="5"/>
  <c r="CU107" i="5"/>
  <c r="CV107" i="5"/>
  <c r="CW107" i="5"/>
  <c r="BV108" i="5"/>
  <c r="BW108" i="5"/>
  <c r="BX108" i="5"/>
  <c r="BY108" i="5"/>
  <c r="BZ108" i="5"/>
  <c r="CA108" i="5"/>
  <c r="CB108" i="5"/>
  <c r="CC108" i="5"/>
  <c r="CD108" i="5"/>
  <c r="CE108" i="5"/>
  <c r="CF108" i="5"/>
  <c r="CG108" i="5"/>
  <c r="CH108" i="5"/>
  <c r="CI108" i="5"/>
  <c r="CJ108" i="5"/>
  <c r="CK108" i="5"/>
  <c r="CL108" i="5"/>
  <c r="CM108" i="5"/>
  <c r="CN108" i="5"/>
  <c r="CO108" i="5"/>
  <c r="CP108" i="5"/>
  <c r="CQ108" i="5"/>
  <c r="CR108" i="5"/>
  <c r="CS108" i="5"/>
  <c r="CT108" i="5"/>
  <c r="CU108" i="5"/>
  <c r="CV108" i="5"/>
  <c r="CW108" i="5"/>
  <c r="BV109" i="5"/>
  <c r="BW109" i="5"/>
  <c r="BX109" i="5"/>
  <c r="BY109" i="5"/>
  <c r="BZ109" i="5"/>
  <c r="CA109" i="5"/>
  <c r="CB109" i="5"/>
  <c r="CC109" i="5"/>
  <c r="CD109" i="5"/>
  <c r="CE109" i="5"/>
  <c r="CF109" i="5"/>
  <c r="CG109" i="5"/>
  <c r="CH109" i="5"/>
  <c r="CI109" i="5"/>
  <c r="CJ109" i="5"/>
  <c r="CK109" i="5"/>
  <c r="CL109" i="5"/>
  <c r="CM109" i="5"/>
  <c r="CN109" i="5"/>
  <c r="CO109" i="5"/>
  <c r="CP109" i="5"/>
  <c r="CQ109" i="5"/>
  <c r="CR109" i="5"/>
  <c r="CS109" i="5"/>
  <c r="CT109" i="5"/>
  <c r="CU109" i="5"/>
  <c r="CV109" i="5"/>
  <c r="CW109" i="5"/>
  <c r="BV110" i="5"/>
  <c r="BW110" i="5"/>
  <c r="BX110" i="5"/>
  <c r="BY110" i="5"/>
  <c r="BZ110" i="5"/>
  <c r="CA110" i="5"/>
  <c r="CB110" i="5"/>
  <c r="CC110" i="5"/>
  <c r="CD110" i="5"/>
  <c r="CE110" i="5"/>
  <c r="CF110" i="5"/>
  <c r="CG110" i="5"/>
  <c r="CH110" i="5"/>
  <c r="CI110" i="5"/>
  <c r="CJ110" i="5"/>
  <c r="CK110" i="5"/>
  <c r="CL110" i="5"/>
  <c r="CM110" i="5"/>
  <c r="CN110" i="5"/>
  <c r="CO110" i="5"/>
  <c r="CP110" i="5"/>
  <c r="CQ110" i="5"/>
  <c r="CR110" i="5"/>
  <c r="CS110" i="5"/>
  <c r="CT110" i="5"/>
  <c r="CU110" i="5"/>
  <c r="CV110" i="5"/>
  <c r="CW110" i="5"/>
  <c r="BV111" i="5"/>
  <c r="BW111" i="5"/>
  <c r="BX111" i="5"/>
  <c r="BY111" i="5"/>
  <c r="BZ111" i="5"/>
  <c r="CA111" i="5"/>
  <c r="CB111" i="5"/>
  <c r="CC111" i="5"/>
  <c r="CD111" i="5"/>
  <c r="CE111" i="5"/>
  <c r="CF111" i="5"/>
  <c r="CG111" i="5"/>
  <c r="CH111" i="5"/>
  <c r="CI111" i="5"/>
  <c r="CJ111" i="5"/>
  <c r="CK111" i="5"/>
  <c r="CL111" i="5"/>
  <c r="CM111" i="5"/>
  <c r="CN111" i="5"/>
  <c r="CO111" i="5"/>
  <c r="CP111" i="5"/>
  <c r="CQ111" i="5"/>
  <c r="CR111" i="5"/>
  <c r="CS111" i="5"/>
  <c r="CT111" i="5"/>
  <c r="CU111" i="5"/>
  <c r="CV111" i="5"/>
  <c r="CW111" i="5"/>
  <c r="BV112" i="5"/>
  <c r="BW112" i="5"/>
  <c r="BX112" i="5"/>
  <c r="BY112" i="5"/>
  <c r="BZ112" i="5"/>
  <c r="CA112" i="5"/>
  <c r="CB112" i="5"/>
  <c r="CC112" i="5"/>
  <c r="CD112" i="5"/>
  <c r="CE112" i="5"/>
  <c r="CF112" i="5"/>
  <c r="CG112" i="5"/>
  <c r="CH112" i="5"/>
  <c r="CI112" i="5"/>
  <c r="CJ112" i="5"/>
  <c r="CK112" i="5"/>
  <c r="CL112" i="5"/>
  <c r="CM112" i="5"/>
  <c r="CN112" i="5"/>
  <c r="CO112" i="5"/>
  <c r="CP112" i="5"/>
  <c r="CQ112" i="5"/>
  <c r="CR112" i="5"/>
  <c r="CS112" i="5"/>
  <c r="CT112" i="5"/>
  <c r="CU112" i="5"/>
  <c r="CV112" i="5"/>
  <c r="CW112" i="5"/>
  <c r="BV113" i="5"/>
  <c r="BW113" i="5"/>
  <c r="BX113" i="5"/>
  <c r="BY113" i="5"/>
  <c r="BZ113" i="5"/>
  <c r="CA113" i="5"/>
  <c r="CB113" i="5"/>
  <c r="CC113" i="5"/>
  <c r="CD113" i="5"/>
  <c r="CE113" i="5"/>
  <c r="CF113" i="5"/>
  <c r="CG113" i="5"/>
  <c r="CH113" i="5"/>
  <c r="CI113" i="5"/>
  <c r="CJ113" i="5"/>
  <c r="CK113" i="5"/>
  <c r="CL113" i="5"/>
  <c r="CM113" i="5"/>
  <c r="CN113" i="5"/>
  <c r="CO113" i="5"/>
  <c r="CP113" i="5"/>
  <c r="CQ113" i="5"/>
  <c r="CR113" i="5"/>
  <c r="CS113" i="5"/>
  <c r="CT113" i="5"/>
  <c r="CU113" i="5"/>
  <c r="CV113" i="5"/>
  <c r="CW113" i="5"/>
  <c r="BV114" i="5"/>
  <c r="BW114" i="5"/>
  <c r="BX114" i="5"/>
  <c r="BY114" i="5"/>
  <c r="BZ114" i="5"/>
  <c r="CA114" i="5"/>
  <c r="CB114" i="5"/>
  <c r="CC114" i="5"/>
  <c r="CD114" i="5"/>
  <c r="CE114" i="5"/>
  <c r="CF114" i="5"/>
  <c r="CG114" i="5"/>
  <c r="CH114" i="5"/>
  <c r="CI114" i="5"/>
  <c r="CJ114" i="5"/>
  <c r="CK114" i="5"/>
  <c r="CL114" i="5"/>
  <c r="CM114" i="5"/>
  <c r="CN114" i="5"/>
  <c r="CO114" i="5"/>
  <c r="CP114" i="5"/>
  <c r="CQ114" i="5"/>
  <c r="CR114" i="5"/>
  <c r="CS114" i="5"/>
  <c r="CT114" i="5"/>
  <c r="CU114" i="5"/>
  <c r="CV114" i="5"/>
  <c r="CW114" i="5"/>
  <c r="BV115" i="5"/>
  <c r="BW115" i="5"/>
  <c r="BX115" i="5"/>
  <c r="BY115" i="5"/>
  <c r="BZ115" i="5"/>
  <c r="CA115" i="5"/>
  <c r="CB115" i="5"/>
  <c r="CC115" i="5"/>
  <c r="CD115" i="5"/>
  <c r="CE115" i="5"/>
  <c r="CF115" i="5"/>
  <c r="CG115" i="5"/>
  <c r="CH115" i="5"/>
  <c r="CI115" i="5"/>
  <c r="CJ115" i="5"/>
  <c r="CK115" i="5"/>
  <c r="CL115" i="5"/>
  <c r="CM115" i="5"/>
  <c r="CN115" i="5"/>
  <c r="CO115" i="5"/>
  <c r="CP115" i="5"/>
  <c r="CQ115" i="5"/>
  <c r="CR115" i="5"/>
  <c r="CS115" i="5"/>
  <c r="CT115" i="5"/>
  <c r="CU115" i="5"/>
  <c r="CV115" i="5"/>
  <c r="CW115" i="5"/>
  <c r="BV116" i="5"/>
  <c r="BW116" i="5"/>
  <c r="BX116" i="5"/>
  <c r="BY116" i="5"/>
  <c r="BZ116" i="5"/>
  <c r="CA116" i="5"/>
  <c r="CB116" i="5"/>
  <c r="CC116" i="5"/>
  <c r="CD116" i="5"/>
  <c r="CE116" i="5"/>
  <c r="CF116" i="5"/>
  <c r="CG116" i="5"/>
  <c r="CH116" i="5"/>
  <c r="CI116" i="5"/>
  <c r="CJ116" i="5"/>
  <c r="CK116" i="5"/>
  <c r="CL116" i="5"/>
  <c r="CM116" i="5"/>
  <c r="CN116" i="5"/>
  <c r="CO116" i="5"/>
  <c r="CP116" i="5"/>
  <c r="CQ116" i="5"/>
  <c r="CR116" i="5"/>
  <c r="CS116" i="5"/>
  <c r="CT116" i="5"/>
  <c r="CU116" i="5"/>
  <c r="CV116" i="5"/>
  <c r="CW116" i="5"/>
  <c r="BV117" i="5"/>
  <c r="BW117" i="5"/>
  <c r="BX117" i="5"/>
  <c r="BY117" i="5"/>
  <c r="BZ117" i="5"/>
  <c r="CA117" i="5"/>
  <c r="CB117" i="5"/>
  <c r="CC117" i="5"/>
  <c r="CD117" i="5"/>
  <c r="CE117" i="5"/>
  <c r="CF117" i="5"/>
  <c r="CG117" i="5"/>
  <c r="CH117" i="5"/>
  <c r="CI117" i="5"/>
  <c r="CJ117" i="5"/>
  <c r="CK117" i="5"/>
  <c r="CL117" i="5"/>
  <c r="CM117" i="5"/>
  <c r="CN117" i="5"/>
  <c r="CO117" i="5"/>
  <c r="CP117" i="5"/>
  <c r="CQ117" i="5"/>
  <c r="CR117" i="5"/>
  <c r="CS117" i="5"/>
  <c r="CT117" i="5"/>
  <c r="CU117" i="5"/>
  <c r="CV117" i="5"/>
  <c r="CW117" i="5"/>
  <c r="BV118" i="5"/>
  <c r="BW118" i="5"/>
  <c r="BX118" i="5"/>
  <c r="BY118" i="5"/>
  <c r="BZ118" i="5"/>
  <c r="CA118" i="5"/>
  <c r="CB118" i="5"/>
  <c r="CC118" i="5"/>
  <c r="CD118" i="5"/>
  <c r="CE118" i="5"/>
  <c r="CF118" i="5"/>
  <c r="CG118" i="5"/>
  <c r="CH118" i="5"/>
  <c r="CI118" i="5"/>
  <c r="CJ118" i="5"/>
  <c r="CK118" i="5"/>
  <c r="CL118" i="5"/>
  <c r="CM118" i="5"/>
  <c r="CN118" i="5"/>
  <c r="CO118" i="5"/>
  <c r="CP118" i="5"/>
  <c r="CQ118" i="5"/>
  <c r="CR118" i="5"/>
  <c r="CS118" i="5"/>
  <c r="CT118" i="5"/>
  <c r="CU118" i="5"/>
  <c r="CV118" i="5"/>
  <c r="CW118" i="5"/>
  <c r="BV119" i="5"/>
  <c r="BW119" i="5"/>
  <c r="BX119" i="5"/>
  <c r="BY119" i="5"/>
  <c r="BZ119" i="5"/>
  <c r="CA119" i="5"/>
  <c r="CB119" i="5"/>
  <c r="CC119" i="5"/>
  <c r="CD119" i="5"/>
  <c r="CE119" i="5"/>
  <c r="CF119" i="5"/>
  <c r="CG119" i="5"/>
  <c r="CH119" i="5"/>
  <c r="CI119" i="5"/>
  <c r="CJ119" i="5"/>
  <c r="CK119" i="5"/>
  <c r="CL119" i="5"/>
  <c r="CM119" i="5"/>
  <c r="CN119" i="5"/>
  <c r="CO119" i="5"/>
  <c r="CP119" i="5"/>
  <c r="CQ119" i="5"/>
  <c r="CR119" i="5"/>
  <c r="CS119" i="5"/>
  <c r="CT119" i="5"/>
  <c r="CU119" i="5"/>
  <c r="CV119" i="5"/>
  <c r="CW119" i="5"/>
  <c r="BV120" i="5"/>
  <c r="BW120" i="5"/>
  <c r="BX120" i="5"/>
  <c r="BY120" i="5"/>
  <c r="BZ120" i="5"/>
  <c r="CA120" i="5"/>
  <c r="CB120" i="5"/>
  <c r="CC120" i="5"/>
  <c r="CD120" i="5"/>
  <c r="CE120" i="5"/>
  <c r="CF120" i="5"/>
  <c r="CG120" i="5"/>
  <c r="CH120" i="5"/>
  <c r="CI120" i="5"/>
  <c r="CJ120" i="5"/>
  <c r="CK120" i="5"/>
  <c r="CL120" i="5"/>
  <c r="CM120" i="5"/>
  <c r="CN120" i="5"/>
  <c r="CO120" i="5"/>
  <c r="CP120" i="5"/>
  <c r="CQ120" i="5"/>
  <c r="CR120" i="5"/>
  <c r="CS120" i="5"/>
  <c r="CT120" i="5"/>
  <c r="CU120" i="5"/>
  <c r="CV120" i="5"/>
  <c r="CW120" i="5"/>
  <c r="BV121" i="5"/>
  <c r="BW121" i="5"/>
  <c r="BX121" i="5"/>
  <c r="BY121" i="5"/>
  <c r="BZ121" i="5"/>
  <c r="CA121" i="5"/>
  <c r="CB121" i="5"/>
  <c r="CC121" i="5"/>
  <c r="CD121" i="5"/>
  <c r="CE121" i="5"/>
  <c r="CF121" i="5"/>
  <c r="CG121" i="5"/>
  <c r="CH121" i="5"/>
  <c r="CI121" i="5"/>
  <c r="CJ121" i="5"/>
  <c r="CK121" i="5"/>
  <c r="CL121" i="5"/>
  <c r="CM121" i="5"/>
  <c r="CN121" i="5"/>
  <c r="CO121" i="5"/>
  <c r="CP121" i="5"/>
  <c r="CQ121" i="5"/>
  <c r="CR121" i="5"/>
  <c r="CS121" i="5"/>
  <c r="CT121" i="5"/>
  <c r="CU121" i="5"/>
  <c r="CV121" i="5"/>
  <c r="CW121" i="5"/>
  <c r="BV122" i="5"/>
  <c r="BW122" i="5"/>
  <c r="BX122" i="5"/>
  <c r="BY122" i="5"/>
  <c r="BZ122" i="5"/>
  <c r="CA122" i="5"/>
  <c r="CB122" i="5"/>
  <c r="CC122" i="5"/>
  <c r="CD122" i="5"/>
  <c r="CE122" i="5"/>
  <c r="CF122" i="5"/>
  <c r="CG122" i="5"/>
  <c r="CH122" i="5"/>
  <c r="CI122" i="5"/>
  <c r="CJ122" i="5"/>
  <c r="CK122" i="5"/>
  <c r="CL122" i="5"/>
  <c r="CM122" i="5"/>
  <c r="CN122" i="5"/>
  <c r="CO122" i="5"/>
  <c r="CP122" i="5"/>
  <c r="CQ122" i="5"/>
  <c r="CR122" i="5"/>
  <c r="CS122" i="5"/>
  <c r="CT122" i="5"/>
  <c r="CU122" i="5"/>
  <c r="CV122" i="5"/>
  <c r="CW122" i="5"/>
  <c r="BV123" i="5"/>
  <c r="BW123" i="5"/>
  <c r="BX123" i="5"/>
  <c r="BY123" i="5"/>
  <c r="BZ123" i="5"/>
  <c r="CA123" i="5"/>
  <c r="CB123" i="5"/>
  <c r="CC123" i="5"/>
  <c r="CD123" i="5"/>
  <c r="CE123" i="5"/>
  <c r="CF123" i="5"/>
  <c r="CG123" i="5"/>
  <c r="CH123" i="5"/>
  <c r="CI123" i="5"/>
  <c r="CJ123" i="5"/>
  <c r="CK123" i="5"/>
  <c r="CL123" i="5"/>
  <c r="CM123" i="5"/>
  <c r="CN123" i="5"/>
  <c r="CO123" i="5"/>
  <c r="CP123" i="5"/>
  <c r="CQ123" i="5"/>
  <c r="CR123" i="5"/>
  <c r="CS123" i="5"/>
  <c r="CT123" i="5"/>
  <c r="CU123" i="5"/>
  <c r="CV123" i="5"/>
  <c r="CW123" i="5"/>
  <c r="BV124" i="5"/>
  <c r="BW124" i="5"/>
  <c r="BX124" i="5"/>
  <c r="BY124" i="5"/>
  <c r="BZ124" i="5"/>
  <c r="CA124" i="5"/>
  <c r="CB124" i="5"/>
  <c r="CC124" i="5"/>
  <c r="CD124" i="5"/>
  <c r="CE124" i="5"/>
  <c r="CF124" i="5"/>
  <c r="CG124" i="5"/>
  <c r="CH124" i="5"/>
  <c r="CI124" i="5"/>
  <c r="CJ124" i="5"/>
  <c r="CK124" i="5"/>
  <c r="CL124" i="5"/>
  <c r="CM124" i="5"/>
  <c r="CN124" i="5"/>
  <c r="CO124" i="5"/>
  <c r="CP124" i="5"/>
  <c r="CQ124" i="5"/>
  <c r="CR124" i="5"/>
  <c r="CS124" i="5"/>
  <c r="CT124" i="5"/>
  <c r="CU124" i="5"/>
  <c r="CV124" i="5"/>
  <c r="CW124" i="5"/>
  <c r="BV126" i="5"/>
  <c r="BW126" i="5"/>
  <c r="BX126" i="5"/>
  <c r="BY126" i="5"/>
  <c r="BZ126" i="5"/>
  <c r="CA126" i="5"/>
  <c r="CB126" i="5"/>
  <c r="CC126" i="5"/>
  <c r="CD126" i="5"/>
  <c r="CE126" i="5"/>
  <c r="CF126" i="5"/>
  <c r="CG126" i="5"/>
  <c r="CH126" i="5"/>
  <c r="CI126" i="5"/>
  <c r="CJ126" i="5"/>
  <c r="CK126" i="5"/>
  <c r="CL126" i="5"/>
  <c r="CM126" i="5"/>
  <c r="CN126" i="5"/>
  <c r="CO126" i="5"/>
  <c r="CP126" i="5"/>
  <c r="CQ126" i="5"/>
  <c r="CR126" i="5"/>
  <c r="CS126" i="5"/>
  <c r="CT126" i="5"/>
  <c r="CU126" i="5"/>
  <c r="CV126" i="5"/>
  <c r="CW126" i="5"/>
  <c r="BV127" i="5"/>
  <c r="BW127" i="5"/>
  <c r="BX127" i="5"/>
  <c r="BY127" i="5"/>
  <c r="BZ127" i="5"/>
  <c r="CA127" i="5"/>
  <c r="CB127" i="5"/>
  <c r="CC127" i="5"/>
  <c r="CD127" i="5"/>
  <c r="CE127" i="5"/>
  <c r="CF127" i="5"/>
  <c r="CG127" i="5"/>
  <c r="CH127" i="5"/>
  <c r="CI127" i="5"/>
  <c r="CJ127" i="5"/>
  <c r="CK127" i="5"/>
  <c r="CL127" i="5"/>
  <c r="CM127" i="5"/>
  <c r="CN127" i="5"/>
  <c r="CO127" i="5"/>
  <c r="CP127" i="5"/>
  <c r="CQ127" i="5"/>
  <c r="CR127" i="5"/>
  <c r="CS127" i="5"/>
  <c r="CT127" i="5"/>
  <c r="CU127" i="5"/>
  <c r="CV127" i="5"/>
  <c r="CW127" i="5"/>
  <c r="BV128" i="5"/>
  <c r="BW128" i="5"/>
  <c r="BX128" i="5"/>
  <c r="BY128" i="5"/>
  <c r="BZ128" i="5"/>
  <c r="CA128" i="5"/>
  <c r="CB128" i="5"/>
  <c r="CC128" i="5"/>
  <c r="CD128" i="5"/>
  <c r="CE128" i="5"/>
  <c r="CF128" i="5"/>
  <c r="CG128" i="5"/>
  <c r="CH128" i="5"/>
  <c r="CI128" i="5"/>
  <c r="CJ128" i="5"/>
  <c r="CK128" i="5"/>
  <c r="CL128" i="5"/>
  <c r="CM128" i="5"/>
  <c r="CN128" i="5"/>
  <c r="CO128" i="5"/>
  <c r="CP128" i="5"/>
  <c r="CQ128" i="5"/>
  <c r="CR128" i="5"/>
  <c r="CS128" i="5"/>
  <c r="CT128" i="5"/>
  <c r="CU128" i="5"/>
  <c r="CV128" i="5"/>
  <c r="CW128" i="5"/>
  <c r="BV129" i="5"/>
  <c r="BW129" i="5"/>
  <c r="BX129" i="5"/>
  <c r="BY129" i="5"/>
  <c r="BZ129" i="5"/>
  <c r="CA129" i="5"/>
  <c r="CB129" i="5"/>
  <c r="CC129" i="5"/>
  <c r="CD129" i="5"/>
  <c r="CE129" i="5"/>
  <c r="CF129" i="5"/>
  <c r="CG129" i="5"/>
  <c r="CH129" i="5"/>
  <c r="CI129" i="5"/>
  <c r="CJ129" i="5"/>
  <c r="CK129" i="5"/>
  <c r="CL129" i="5"/>
  <c r="CM129" i="5"/>
  <c r="CN129" i="5"/>
  <c r="CO129" i="5"/>
  <c r="CP129" i="5"/>
  <c r="CQ129" i="5"/>
  <c r="CR129" i="5"/>
  <c r="CS129" i="5"/>
  <c r="CT129" i="5"/>
  <c r="CU129" i="5"/>
  <c r="CV129" i="5"/>
  <c r="CW129" i="5"/>
  <c r="BV130" i="5"/>
  <c r="BW130" i="5"/>
  <c r="BX130" i="5"/>
  <c r="BY130" i="5"/>
  <c r="BZ130" i="5"/>
  <c r="CA130" i="5"/>
  <c r="CB130" i="5"/>
  <c r="CC130" i="5"/>
  <c r="CD130" i="5"/>
  <c r="CE130" i="5"/>
  <c r="CF130" i="5"/>
  <c r="CG130" i="5"/>
  <c r="CH130" i="5"/>
  <c r="CI130" i="5"/>
  <c r="CJ130" i="5"/>
  <c r="CK130" i="5"/>
  <c r="CL130" i="5"/>
  <c r="CM130" i="5"/>
  <c r="CN130" i="5"/>
  <c r="CO130" i="5"/>
  <c r="CP130" i="5"/>
  <c r="CQ130" i="5"/>
  <c r="CR130" i="5"/>
  <c r="CS130" i="5"/>
  <c r="CT130" i="5"/>
  <c r="CU130" i="5"/>
  <c r="CV130" i="5"/>
  <c r="CW130" i="5"/>
  <c r="BV131" i="5"/>
  <c r="BW131" i="5"/>
  <c r="BX131" i="5"/>
  <c r="BY131" i="5"/>
  <c r="BZ131" i="5"/>
  <c r="CA131" i="5"/>
  <c r="CB131" i="5"/>
  <c r="CC131" i="5"/>
  <c r="CD131" i="5"/>
  <c r="CE131" i="5"/>
  <c r="CF131" i="5"/>
  <c r="CG131" i="5"/>
  <c r="CH131" i="5"/>
  <c r="CI131" i="5"/>
  <c r="CJ131" i="5"/>
  <c r="CK131" i="5"/>
  <c r="CL131" i="5"/>
  <c r="CM131" i="5"/>
  <c r="CN131" i="5"/>
  <c r="CO131" i="5"/>
  <c r="CP131" i="5"/>
  <c r="CQ131" i="5"/>
  <c r="CR131" i="5"/>
  <c r="CS131" i="5"/>
  <c r="CT131" i="5"/>
  <c r="CU131" i="5"/>
  <c r="CV131" i="5"/>
  <c r="CW131" i="5"/>
  <c r="BV133" i="5"/>
  <c r="BW133" i="5"/>
  <c r="BX133" i="5"/>
  <c r="BY133" i="5"/>
  <c r="BZ133" i="5"/>
  <c r="CA133" i="5"/>
  <c r="CB133" i="5"/>
  <c r="CC133" i="5"/>
  <c r="CD133" i="5"/>
  <c r="CE133" i="5"/>
  <c r="CF133" i="5"/>
  <c r="CG133" i="5"/>
  <c r="CH133" i="5"/>
  <c r="CI133" i="5"/>
  <c r="CJ133" i="5"/>
  <c r="CK133" i="5"/>
  <c r="CL133" i="5"/>
  <c r="CM133" i="5"/>
  <c r="CN133" i="5"/>
  <c r="CO133" i="5"/>
  <c r="CP133" i="5"/>
  <c r="CQ133" i="5"/>
  <c r="CR133" i="5"/>
  <c r="CS133" i="5"/>
  <c r="CT133" i="5"/>
  <c r="CU133" i="5"/>
  <c r="CV133" i="5"/>
  <c r="CW133" i="5"/>
  <c r="BV132" i="5"/>
  <c r="BW132" i="5"/>
  <c r="BX132" i="5"/>
  <c r="BY132" i="5"/>
  <c r="BZ132" i="5"/>
  <c r="CA132" i="5"/>
  <c r="CB132" i="5"/>
  <c r="CC132" i="5"/>
  <c r="CD132" i="5"/>
  <c r="CE132" i="5"/>
  <c r="CF132" i="5"/>
  <c r="CG132" i="5"/>
  <c r="CH132" i="5"/>
  <c r="CI132" i="5"/>
  <c r="CJ132" i="5"/>
  <c r="CK132" i="5"/>
  <c r="CL132" i="5"/>
  <c r="CM132" i="5"/>
  <c r="CN132" i="5"/>
  <c r="CO132" i="5"/>
  <c r="CP132" i="5"/>
  <c r="CQ132" i="5"/>
  <c r="CR132" i="5"/>
  <c r="CS132" i="5"/>
  <c r="CT132" i="5"/>
  <c r="CU132" i="5"/>
  <c r="CV132" i="5"/>
  <c r="CW132" i="5"/>
  <c r="BV134" i="5"/>
  <c r="BW134" i="5"/>
  <c r="BX134" i="5"/>
  <c r="BY134" i="5"/>
  <c r="BZ134" i="5"/>
  <c r="CA134" i="5"/>
  <c r="CB134" i="5"/>
  <c r="CC134" i="5"/>
  <c r="CD134" i="5"/>
  <c r="CE134" i="5"/>
  <c r="CF134" i="5"/>
  <c r="CG134" i="5"/>
  <c r="CH134" i="5"/>
  <c r="CI134" i="5"/>
  <c r="CJ134" i="5"/>
  <c r="CK134" i="5"/>
  <c r="CL134" i="5"/>
  <c r="CM134" i="5"/>
  <c r="CN134" i="5"/>
  <c r="CO134" i="5"/>
  <c r="CP134" i="5"/>
  <c r="CQ134" i="5"/>
  <c r="CR134" i="5"/>
  <c r="CS134" i="5"/>
  <c r="CT134" i="5"/>
  <c r="CU134" i="5"/>
  <c r="CV134" i="5"/>
  <c r="CW134" i="5"/>
  <c r="BV135" i="5"/>
  <c r="BW135" i="5"/>
  <c r="BX135" i="5"/>
  <c r="BY135" i="5"/>
  <c r="BZ135" i="5"/>
  <c r="CA135" i="5"/>
  <c r="CB135" i="5"/>
  <c r="CC135" i="5"/>
  <c r="CD135" i="5"/>
  <c r="CE135" i="5"/>
  <c r="CF135" i="5"/>
  <c r="CG135" i="5"/>
  <c r="CH135" i="5"/>
  <c r="CI135" i="5"/>
  <c r="CJ135" i="5"/>
  <c r="CK135" i="5"/>
  <c r="CL135" i="5"/>
  <c r="CM135" i="5"/>
  <c r="CN135" i="5"/>
  <c r="CO135" i="5"/>
  <c r="CP135" i="5"/>
  <c r="CQ135" i="5"/>
  <c r="CR135" i="5"/>
  <c r="CS135" i="5"/>
  <c r="CT135" i="5"/>
  <c r="CU135" i="5"/>
  <c r="CV135" i="5"/>
  <c r="CW135" i="5"/>
  <c r="BV136" i="5"/>
  <c r="BW136" i="5"/>
  <c r="BX136" i="5"/>
  <c r="BY136" i="5"/>
  <c r="BZ136" i="5"/>
  <c r="CA136" i="5"/>
  <c r="CB136" i="5"/>
  <c r="CC136" i="5"/>
  <c r="CD136" i="5"/>
  <c r="CE136" i="5"/>
  <c r="CF136" i="5"/>
  <c r="CG136" i="5"/>
  <c r="CH136" i="5"/>
  <c r="CI136" i="5"/>
  <c r="CJ136" i="5"/>
  <c r="CK136" i="5"/>
  <c r="CL136" i="5"/>
  <c r="CM136" i="5"/>
  <c r="CN136" i="5"/>
  <c r="CO136" i="5"/>
  <c r="CP136" i="5"/>
  <c r="CQ136" i="5"/>
  <c r="CR136" i="5"/>
  <c r="CS136" i="5"/>
  <c r="CT136" i="5"/>
  <c r="CU136" i="5"/>
  <c r="CV136" i="5"/>
  <c r="CW136" i="5"/>
  <c r="BV137" i="5"/>
  <c r="BW137" i="5"/>
  <c r="BX137" i="5"/>
  <c r="BY137" i="5"/>
  <c r="BZ137" i="5"/>
  <c r="CA137" i="5"/>
  <c r="CB137" i="5"/>
  <c r="CC137" i="5"/>
  <c r="CD137" i="5"/>
  <c r="CE137" i="5"/>
  <c r="CF137" i="5"/>
  <c r="CG137" i="5"/>
  <c r="CH137" i="5"/>
  <c r="CI137" i="5"/>
  <c r="CJ137" i="5"/>
  <c r="CK137" i="5"/>
  <c r="CL137" i="5"/>
  <c r="CM137" i="5"/>
  <c r="CN137" i="5"/>
  <c r="CO137" i="5"/>
  <c r="CP137" i="5"/>
  <c r="CQ137" i="5"/>
  <c r="CR137" i="5"/>
  <c r="CS137" i="5"/>
  <c r="CT137" i="5"/>
  <c r="CU137" i="5"/>
  <c r="CV137" i="5"/>
  <c r="CW137" i="5"/>
  <c r="BV138" i="5"/>
  <c r="BW138" i="5"/>
  <c r="BX138" i="5"/>
  <c r="BY138" i="5"/>
  <c r="BZ138" i="5"/>
  <c r="CA138" i="5"/>
  <c r="CB138" i="5"/>
  <c r="CC138" i="5"/>
  <c r="CD138" i="5"/>
  <c r="CE138" i="5"/>
  <c r="CF138" i="5"/>
  <c r="CG138" i="5"/>
  <c r="CH138" i="5"/>
  <c r="CI138" i="5"/>
  <c r="CJ138" i="5"/>
  <c r="CK138" i="5"/>
  <c r="CL138" i="5"/>
  <c r="CM138" i="5"/>
  <c r="CN138" i="5"/>
  <c r="CO138" i="5"/>
  <c r="CP138" i="5"/>
  <c r="CQ138" i="5"/>
  <c r="CR138" i="5"/>
  <c r="CS138" i="5"/>
  <c r="CT138" i="5"/>
  <c r="CU138" i="5"/>
  <c r="CV138" i="5"/>
  <c r="CW138" i="5"/>
  <c r="BV139" i="5"/>
  <c r="BW139" i="5"/>
  <c r="BX139" i="5"/>
  <c r="BY139" i="5"/>
  <c r="BZ139" i="5"/>
  <c r="CA139" i="5"/>
  <c r="CB139" i="5"/>
  <c r="CC139" i="5"/>
  <c r="CD139" i="5"/>
  <c r="CE139" i="5"/>
  <c r="CF139" i="5"/>
  <c r="CG139" i="5"/>
  <c r="CH139" i="5"/>
  <c r="CI139" i="5"/>
  <c r="CJ139" i="5"/>
  <c r="CK139" i="5"/>
  <c r="CL139" i="5"/>
  <c r="CM139" i="5"/>
  <c r="CN139" i="5"/>
  <c r="CO139" i="5"/>
  <c r="CP139" i="5"/>
  <c r="CQ139" i="5"/>
  <c r="CR139" i="5"/>
  <c r="CS139" i="5"/>
  <c r="CT139" i="5"/>
  <c r="CU139" i="5"/>
  <c r="CV139" i="5"/>
  <c r="CW139" i="5"/>
  <c r="BV140" i="5"/>
  <c r="BW140" i="5"/>
  <c r="BX140" i="5"/>
  <c r="BY140" i="5"/>
  <c r="BZ140" i="5"/>
  <c r="CA140" i="5"/>
  <c r="CB140" i="5"/>
  <c r="CC140" i="5"/>
  <c r="CD140" i="5"/>
  <c r="CE140" i="5"/>
  <c r="CF140" i="5"/>
  <c r="CG140" i="5"/>
  <c r="CH140" i="5"/>
  <c r="CI140" i="5"/>
  <c r="CJ140" i="5"/>
  <c r="CK140" i="5"/>
  <c r="CL140" i="5"/>
  <c r="CM140" i="5"/>
  <c r="CN140" i="5"/>
  <c r="CO140" i="5"/>
  <c r="CP140" i="5"/>
  <c r="CQ140" i="5"/>
  <c r="CR140" i="5"/>
  <c r="CS140" i="5"/>
  <c r="CT140" i="5"/>
  <c r="CU140" i="5"/>
  <c r="CV140" i="5"/>
  <c r="CW140" i="5"/>
  <c r="BV141" i="5"/>
  <c r="BW141" i="5"/>
  <c r="BX141" i="5"/>
  <c r="BY141" i="5"/>
  <c r="BZ141" i="5"/>
  <c r="CA141" i="5"/>
  <c r="CB141" i="5"/>
  <c r="CC141" i="5"/>
  <c r="CD141" i="5"/>
  <c r="CE141" i="5"/>
  <c r="CF141" i="5"/>
  <c r="CG141" i="5"/>
  <c r="CH141" i="5"/>
  <c r="CI141" i="5"/>
  <c r="CJ141" i="5"/>
  <c r="CK141" i="5"/>
  <c r="CL141" i="5"/>
  <c r="CM141" i="5"/>
  <c r="CN141" i="5"/>
  <c r="CO141" i="5"/>
  <c r="CP141" i="5"/>
  <c r="CQ141" i="5"/>
  <c r="CR141" i="5"/>
  <c r="CS141" i="5"/>
  <c r="CT141" i="5"/>
  <c r="CU141" i="5"/>
  <c r="CV141" i="5"/>
  <c r="CW141" i="5"/>
  <c r="BV142" i="5"/>
  <c r="BW142" i="5"/>
  <c r="BX142" i="5"/>
  <c r="BY142" i="5"/>
  <c r="BZ142" i="5"/>
  <c r="CA142" i="5"/>
  <c r="CB142" i="5"/>
  <c r="CC142" i="5"/>
  <c r="CD142" i="5"/>
  <c r="CE142" i="5"/>
  <c r="CF142" i="5"/>
  <c r="CG142" i="5"/>
  <c r="CH142" i="5"/>
  <c r="CI142" i="5"/>
  <c r="CJ142" i="5"/>
  <c r="CK142" i="5"/>
  <c r="CL142" i="5"/>
  <c r="CM142" i="5"/>
  <c r="CN142" i="5"/>
  <c r="CO142" i="5"/>
  <c r="CP142" i="5"/>
  <c r="CQ142" i="5"/>
  <c r="CR142" i="5"/>
  <c r="CS142" i="5"/>
  <c r="CT142" i="5"/>
  <c r="CU142" i="5"/>
  <c r="CV142" i="5"/>
  <c r="CW142" i="5"/>
  <c r="BV143" i="5"/>
  <c r="BW143" i="5"/>
  <c r="BX143" i="5"/>
  <c r="BY143" i="5"/>
  <c r="BZ143" i="5"/>
  <c r="CA143" i="5"/>
  <c r="CB143" i="5"/>
  <c r="CC143" i="5"/>
  <c r="CD143" i="5"/>
  <c r="CE143" i="5"/>
  <c r="CF143" i="5"/>
  <c r="CG143" i="5"/>
  <c r="CH143" i="5"/>
  <c r="CI143" i="5"/>
  <c r="CJ143" i="5"/>
  <c r="CK143" i="5"/>
  <c r="CL143" i="5"/>
  <c r="CM143" i="5"/>
  <c r="CN143" i="5"/>
  <c r="CO143" i="5"/>
  <c r="CP143" i="5"/>
  <c r="CQ143" i="5"/>
  <c r="CR143" i="5"/>
  <c r="CS143" i="5"/>
  <c r="CT143" i="5"/>
  <c r="CU143" i="5"/>
  <c r="CV143" i="5"/>
  <c r="CW143" i="5"/>
  <c r="BV144" i="5"/>
  <c r="BW144" i="5"/>
  <c r="BX144" i="5"/>
  <c r="BY144" i="5"/>
  <c r="BZ144" i="5"/>
  <c r="CA144" i="5"/>
  <c r="CB144" i="5"/>
  <c r="CC144" i="5"/>
  <c r="CD144" i="5"/>
  <c r="CE144" i="5"/>
  <c r="CF144" i="5"/>
  <c r="CG144" i="5"/>
  <c r="CH144" i="5"/>
  <c r="CI144" i="5"/>
  <c r="CJ144" i="5"/>
  <c r="CK144" i="5"/>
  <c r="CL144" i="5"/>
  <c r="CM144" i="5"/>
  <c r="CN144" i="5"/>
  <c r="CO144" i="5"/>
  <c r="CP144" i="5"/>
  <c r="CQ144" i="5"/>
  <c r="CR144" i="5"/>
  <c r="CS144" i="5"/>
  <c r="CT144" i="5"/>
  <c r="CU144" i="5"/>
  <c r="CV144" i="5"/>
  <c r="CW144" i="5"/>
  <c r="BV145" i="5"/>
  <c r="BW145" i="5"/>
  <c r="BX145" i="5"/>
  <c r="BY145" i="5"/>
  <c r="BZ145" i="5"/>
  <c r="CA145" i="5"/>
  <c r="CB145" i="5"/>
  <c r="CC145" i="5"/>
  <c r="CD145" i="5"/>
  <c r="CE145" i="5"/>
  <c r="CF145" i="5"/>
  <c r="CG145" i="5"/>
  <c r="CH145" i="5"/>
  <c r="CI145" i="5"/>
  <c r="CJ145" i="5"/>
  <c r="CK145" i="5"/>
  <c r="CL145" i="5"/>
  <c r="CM145" i="5"/>
  <c r="CN145" i="5"/>
  <c r="CO145" i="5"/>
  <c r="CP145" i="5"/>
  <c r="CQ145" i="5"/>
  <c r="CR145" i="5"/>
  <c r="CS145" i="5"/>
  <c r="CT145" i="5"/>
  <c r="CU145" i="5"/>
  <c r="CV145" i="5"/>
  <c r="CW145" i="5"/>
  <c r="BV146" i="5"/>
  <c r="BW146" i="5"/>
  <c r="BX146" i="5"/>
  <c r="BY146" i="5"/>
  <c r="BZ146" i="5"/>
  <c r="CA146" i="5"/>
  <c r="CB146" i="5"/>
  <c r="CC146" i="5"/>
  <c r="CD146" i="5"/>
  <c r="CE146" i="5"/>
  <c r="CF146" i="5"/>
  <c r="CG146" i="5"/>
  <c r="CH146" i="5"/>
  <c r="CI146" i="5"/>
  <c r="CJ146" i="5"/>
  <c r="CK146" i="5"/>
  <c r="CL146" i="5"/>
  <c r="CM146" i="5"/>
  <c r="CN146" i="5"/>
  <c r="CO146" i="5"/>
  <c r="CP146" i="5"/>
  <c r="CQ146" i="5"/>
  <c r="CR146" i="5"/>
  <c r="CS146" i="5"/>
  <c r="CT146" i="5"/>
  <c r="CU146" i="5"/>
  <c r="CV146" i="5"/>
  <c r="CW146" i="5"/>
  <c r="BV147" i="5"/>
  <c r="BW147" i="5"/>
  <c r="BX147" i="5"/>
  <c r="BY147" i="5"/>
  <c r="BZ147" i="5"/>
  <c r="CA147" i="5"/>
  <c r="CB147" i="5"/>
  <c r="CC147" i="5"/>
  <c r="CD147" i="5"/>
  <c r="CE147" i="5"/>
  <c r="CF147" i="5"/>
  <c r="CG147" i="5"/>
  <c r="CH147" i="5"/>
  <c r="CI147" i="5"/>
  <c r="CJ147" i="5"/>
  <c r="CK147" i="5"/>
  <c r="CL147" i="5"/>
  <c r="CM147" i="5"/>
  <c r="CN147" i="5"/>
  <c r="CO147" i="5"/>
  <c r="CP147" i="5"/>
  <c r="CQ147" i="5"/>
  <c r="CR147" i="5"/>
  <c r="CS147" i="5"/>
  <c r="CT147" i="5"/>
  <c r="CU147" i="5"/>
  <c r="CV147" i="5"/>
  <c r="CW147" i="5"/>
  <c r="BV148" i="5"/>
  <c r="BW148" i="5"/>
  <c r="BX148" i="5"/>
  <c r="BY148" i="5"/>
  <c r="BZ148" i="5"/>
  <c r="CA148" i="5"/>
  <c r="CB148" i="5"/>
  <c r="CC148" i="5"/>
  <c r="CD148" i="5"/>
  <c r="CE148" i="5"/>
  <c r="CF148" i="5"/>
  <c r="CG148" i="5"/>
  <c r="CH148" i="5"/>
  <c r="CI148" i="5"/>
  <c r="CJ148" i="5"/>
  <c r="CK148" i="5"/>
  <c r="CL148" i="5"/>
  <c r="CM148" i="5"/>
  <c r="CN148" i="5"/>
  <c r="CO148" i="5"/>
  <c r="CP148" i="5"/>
  <c r="CQ148" i="5"/>
  <c r="CR148" i="5"/>
  <c r="CS148" i="5"/>
  <c r="CT148" i="5"/>
  <c r="CU148" i="5"/>
  <c r="CV148" i="5"/>
  <c r="CW148" i="5"/>
  <c r="BV149" i="5"/>
  <c r="BW149" i="5"/>
  <c r="BX149" i="5"/>
  <c r="BY149" i="5"/>
  <c r="BZ149" i="5"/>
  <c r="CA149" i="5"/>
  <c r="CB149" i="5"/>
  <c r="CC149" i="5"/>
  <c r="CD149" i="5"/>
  <c r="CE149" i="5"/>
  <c r="CF149" i="5"/>
  <c r="CG149" i="5"/>
  <c r="CH149" i="5"/>
  <c r="CI149" i="5"/>
  <c r="CJ149" i="5"/>
  <c r="CK149" i="5"/>
  <c r="CL149" i="5"/>
  <c r="CM149" i="5"/>
  <c r="CN149" i="5"/>
  <c r="CO149" i="5"/>
  <c r="CP149" i="5"/>
  <c r="CQ149" i="5"/>
  <c r="CR149" i="5"/>
  <c r="CS149" i="5"/>
  <c r="CT149" i="5"/>
  <c r="CU149" i="5"/>
  <c r="CV149" i="5"/>
  <c r="CW149" i="5"/>
  <c r="BV150" i="5"/>
  <c r="BW150" i="5"/>
  <c r="BX150" i="5"/>
  <c r="BY150" i="5"/>
  <c r="BZ150" i="5"/>
  <c r="CA150" i="5"/>
  <c r="CB150" i="5"/>
  <c r="CC150" i="5"/>
  <c r="CD150" i="5"/>
  <c r="CE150" i="5"/>
  <c r="CF150" i="5"/>
  <c r="CG150" i="5"/>
  <c r="CH150" i="5"/>
  <c r="CI150" i="5"/>
  <c r="CJ150" i="5"/>
  <c r="CK150" i="5"/>
  <c r="CL150" i="5"/>
  <c r="CM150" i="5"/>
  <c r="CN150" i="5"/>
  <c r="CO150" i="5"/>
  <c r="CP150" i="5"/>
  <c r="CQ150" i="5"/>
  <c r="CR150" i="5"/>
  <c r="CS150" i="5"/>
  <c r="CT150" i="5"/>
  <c r="CU150" i="5"/>
  <c r="CV150" i="5"/>
  <c r="CW150" i="5"/>
  <c r="BV72" i="5"/>
  <c r="BW72" i="5"/>
  <c r="BX72" i="5"/>
  <c r="BY72" i="5"/>
  <c r="BZ72" i="5"/>
  <c r="CA72" i="5"/>
  <c r="CB72" i="5"/>
  <c r="CC72" i="5"/>
  <c r="CD72" i="5"/>
  <c r="CE72" i="5"/>
  <c r="CF72" i="5"/>
  <c r="CG72" i="5"/>
  <c r="CH72" i="5"/>
  <c r="CI72" i="5"/>
  <c r="CJ72" i="5"/>
  <c r="CK72" i="5"/>
  <c r="CL72" i="5"/>
  <c r="CM72" i="5"/>
  <c r="CN72" i="5"/>
  <c r="CO72" i="5"/>
  <c r="CP72" i="5"/>
  <c r="CQ72" i="5"/>
  <c r="CR72" i="5"/>
  <c r="CS72" i="5"/>
  <c r="CT72" i="5"/>
  <c r="CU72" i="5"/>
  <c r="CV72" i="5"/>
  <c r="CW72" i="5"/>
  <c r="BV53" i="5"/>
  <c r="BW53" i="5"/>
  <c r="BX53" i="5"/>
  <c r="BY53" i="5"/>
  <c r="BZ53" i="5"/>
  <c r="CA53" i="5"/>
  <c r="CB53" i="5"/>
  <c r="CC53" i="5"/>
  <c r="CD53" i="5"/>
  <c r="CE53" i="5"/>
  <c r="CF53" i="5"/>
  <c r="CG53" i="5"/>
  <c r="CH53" i="5"/>
  <c r="CI53" i="5"/>
  <c r="CJ53" i="5"/>
  <c r="CK53" i="5"/>
  <c r="CL53" i="5"/>
  <c r="CM53" i="5"/>
  <c r="CN53" i="5"/>
  <c r="CO53" i="5"/>
  <c r="CP53" i="5"/>
  <c r="CQ53" i="5"/>
  <c r="CR53" i="5"/>
  <c r="CS53" i="5"/>
  <c r="CT53" i="5"/>
  <c r="CU53" i="5"/>
  <c r="CV53" i="5"/>
  <c r="CW53" i="5"/>
  <c r="BV93" i="5"/>
  <c r="BW93" i="5"/>
  <c r="BX93" i="5"/>
  <c r="BY93" i="5"/>
  <c r="BZ93" i="5"/>
  <c r="CA93" i="5"/>
  <c r="CB93" i="5"/>
  <c r="CC93" i="5"/>
  <c r="CD93" i="5"/>
  <c r="CE93" i="5"/>
  <c r="CF93" i="5"/>
  <c r="CG93" i="5"/>
  <c r="CH93" i="5"/>
  <c r="CI93" i="5"/>
  <c r="CJ93" i="5"/>
  <c r="CK93" i="5"/>
  <c r="CL93" i="5"/>
  <c r="CM93" i="5"/>
  <c r="CN93" i="5"/>
  <c r="CO93" i="5"/>
  <c r="CP93" i="5"/>
  <c r="CQ93" i="5"/>
  <c r="CR93" i="5"/>
  <c r="CS93" i="5"/>
  <c r="CT93" i="5"/>
  <c r="CU93" i="5"/>
  <c r="CV93" i="5"/>
  <c r="CW93" i="5"/>
  <c r="BN125" i="5"/>
  <c r="BN5" i="5"/>
  <c r="BN6" i="5"/>
  <c r="BN7" i="5"/>
  <c r="BN8" i="5"/>
  <c r="BN9" i="5"/>
  <c r="BN10" i="5"/>
  <c r="BN11" i="5"/>
  <c r="BN12" i="5"/>
  <c r="BN13" i="5"/>
  <c r="BN14" i="5"/>
  <c r="BN15" i="5"/>
  <c r="BN16" i="5"/>
  <c r="BN17" i="5"/>
  <c r="BN18" i="5"/>
  <c r="BN19" i="5"/>
  <c r="BN20" i="5"/>
  <c r="BN21" i="5"/>
  <c r="BN22" i="5"/>
  <c r="BN23" i="5"/>
  <c r="BN24" i="5"/>
  <c r="BN25" i="5"/>
  <c r="BN26" i="5"/>
  <c r="BN27" i="5"/>
  <c r="BN28" i="5"/>
  <c r="BN29" i="5"/>
  <c r="BN30" i="5"/>
  <c r="BN31" i="5"/>
  <c r="BN32" i="5"/>
  <c r="BN33" i="5"/>
  <c r="BN34" i="5"/>
  <c r="BN35" i="5"/>
  <c r="BN36" i="5"/>
  <c r="BN37" i="5"/>
  <c r="BN38" i="5"/>
  <c r="BN39" i="5"/>
  <c r="BN40" i="5"/>
  <c r="BN41" i="5"/>
  <c r="BN42" i="5"/>
  <c r="BN43" i="5"/>
  <c r="BN44" i="5"/>
  <c r="BN45" i="5"/>
  <c r="BN46" i="5"/>
  <c r="BN47" i="5"/>
  <c r="BN48" i="5"/>
  <c r="BN49" i="5"/>
  <c r="BN50" i="5"/>
  <c r="BN52" i="5"/>
  <c r="BN54" i="5"/>
  <c r="BN55" i="5"/>
  <c r="BN56" i="5"/>
  <c r="BN57" i="5"/>
  <c r="BN67" i="5"/>
  <c r="BN51" i="5"/>
  <c r="BN58" i="5"/>
  <c r="BN60" i="5"/>
  <c r="BN61" i="5"/>
  <c r="BN62" i="5"/>
  <c r="BN63" i="5"/>
  <c r="BN69" i="5"/>
  <c r="BN64" i="5"/>
  <c r="BN65" i="5"/>
  <c r="BN66" i="5"/>
  <c r="BN68" i="5"/>
  <c r="BN70" i="5"/>
  <c r="BN71" i="5"/>
  <c r="BN73" i="5"/>
  <c r="BN74" i="5"/>
  <c r="BN75" i="5"/>
  <c r="BN76" i="5"/>
  <c r="BN77" i="5"/>
  <c r="BN78" i="5"/>
  <c r="BN79" i="5"/>
  <c r="BN80" i="5"/>
  <c r="BN81" i="5"/>
  <c r="BN82" i="5"/>
  <c r="BN83" i="5"/>
  <c r="BN84" i="5"/>
  <c r="BN85" i="5"/>
  <c r="BN86" i="5"/>
  <c r="BN87" i="5"/>
  <c r="BN88" i="5"/>
  <c r="BN89" i="5"/>
  <c r="BN90" i="5"/>
  <c r="BN91" i="5"/>
  <c r="BN92" i="5"/>
  <c r="BN94" i="5"/>
  <c r="BN95" i="5"/>
  <c r="BN96" i="5"/>
  <c r="BN97" i="5"/>
  <c r="BN98" i="5"/>
  <c r="BN99" i="5"/>
  <c r="BN100" i="5"/>
  <c r="BN101" i="5"/>
  <c r="BN102" i="5"/>
  <c r="BN103" i="5"/>
  <c r="BN104" i="5"/>
  <c r="BN105" i="5"/>
  <c r="BN106" i="5"/>
  <c r="BN107" i="5"/>
  <c r="BN108" i="5"/>
  <c r="BN109" i="5"/>
  <c r="BN110" i="5"/>
  <c r="BN111" i="5"/>
  <c r="BN112" i="5"/>
  <c r="BN113" i="5"/>
  <c r="BN114" i="5"/>
  <c r="BN115" i="5"/>
  <c r="BN116" i="5"/>
  <c r="BN117" i="5"/>
  <c r="BN118" i="5"/>
  <c r="BN119" i="5"/>
  <c r="BN120" i="5"/>
  <c r="BN121" i="5"/>
  <c r="BN122" i="5"/>
  <c r="BN123" i="5"/>
  <c r="BN124" i="5"/>
  <c r="BN126" i="5"/>
  <c r="BN127" i="5"/>
  <c r="BN128" i="5"/>
  <c r="BN129" i="5"/>
  <c r="BN130" i="5"/>
  <c r="BN131" i="5"/>
  <c r="BN133" i="5"/>
  <c r="BN132" i="5"/>
  <c r="BN134" i="5"/>
  <c r="BN135" i="5"/>
  <c r="BN136" i="5"/>
  <c r="BN137" i="5"/>
  <c r="BN138" i="5"/>
  <c r="BN139" i="5"/>
  <c r="BN140" i="5"/>
  <c r="BN141" i="5"/>
  <c r="BN142" i="5"/>
  <c r="BN143" i="5"/>
  <c r="BN144" i="5"/>
  <c r="BN145" i="5"/>
  <c r="BN146" i="5"/>
  <c r="BN147" i="5"/>
  <c r="BN148" i="5"/>
  <c r="BN149" i="5"/>
  <c r="BN150" i="5"/>
  <c r="BN72" i="5"/>
  <c r="BN53" i="5"/>
  <c r="BN93" i="5"/>
  <c r="AT49" i="5" l="1"/>
  <c r="AT86" i="5" l="1"/>
  <c r="AT120" i="5" l="1"/>
  <c r="AT93" i="5" l="1"/>
  <c r="AT53" i="5"/>
  <c r="AT146" i="5"/>
  <c r="AT143" i="5"/>
  <c r="AT138" i="5"/>
  <c r="AT136" i="5"/>
  <c r="AT129" i="5"/>
  <c r="AT127" i="5"/>
  <c r="AT119" i="5"/>
  <c r="AT108" i="5"/>
  <c r="AT104" i="5"/>
  <c r="AT98" i="5"/>
  <c r="AT97" i="5"/>
  <c r="AT96" i="5"/>
  <c r="AT90" i="5"/>
  <c r="AT85" i="5"/>
  <c r="AT84" i="5"/>
  <c r="AT82" i="5"/>
  <c r="AT79" i="5"/>
  <c r="AT68" i="5"/>
  <c r="AT64" i="5"/>
  <c r="AT62" i="5"/>
  <c r="AT61" i="5"/>
  <c r="AT58" i="5"/>
  <c r="AT51" i="5"/>
  <c r="AT67" i="5"/>
  <c r="AT57" i="5"/>
  <c r="AT54" i="5"/>
  <c r="AT48" i="5"/>
  <c r="AT46" i="5"/>
  <c r="AT45" i="5"/>
  <c r="AT39" i="5"/>
  <c r="AT35" i="5"/>
  <c r="AT30" i="5"/>
  <c r="AT25" i="5"/>
  <c r="AT20" i="5"/>
  <c r="AT15" i="5"/>
  <c r="AT8" i="5"/>
</calcChain>
</file>

<file path=xl/sharedStrings.xml><?xml version="1.0" encoding="utf-8"?>
<sst xmlns="http://schemas.openxmlformats.org/spreadsheetml/2006/main" count="4975" uniqueCount="2011">
  <si>
    <t>CODE PF</t>
  </si>
  <si>
    <t>DÉNOMINATION FR</t>
  </si>
  <si>
    <t>SOUS-DÉS FR</t>
  </si>
  <si>
    <t>TYPE DE THÉ FR</t>
  </si>
  <si>
    <t>ORIGINE DU THÉ</t>
  </si>
  <si>
    <t>AB</t>
  </si>
  <si>
    <t>WFTO</t>
  </si>
  <si>
    <t>D</t>
  </si>
  <si>
    <t>WT</t>
  </si>
  <si>
    <t>IGP</t>
  </si>
  <si>
    <t>EF</t>
  </si>
  <si>
    <t>ECOCERT</t>
  </si>
  <si>
    <t>LISTE D'INGRÉDIENTS FR</t>
  </si>
  <si>
    <t>ALLÉGATIONS SANTÉ FR</t>
  </si>
  <si>
    <t>PHRASE WFTO FR</t>
  </si>
  <si>
    <t>POIDS G OU KG</t>
  </si>
  <si>
    <t>TPS MIN D'INFUSION</t>
  </si>
  <si>
    <t>T° C INFUSION</t>
  </si>
  <si>
    <t>POIDS EN G/TASSE DE 25 CL</t>
  </si>
  <si>
    <t>NBRE DE TASSES</t>
  </si>
  <si>
    <t>CODE EAN</t>
  </si>
  <si>
    <t xml:space="preserve">PLUSIEURS INFUSIONS </t>
  </si>
  <si>
    <t>RÉF FACING</t>
  </si>
  <si>
    <t>PRODUCTEUR/
JARDIN</t>
  </si>
  <si>
    <t>SOUS-DÉS EN</t>
  </si>
  <si>
    <t>ALLÉGATIONS SANTÉ EN</t>
  </si>
  <si>
    <t>LES GRANDS CLASSIQUES</t>
  </si>
  <si>
    <t>Thé noir d'origine</t>
  </si>
  <si>
    <t>Inde - Darjeeling</t>
  </si>
  <si>
    <t>/</t>
  </si>
  <si>
    <t>Agriculture Inde</t>
  </si>
  <si>
    <t>Membre certifié World Fair Trade Organization, Les Jardins de Gaïa s’engagent pour un commerce plus juste et répondent aux exigences du commerce équitable. Pour en savoir plus : www.wfto.com.</t>
  </si>
  <si>
    <t>3-4</t>
  </si>
  <si>
    <t>INTERNE</t>
  </si>
  <si>
    <t>Selimbong Tea Estate</t>
  </si>
  <si>
    <t>Thé noir aromatisé</t>
  </si>
  <si>
    <t>Vietnam - Chine - Inde</t>
  </si>
  <si>
    <t>Agriculture UE/non UE</t>
  </si>
  <si>
    <t>Création maison</t>
  </si>
  <si>
    <t>LES INFUSIONS DE PLANTES</t>
  </si>
  <si>
    <t>Infusion de plantes</t>
  </si>
  <si>
    <r>
      <rPr>
        <b/>
        <sz val="12"/>
        <color theme="1"/>
        <rFont val="Calibri"/>
        <family val="2"/>
        <scheme val="minor"/>
      </rPr>
      <t>Consommation journalière conseillée : 3 tasses de 25 cl.</t>
    </r>
    <r>
      <rPr>
        <sz val="11"/>
        <color theme="1"/>
        <rFont val="Calibri"/>
        <family val="2"/>
        <scheme val="minor"/>
      </rPr>
      <t xml:space="preserve">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t>
    </r>
  </si>
  <si>
    <t>5-10</t>
  </si>
  <si>
    <t>?</t>
  </si>
  <si>
    <t>Rooibos aromatisé</t>
  </si>
  <si>
    <t>Afrique du Sud - Cap Occidental</t>
  </si>
  <si>
    <t>Agriculture non UE</t>
  </si>
  <si>
    <t>Agriculture Chine</t>
  </si>
  <si>
    <t xml:space="preserve">Ingrédient : thé blanc*. *Issu de l'agriculture biologique. </t>
  </si>
  <si>
    <t>5</t>
  </si>
  <si>
    <t>Plusieurs infusions</t>
  </si>
  <si>
    <t>Xuan En Yisheng Tea Cooperative</t>
  </si>
  <si>
    <t>Q de tube</t>
  </si>
  <si>
    <t>Thé vert d'origine</t>
  </si>
  <si>
    <t>Japon - Kagoshima</t>
  </si>
  <si>
    <t>Agriculture Japon</t>
  </si>
  <si>
    <t>Ingrédient : thé vert*. *Issu de l'agriculture biologique.</t>
  </si>
  <si>
    <t>Thé vert aromatisé</t>
  </si>
  <si>
    <t>Chine</t>
  </si>
  <si>
    <t>3</t>
  </si>
  <si>
    <t>Dazhangshan Organic Tea Farmer Association</t>
  </si>
  <si>
    <t>Vietnam</t>
  </si>
  <si>
    <t>Thé blanc aromatisé</t>
  </si>
  <si>
    <t>Chine - Hunan</t>
  </si>
  <si>
    <t>Guzhang GaoFeng Organic Tea Association</t>
  </si>
  <si>
    <t>Chine - Yunnan</t>
  </si>
  <si>
    <t>85-90</t>
  </si>
  <si>
    <t>Vietnam - Yen Bai</t>
  </si>
  <si>
    <t>Agriculture Vietnam</t>
  </si>
  <si>
    <t>Ingrédient : thé noir*. *Issu de l'agriculture biologique.</t>
  </si>
  <si>
    <t>Van Chan Bio Farmers Club</t>
  </si>
  <si>
    <t>Inde - Assam</t>
  </si>
  <si>
    <t>4</t>
  </si>
  <si>
    <t>Vanille</t>
  </si>
  <si>
    <t>3-5</t>
  </si>
  <si>
    <t>Thé noir</t>
  </si>
  <si>
    <t>Nouvelle-Zélande - Waikato</t>
  </si>
  <si>
    <t>Agriculture Nouvelle-Zélande</t>
  </si>
  <si>
    <t>4-5</t>
  </si>
  <si>
    <t>Zealong Tea Estate LTD</t>
  </si>
  <si>
    <t>Rose</t>
  </si>
  <si>
    <t>Thé vert parfumé</t>
  </si>
  <si>
    <t>Inde</t>
  </si>
  <si>
    <t>AT-BIO-302
Agriculture UE</t>
  </si>
  <si>
    <t>AT-BIO-301
Agriculture UE</t>
  </si>
  <si>
    <t>Agriculture UE</t>
  </si>
  <si>
    <t>Infusion de plante</t>
  </si>
  <si>
    <t>Mannong Tea Association</t>
  </si>
  <si>
    <t>1</t>
  </si>
  <si>
    <t>Thé noir primeur</t>
  </si>
  <si>
    <t>Inde - Dooars</t>
  </si>
  <si>
    <t>Putharjhora Tea Estate</t>
  </si>
  <si>
    <t>Ingrédient : thé noir*. *Issu de l’agriculture biologique.</t>
  </si>
  <si>
    <t>Inde - Chine</t>
  </si>
  <si>
    <t>Chine - Vietnam</t>
  </si>
  <si>
    <t>Menthe poivrée</t>
  </si>
  <si>
    <t>Chine - Zhejiang</t>
  </si>
  <si>
    <t>Chine - Fujian
Vietnam - Yen Bai</t>
  </si>
  <si>
    <t>Honeybush - Cardamome</t>
  </si>
  <si>
    <t>Pause réconfort après une balade, cette tisane aux saveurs à la fois miellées et citronnées, accompagnées de notes de cardamome et d'anis, a la douceur d'une caresse… Dédiée aux aventuriers du quotidien, elle rend irrésistible le plaisir de retrouver son cocon.</t>
  </si>
  <si>
    <t>5-7</t>
  </si>
  <si>
    <t>HB1742</t>
  </si>
  <si>
    <t>ETHB174</t>
  </si>
  <si>
    <t>Infusion de fruits aromatisée</t>
  </si>
  <si>
    <t>AT-BIO-301
Agriculture UE/non UE</t>
  </si>
  <si>
    <t>Cangyuan Yisheng Organic Tea Specialized Cooperative</t>
  </si>
  <si>
    <t>Chine - Anhui</t>
  </si>
  <si>
    <t>Huangshan MaoFeng Tea Farm</t>
  </si>
  <si>
    <t>Corée du Sud - Jeju-do</t>
  </si>
  <si>
    <t>Agriculture Corée du Sud</t>
  </si>
  <si>
    <t>Inde - Chine - Vietnam</t>
  </si>
  <si>
    <t>2-3</t>
  </si>
  <si>
    <t>Infusion nature</t>
  </si>
  <si>
    <t>Inde - Sri Lanka</t>
  </si>
  <si>
    <t>Infusion d'épices</t>
  </si>
  <si>
    <t>15</t>
  </si>
  <si>
    <t>5-8</t>
  </si>
  <si>
    <t>Nature</t>
  </si>
  <si>
    <t>Honeybush nature</t>
  </si>
  <si>
    <t>Agriculture Afrique du Sud</t>
  </si>
  <si>
    <t>France</t>
  </si>
  <si>
    <r>
      <rPr>
        <b/>
        <sz val="12"/>
        <color theme="1"/>
        <rFont val="Calibri"/>
        <family val="2"/>
        <scheme val="minor"/>
      </rPr>
      <t>Consommation journalière conseillée : 5 tasses de 25 cl.</t>
    </r>
    <r>
      <rPr>
        <sz val="11"/>
        <color theme="1"/>
        <rFont val="Calibri"/>
        <family val="2"/>
        <scheme val="minor"/>
      </rPr>
      <t xml:space="preserve">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t>
    </r>
  </si>
  <si>
    <t>Menthe douce</t>
  </si>
  <si>
    <t>2</t>
  </si>
  <si>
    <t>FTGFOP1 SF</t>
  </si>
  <si>
    <t>plusieurs infusions</t>
  </si>
  <si>
    <t>Sri Lanka - Kandy</t>
  </si>
  <si>
    <t>Agriculture Sri Lanka</t>
  </si>
  <si>
    <t>Small Organic Farmers' Association</t>
  </si>
  <si>
    <t>Pêche - Abricot</t>
  </si>
  <si>
    <t>Grand Keemun FOP</t>
  </si>
  <si>
    <t>Qi Men Hong Cha</t>
  </si>
  <si>
    <t>Littéralement thé rouge de Qimen, ce cru est produit au sud-ouest de la fameuse montagne jaune. Son infusion rouge à la saveur onctueuse mêle des notes chocolatées et maltées à des accents légèrement boisés et fruités. Thé d'un parfait équilibre qui jouit d’une réputation bien méritée !</t>
  </si>
  <si>
    <t>TN4676</t>
  </si>
  <si>
    <t>Green Pep's</t>
  </si>
  <si>
    <t>Argousier – Huiles essentielles d'agrumes</t>
  </si>
  <si>
    <t>Débordante d'énergie, cette harmonie de thé vert et d'agrumes associée aux petites baies oranges de l'argousier donne une boisson originale au goût citronné. À consommer quand la fatigue pointe le bout de son nez !</t>
  </si>
  <si>
    <t>TA6992</t>
  </si>
  <si>
    <t>Griffes de Snowview</t>
  </si>
  <si>
    <t xml:space="preserve">Thé blanc Primeur </t>
  </si>
  <si>
    <t>Inde - Darjeeling - Snowview garden</t>
  </si>
  <si>
    <t>Snowview Tea Estate</t>
  </si>
  <si>
    <t>TB3716</t>
  </si>
  <si>
    <t>Gunpowder</t>
  </si>
  <si>
    <t>De tradition séculaire, ce délicieux thé vert de Chine aux feuilles soigneusement roulées en petites perles se déploie en crépitant dans la théière. Thé digestif et velouté à la liqueur dorée, au parfum frais qui conviendra pour toute la journée. S’accommode à merveille de feuilles de menthe fraîche.</t>
  </si>
  <si>
    <t>Ingredient: green tea*. *From organic farming.</t>
  </si>
  <si>
    <t>TV6492</t>
  </si>
  <si>
    <t>Gunpowder Pinhead</t>
  </si>
  <si>
    <t>Gunpowder d'une qualité supérieure. Roulées en boules régulières, ses feuilles libèrent une infusion d'un jaune éclatant au goût rond, sucré et légèrement malté, très présent en bouche. Délicieux nature, il est également idéal pour un thé à la menthe raffiné.</t>
  </si>
  <si>
    <t>Plusieurs origines possibles: Zhejiang / Hubei</t>
  </si>
  <si>
    <t>TV7492</t>
  </si>
  <si>
    <t>ETVN749</t>
  </si>
  <si>
    <t>Gyokuro</t>
  </si>
  <si>
    <t>Récolté une fois par an au printemps, le gyokuro, encore appelé "rosée précieuse", est le thé le plus raffiné du Japon. Triées et sélectionnées, ses fines feuilles vert émeraude sont plates et aiguës comme des aiguilles de pin. Son infusion jaune tendre, au goût suave, exhale un parfum intense et frais. Thé de rêve à déguster pour les grandes occasions.</t>
  </si>
  <si>
    <t>ETVN655</t>
  </si>
  <si>
    <t>TV6556</t>
  </si>
  <si>
    <t>TUTJ0706</t>
  </si>
  <si>
    <t>À l'ombre du phénix 玉露</t>
  </si>
  <si>
    <t>Japon - Ujitawara</t>
  </si>
  <si>
    <t>Délicat thé d’ombre japonais, travaillé à l’aide d’une vapeur selon la manière ancestrale. Ses belles aiguilles fines et régulières délivrent une liqueur végétale délicieusement lactée évoquant de jeunes pousses de céréales germées. Un thé divin pour les grandes occasions !</t>
  </si>
  <si>
    <t>ETTUTJ0706</t>
  </si>
  <si>
    <t>TUTJ0836</t>
  </si>
  <si>
    <t>Gyokuro Karigane</t>
  </si>
  <si>
    <t>Kukicha 玉露</t>
  </si>
  <si>
    <t>Élaboré à partir de tiges et de feuilles de gyokuro, ce thé japonais est la crème des kukicha. Sa liqueur veloutée délivre des saveurs de fruits jaunes accompagnées de notes végétales et marines qui se développent en bouche d'une manière particulièrement raffinée.</t>
  </si>
  <si>
    <t>ETTUTJ0836</t>
  </si>
  <si>
    <t>Gyokuro Premium</t>
  </si>
  <si>
    <t>Vert éternel 玉露</t>
  </si>
  <si>
    <t>Thé mythique parmi les plus grands ! Les feuilles brillantes vert émeraude en forme d'aiguilles très fines libèrent une infusion vert jaune lumineuse aux senteurs végétales. Véritable concentré de pureté, cette “rosée précieuse” à la saveur soyeuse et laiteuse, relevée par une note sucrée intense en bouche, est incontestablement le thé favori des plus fins palais. Récolte d'exception, rare, à savourer…</t>
  </si>
  <si>
    <t>1-2</t>
  </si>
  <si>
    <t>50-60</t>
  </si>
  <si>
    <t>TV6572</t>
  </si>
  <si>
    <t>TV6576</t>
  </si>
  <si>
    <t>Halloween</t>
  </si>
  <si>
    <t>Orange - Cannelle</t>
  </si>
  <si>
    <t>Infusion de légende ou douce saveur d’automne, ce rooibos ensorcelant nous emporte vers les premiers frimas. Harmonieuse et subtile, l’association de l’orange et de la cannelle accompagnera parfaitement l’incontournable tarte à la citrouille !</t>
  </si>
  <si>
    <t>TR2162</t>
  </si>
  <si>
    <t>ETRA216</t>
  </si>
  <si>
    <t>TH701</t>
  </si>
  <si>
    <t>Happy Bedon</t>
  </si>
  <si>
    <t>Digestive
Mauve - Menthe douce</t>
  </si>
  <si>
    <t>Cette tisane au goût rond, fruité et anisé, est une petite astuce quotidienne pour dompter les ventres rebelles ! Pour un corps libéré, léger et en pleine santé !</t>
  </si>
  <si>
    <r>
      <t xml:space="preserve">Ingrédients : pétales de mauve* 25% </t>
    </r>
    <r>
      <rPr>
        <i/>
        <sz val="12"/>
        <color theme="1"/>
        <rFont val="Calibri"/>
        <family val="2"/>
        <scheme val="minor"/>
      </rPr>
      <t>(Malva sylvestris)</t>
    </r>
    <r>
      <rPr>
        <sz val="11"/>
        <color theme="1"/>
        <rFont val="Calibri"/>
        <family val="2"/>
        <scheme val="minor"/>
      </rPr>
      <t xml:space="preserve">, mélisse* </t>
    </r>
    <r>
      <rPr>
        <i/>
        <sz val="12"/>
        <color theme="1"/>
        <rFont val="Calibri"/>
        <family val="2"/>
        <scheme val="minor"/>
      </rPr>
      <t>(Melissa officinalis)</t>
    </r>
    <r>
      <rPr>
        <sz val="11"/>
        <color theme="1"/>
        <rFont val="Calibri"/>
        <family val="2"/>
        <scheme val="minor"/>
      </rPr>
      <t xml:space="preserve">, menthe douce* 20% </t>
    </r>
    <r>
      <rPr>
        <i/>
        <sz val="12"/>
        <color theme="1"/>
        <rFont val="Calibri"/>
        <family val="2"/>
        <scheme val="minor"/>
      </rPr>
      <t>(Mentha spicata)</t>
    </r>
    <r>
      <rPr>
        <sz val="11"/>
        <color theme="1"/>
        <rFont val="Calibri"/>
        <family val="2"/>
        <scheme val="minor"/>
      </rPr>
      <t xml:space="preserve">, crapaudine de Grèce* </t>
    </r>
    <r>
      <rPr>
        <i/>
        <sz val="12"/>
        <color theme="1"/>
        <rFont val="Calibri"/>
        <family val="2"/>
        <scheme val="minor"/>
      </rPr>
      <t>(Sideritis scardica)</t>
    </r>
    <r>
      <rPr>
        <sz val="11"/>
        <color theme="1"/>
        <rFont val="Calibri"/>
        <family val="2"/>
        <scheme val="minor"/>
      </rPr>
      <t xml:space="preserve">, achillée millefeuille* </t>
    </r>
    <r>
      <rPr>
        <i/>
        <sz val="12"/>
        <color theme="1"/>
        <rFont val="Calibri"/>
        <family val="2"/>
        <scheme val="minor"/>
      </rPr>
      <t>(Achillea millefolium)</t>
    </r>
    <r>
      <rPr>
        <sz val="11"/>
        <color theme="1"/>
        <rFont val="Calibri"/>
        <family val="2"/>
        <scheme val="minor"/>
      </rPr>
      <t xml:space="preserve">, pétales de souci* </t>
    </r>
    <r>
      <rPr>
        <i/>
        <sz val="12"/>
        <color theme="1"/>
        <rFont val="Calibri"/>
        <family val="2"/>
        <scheme val="minor"/>
      </rPr>
      <t>(Calendula officinalis)</t>
    </r>
    <r>
      <rPr>
        <sz val="11"/>
        <color theme="1"/>
        <rFont val="Calibri"/>
        <family val="2"/>
        <scheme val="minor"/>
      </rPr>
      <t>. *Issu de l’agriculture biologique.</t>
    </r>
  </si>
  <si>
    <t>Récoltées par de petits producteurs africains pendant la période sèche, ces fleurs d’hibiscus sont à l’origine du fameux "bissap", vrai concentré de bienfaits. Cette belle infusion rouge grenat a la réputation d’être désaltérante, revitalisante et drainante. Elle se boit chaude ou glacée et permet l’élaboration de délicieux cocktails !</t>
  </si>
  <si>
    <r>
      <t xml:space="preserve">Ingrédient : hibiscus* </t>
    </r>
    <r>
      <rPr>
        <i/>
        <sz val="12"/>
        <color theme="1"/>
        <rFont val="Calibri"/>
        <family val="2"/>
        <scheme val="minor"/>
      </rPr>
      <t>(Hibiscus sabdariffa)</t>
    </r>
    <r>
      <rPr>
        <sz val="11"/>
        <color theme="1"/>
        <rFont val="Calibri"/>
        <family val="2"/>
        <scheme val="minor"/>
      </rPr>
      <t>. *Issu de l’agriculture biologique.</t>
    </r>
  </si>
  <si>
    <t>10</t>
  </si>
  <si>
    <t>TH1502</t>
  </si>
  <si>
    <t>Hibiscus</t>
  </si>
  <si>
    <t>Highgrown SOFA</t>
  </si>
  <si>
    <t>FBOP1</t>
  </si>
  <si>
    <t>Grand cru d’altitude de la province d'UVA réputée pour ses thés de grande qualité. Tasse rouge brillant qui donne une liqueur savoureuse et corsée très parfumée. Convient pour le petit déjeuner et l’après repas. Délicieuse avec ou sans lait.</t>
  </si>
  <si>
    <t>TN5362</t>
  </si>
  <si>
    <t>ETNN536</t>
  </si>
  <si>
    <t>Seeyok Tea Estate</t>
  </si>
  <si>
    <t>TN2156</t>
  </si>
  <si>
    <t>ETNN215FF22</t>
  </si>
  <si>
    <t>Hojicha</t>
  </si>
  <si>
    <t>ほうじ茶</t>
  </si>
  <si>
    <t>Thé vert d'origine torréfié</t>
  </si>
  <si>
    <t>Le hojicha, thé vert torréfié, est une composition de feuilles et de branches. Son infusion libère une liqueur ambrée, au parfum chaud de pain grillé, à la saveur sucrée relevée d'une note de noisette. Consommé au Japon après les repas, sa faible teneur en théine en fait une boisson de tous les instants.</t>
  </si>
  <si>
    <t>TV1092</t>
  </si>
  <si>
    <t>TJ2266</t>
  </si>
  <si>
    <t>Hojicha en poudre</t>
  </si>
  <si>
    <t>Ce hojicha en poudre permet d’aromatiser vos préparations_x0003_culinaires avec les saveurs torréfiées du célèbre thé vert japonais. _x0003_Ses notes de céréales grillées, qui évoquent notamment la cacahuète et sa grande douceur, apportent instantanément une touche gourmande aux sauces, gâteaux et autres cocktails… Il peut également être battu à la manière d’un matcha et être dégusté sous la forme d’une mousse aussi onctueuse que savoureuse.</t>
  </si>
  <si>
    <t xml:space="preserve">Ingrédient : thé vert en poudre*. *Issu de l'agriculture biologique. </t>
  </si>
  <si>
    <t>Thé battu</t>
  </si>
  <si>
    <t>ETTJ226</t>
  </si>
  <si>
    <t>The Kagoshima Tea Market</t>
  </si>
  <si>
    <t>Honeybush</t>
  </si>
  <si>
    <t>Arbuste endémique d’Afrique du Sud, le honeybush est presque fabriqué de la même façon que le rooibos. Son infusion de couleur dorée se caractérise par un arôme fleuri et un goût prononcé de miel de montagne. Utilisée en Afrique du Sud pour adoucir la gorge, cette boisson douce, au goût un peu sucré est agréable toute l'année.</t>
  </si>
  <si>
    <t>Ingrédient : honeybush*. *Issu de l'agriculture biologique.</t>
  </si>
  <si>
    <t>HB1702</t>
  </si>
  <si>
    <t>ETHB170</t>
  </si>
  <si>
    <t>Hong Bi Luo</t>
  </si>
  <si>
    <t>Spirale de jade pourpre 红碧螺</t>
  </si>
  <si>
    <t>Chine - Hubei</t>
  </si>
  <si>
    <t>Séduisant thé oxydé façonné à la manière du légendaire Bi Luo Chun. Saveurs de tarte aux prunes, orange et moka.</t>
  </si>
  <si>
    <t>TN1062</t>
  </si>
  <si>
    <t>Huang Ya Cha</t>
  </si>
  <si>
    <t>Bourgeons dorés 黃芽茶</t>
  </si>
  <si>
    <t>Thé jaune Mingqian</t>
  </si>
  <si>
    <t xml:space="preserve">Chine - Yunnan </t>
  </si>
  <si>
    <t>Ingrédient : thé jaune*. *Issu de l'agriculture biologique.</t>
  </si>
  <si>
    <t>TV1136</t>
  </si>
  <si>
    <t>ETVN113FF22</t>
  </si>
  <si>
    <t>Hymne à la Terre</t>
  </si>
  <si>
    <t>Saveurs myrtille - cassis</t>
  </si>
  <si>
    <t>Infusion brillante et limpide aux teintes chaudes : ce thé noir révèle toute la pureté des théiers sauvages du Vietnam. Telle une caresse, la rondeur de la myrtille vient délicatement envelopper le palais de son goût fruité. Un hymne à la Terre et à la richesse de ses saveurs à apprécier à tout instant !</t>
  </si>
  <si>
    <t xml:space="preserve">Ingrédients : thé noir*, arômes naturels de (myrtille*, cassis*) 11%, aronia*, bruyère*, pétales de coquelicot*. * Issu de l'agriculture biologique. </t>
  </si>
  <si>
    <t>Hymn to the earth</t>
  </si>
  <si>
    <t>Blueberry - blackcurrant flavours</t>
  </si>
  <si>
    <t>Ingredients: black tea*, natural (blueberry*, blackcurrant*) flavourings 11%, aronia*, heather flowers*, poppy petals*. *From organic farming.</t>
  </si>
  <si>
    <t>TA7402</t>
  </si>
  <si>
    <t>Instants divins</t>
  </si>
  <si>
    <r>
      <t xml:space="preserve">Saveurs figue - </t>
    </r>
    <r>
      <rPr>
        <b/>
        <sz val="12"/>
        <color theme="1"/>
        <rFont val="Calibri"/>
        <family val="2"/>
        <scheme val="minor"/>
      </rPr>
      <t>amande</t>
    </r>
  </si>
  <si>
    <t>Comme un présent venu de contrées lointaines, cette recette est une divine gourmandise à partager. L’association généreuse de la figue, de l’amande et de l’orange sur une base de thé vert révèle une grande douceur accompagnée d’une légère note acidulée. Une pause plaisir qui invite à la détente et à l’évasion.</t>
  </si>
  <si>
    <t>TA6692</t>
  </si>
  <si>
    <t>Instants sauvages</t>
  </si>
  <si>
    <r>
      <t xml:space="preserve">Cacao - </t>
    </r>
    <r>
      <rPr>
        <b/>
        <sz val="12"/>
        <color theme="1"/>
        <rFont val="Calibri"/>
        <family val="2"/>
        <scheme val="minor"/>
      </rPr>
      <t>Noisette</t>
    </r>
  </si>
  <si>
    <t>Cette recette craquante à base de thé noir et de honeybush associe des saveurs miellées à la légère amertume du cacao et la douceur de la noisette. Agrémenté d’une pointe de guarana, ce thé promet des instants à la fois gourmands et délicieusement sauvages.</t>
  </si>
  <si>
    <r>
      <t xml:space="preserve">Ingrédients : thé noir*, honeybush*, écorces de cacao* 10%, </t>
    </r>
    <r>
      <rPr>
        <b/>
        <sz val="12"/>
        <color theme="1"/>
        <rFont val="Calibri"/>
        <family val="2"/>
        <scheme val="minor"/>
      </rPr>
      <t>noisettes</t>
    </r>
    <r>
      <rPr>
        <sz val="11"/>
        <color theme="1"/>
        <rFont val="Calibri"/>
        <family val="2"/>
        <scheme val="minor"/>
      </rPr>
      <t xml:space="preserve"> concassées* 5%, arôme naturel de </t>
    </r>
    <r>
      <rPr>
        <b/>
        <sz val="12"/>
        <color theme="1"/>
        <rFont val="Calibri"/>
        <family val="2"/>
        <scheme val="minor"/>
      </rPr>
      <t>noisette</t>
    </r>
    <r>
      <rPr>
        <sz val="11"/>
        <color theme="1"/>
        <rFont val="Calibri"/>
        <family val="2"/>
        <scheme val="minor"/>
      </rPr>
      <t>* 5%, guarana*, fleurs d'osmanthe*. *Issu de l'agriculture biologique.</t>
    </r>
  </si>
  <si>
    <t>TA7042</t>
  </si>
  <si>
    <t>Jade Dew</t>
  </si>
  <si>
    <t>Rosée de jade 玉露</t>
  </si>
  <si>
    <t>Thé vert Mingqian</t>
  </si>
  <si>
    <t>TV1346</t>
  </si>
  <si>
    <t>ETVN134FF22</t>
  </si>
  <si>
    <t>绿玉乌龙</t>
  </si>
  <si>
    <t>Délicieux thé bleu-vert originaire des montagnes du Hubei. Ses grandes feuilles roulées se déploient pour libérer une liqueur jaune vif aux reflets verts, de laquelle émane un parfum intense de fleurs. Sa faible oxydation qui le rend proche d’un thé vert, lui donne son appellation “jade” et sa saveur végétale et fruitée.</t>
  </si>
  <si>
    <t>TO1132</t>
  </si>
  <si>
    <t>Jardin enchanté</t>
  </si>
  <si>
    <t>AT-BIO-401
Agriculture UE</t>
  </si>
  <si>
    <t>Cette infusion de fleurs et de plantes haute en couleur et pleine de saveurs est un enchantement pour les yeux et le palais. Chaque gorgée offre une sensation de pureté et de fraîcheur comparable à une balade pieds nus dans la rosée matinale.</t>
  </si>
  <si>
    <t>This very colourful herbal tea made of flowers and plants and full of flavour, is a true delight for the eyes and the tastebuds. Each sip leaves you feeling as pure and fresh as a barefoot walk in the morning dew.</t>
  </si>
  <si>
    <t>Secret Garden</t>
  </si>
  <si>
    <t>TH511</t>
  </si>
  <si>
    <t>Jardin sous la lune</t>
  </si>
  <si>
    <t>Tulsi - Cardamome</t>
  </si>
  <si>
    <t>Hommage à la lune dont l’influence subtile a de tout temps fasciné. Cette recette de thé vert se distingue par les arômes épicés du basilic sacré, soulignés de délicieuses notes de mandarine et de cardamome. Chacune de ces plantes élevées avec beaucoup d’égards apporte à la liqueur une vitalité bienfaisante, qui nous rappelle que prendre soin de la planète, c’est prendre soin de nous.</t>
  </si>
  <si>
    <t>TA6212</t>
  </si>
  <si>
    <t>ETVA621</t>
  </si>
  <si>
    <t>Jasmine Golden Pearls</t>
  </si>
  <si>
    <t>Perles de jasmin
Mo Li Jin Zhu Cha 茉莉绣球</t>
  </si>
  <si>
    <t>Thé noir parfumé d'origine</t>
  </si>
  <si>
    <t>Perles de bourgeons de thé parfumées traditionnellement. Notes de fleur, de caramel et de cacao.</t>
  </si>
  <si>
    <t>Ingrédient : thé noir au jasmin*. *Issu de l'agriculture biologique.</t>
  </si>
  <si>
    <t>Mijiang Farm</t>
  </si>
  <si>
    <t>TN4642</t>
  </si>
  <si>
    <t>Jasmine Phoenix Dragon Pearls</t>
  </si>
  <si>
    <t>Perles de jasmin 茉莉龙凤珠</t>
  </si>
  <si>
    <t>Thé blanc parfumé d'origine</t>
  </si>
  <si>
    <t>Thé de montagne parfumé avec des fleurs fraîches de jasmin, selon la méthode traditionnelle. Suave et frais.</t>
  </si>
  <si>
    <t>Ingrédient : thé blanc au jasmin*. *Issu de l'agriculture biologique.</t>
  </si>
  <si>
    <t>TB8142</t>
  </si>
  <si>
    <t>Je l'appelle Cannelle</t>
  </si>
  <si>
    <t>Thé noir à la cannelle</t>
  </si>
  <si>
    <t>Thé noir parfumé</t>
  </si>
  <si>
    <t>Cette rencontre intense d'un thé noir corsé, de la véritable cannelle de Ceylan et des feuilles de cannelier offre une liqueur aux saveurs chaudes et pleines de douceur. Un véritable réconfort pour le corps et l’esprit à déguster à tout moment.</t>
  </si>
  <si>
    <t>Ingrédients : thé noir*, cannelle* 24%, feuilles de cannellier*. *Issu de l'agriculture biologique.</t>
  </si>
  <si>
    <t>TA7162</t>
  </si>
  <si>
    <t>ETNA716</t>
  </si>
  <si>
    <t xml:space="preserve">Keemun </t>
  </si>
  <si>
    <t>OP</t>
  </si>
  <si>
    <t>Excellente récolte de ce cru célèbre et populaire. Délicat et moelleux, ce thé à l’infusion rouge, au parfum subtil d’orchidée, légèrement sucré, procure une agréable sensation de bien-être. Pauvre en théine et tanin, il est idéal à tout moment.</t>
  </si>
  <si>
    <t>TN4032</t>
  </si>
  <si>
    <t>ETNN403</t>
  </si>
  <si>
    <t>Kerala's wonder</t>
  </si>
  <si>
    <t>TGFOP</t>
  </si>
  <si>
    <t>Inde - Kerala</t>
  </si>
  <si>
    <t>Cultivée sur des terres traditionnellement dédiées aux épices, cette récolte issue de jardins de petits producteurs est enrichie par son terroir. Liqueur harmonieuse couleur châtaigne qui s’installe en bouche pour délivrer des arômes subtilement relevés, évoquant le gingembre et le poivre doux. Une très belle réussite à savourer !</t>
  </si>
  <si>
    <t>The Sahyadri Organic Tea Farmers Consortium</t>
  </si>
  <si>
    <t>TN5202</t>
  </si>
  <si>
    <t>ETNN520</t>
  </si>
  <si>
    <t>Kuki Hojicha</t>
  </si>
  <si>
    <t>Thé vert torréfié</t>
  </si>
  <si>
    <t>Japon - Shizuoka</t>
  </si>
  <si>
    <t>Le kuki hojicha très populaire au Japon est un thé vert torréfié qui a la particularité d’être composé de brindilles et de tiges de feuilles. Les saveurs de pain grillé et de noisettes, accompagnées de notes végétales et fruitées qui font le charme de ce thé, s’apprécient particulièrement en accompagnement d’un repas.</t>
  </si>
  <si>
    <t>TJ2252</t>
  </si>
  <si>
    <t>Kukicha Sud-Coréen</t>
  </si>
  <si>
    <t>Cultivé et travaillé dans le respect des traditions japonaises, ce thé issu de l’île de Jeju marie fines feuilles et tiges soigneusement sélectionnées. Brillante, vert lumineux, sa tasse au parfum frais et herbacé s'équilibre en mêlant saveurs douces et rafraîchissantes. Délicieux et digeste, peu théiné, ce thé s'apprécie chaud ou glacé.</t>
  </si>
  <si>
    <t>TV1272</t>
  </si>
  <si>
    <t>ETVN127</t>
  </si>
  <si>
    <t>L’O à la bouche</t>
  </si>
  <si>
    <t>Orange</t>
  </si>
  <si>
    <t>Sensuelle et fraîche, cette association d’un thé vert voluptueux à la saveur fruitée et pétillante de l’orange fera hérisser les papilles des amateurs. Délicieux en thé glacé.</t>
  </si>
  <si>
    <t>Tang'O</t>
  </si>
  <si>
    <t>TA6822</t>
  </si>
  <si>
    <t>ETVA682</t>
  </si>
  <si>
    <t>L’Or du Temps</t>
  </si>
  <si>
    <t>Odorante et ronde, sanguine ou douce. Ce mélange de thés noirs, associé à une sélection des meilleures essences d’orange, vous accompagnera parfaitement pour un instant de pause. À déguster selon l’envie…</t>
  </si>
  <si>
    <t>TA7112</t>
  </si>
  <si>
    <t>ETNA711</t>
  </si>
  <si>
    <t>La balade du hérisson</t>
  </si>
  <si>
    <r>
      <rPr>
        <b/>
        <sz val="12"/>
        <color theme="1"/>
        <rFont val="Calibri"/>
        <family val="2"/>
        <scheme val="minor"/>
      </rPr>
      <t>Noisette</t>
    </r>
    <r>
      <rPr>
        <sz val="11"/>
        <color theme="1"/>
        <rFont val="Calibri"/>
        <family val="2"/>
        <scheme val="minor"/>
      </rPr>
      <t xml:space="preserve"> - Saveur Mûre</t>
    </r>
  </si>
  <si>
    <t>Mélange de thés aromatisé</t>
  </si>
  <si>
    <t>Cette balade évoque dès ses premiers accords aromatiques des contrées sauvages et gourmandes. La mûre et le coquelicot forment un couple harmonieux accompagné par des notes de noisette qui donnent toute son intensité à ce voyage gustatif. Un appel à l’éveil des sens auquel on ne peut rester indifférent…</t>
  </si>
  <si>
    <r>
      <t xml:space="preserve">Ingrédients : mélange de thés 79% (thé vert*, thé noir*), arômes naturels de (mûre*, </t>
    </r>
    <r>
      <rPr>
        <b/>
        <sz val="12"/>
        <color theme="1"/>
        <rFont val="Calibri"/>
        <family val="2"/>
        <scheme val="minor"/>
      </rPr>
      <t>noisette</t>
    </r>
    <r>
      <rPr>
        <sz val="11"/>
        <color theme="1"/>
        <rFont val="Calibri"/>
        <family val="2"/>
        <scheme val="minor"/>
      </rPr>
      <t xml:space="preserve">*) 9%, chips de carotte*, </t>
    </r>
    <r>
      <rPr>
        <b/>
        <sz val="12"/>
        <color theme="1"/>
        <rFont val="Calibri"/>
        <family val="2"/>
        <scheme val="minor"/>
      </rPr>
      <t>noisettes</t>
    </r>
    <r>
      <rPr>
        <sz val="11"/>
        <color theme="1"/>
        <rFont val="Calibri"/>
        <family val="2"/>
        <scheme val="minor"/>
      </rPr>
      <t xml:space="preserve"> concassées* 5%, pétales de coquelicot*. *Issu de l'agriculture biologique.</t>
    </r>
  </si>
  <si>
    <t>TA6122</t>
  </si>
  <si>
    <t>La nature s'éveille</t>
  </si>
  <si>
    <t>Tel le souffle d'une nature qui s'éveille, cette tisane haute en couleur laisse en bouche une impression festive. Son florilège de saveurs à la fois fruitées, florales et herbacées se conclut avec une finale qui évoque le miel de fleurs et imprègne longuement le palais. Un doux plaisir qui fait la joie des petits et des grands.</t>
  </si>
  <si>
    <t>TH577</t>
  </si>
  <si>
    <t>La potion de Fée Mélusine</t>
  </si>
  <si>
    <t>Cette association de plantes, un brin mystérieuse, est inspirée de la légende de l’étrange femme serpent. Fraîche et pétillante, agréablement fleurie, elle est idéale pour laisser vagabonder son esprit et appeler la créativité…</t>
  </si>
  <si>
    <t>TH509</t>
  </si>
  <si>
    <t>La salsa du printemps</t>
  </si>
  <si>
    <t>Gaie et pétillante, cette tisane est une ode aux premiers beaux jours. Ses saveurs zestées fraîches et toniques relevées d'agréables notes épicées vous emportent avec délice dans l'effervescence des premiers jours printaniers !</t>
  </si>
  <si>
    <t>TH974</t>
  </si>
  <si>
    <t>La souplesse du dragon</t>
  </si>
  <si>
    <t>Anti-inflammatoire
Feuilles de cassis - Curcuma - Reine des prés - Gingembre</t>
  </si>
  <si>
    <t>À l’image du dragon qui se meut libre comme l'air conservez votre confort articulaire avec cette recette de plantes riches en saveurs et en couleurs savamment mêlées dont les vertus anti-inflammatoires sont légendaires. Fruitée, épicée et légèrement réglissée cette tisane est particulièrement agréable et longue en bouche. Une création maison qui communique un tel sens de la douceur que l’on sent immédiatement ses effets apaisants.</t>
  </si>
  <si>
    <r>
      <t xml:space="preserve">Ingrédients : feuilles de cassis* 34% </t>
    </r>
    <r>
      <rPr>
        <i/>
        <sz val="12"/>
        <color theme="1"/>
        <rFont val="Calibri"/>
        <family val="2"/>
        <scheme val="minor"/>
      </rPr>
      <t>(Ribes nigrum)</t>
    </r>
    <r>
      <rPr>
        <sz val="11"/>
        <color theme="1"/>
        <rFont val="Calibri"/>
        <family val="2"/>
        <scheme val="minor"/>
      </rPr>
      <t xml:space="preserve">, curcuma* 25% </t>
    </r>
    <r>
      <rPr>
        <i/>
        <sz val="12"/>
        <color theme="1"/>
        <rFont val="Calibri"/>
        <family val="2"/>
        <scheme val="minor"/>
      </rPr>
      <t>(Curcuma longa)</t>
    </r>
    <r>
      <rPr>
        <sz val="11"/>
        <color theme="1"/>
        <rFont val="Calibri"/>
        <family val="2"/>
        <scheme val="minor"/>
      </rPr>
      <t xml:space="preserve">, reine des prés* 11% </t>
    </r>
    <r>
      <rPr>
        <i/>
        <sz val="12"/>
        <color theme="1"/>
        <rFont val="Calibri"/>
        <family val="2"/>
        <scheme val="minor"/>
      </rPr>
      <t>(Filipendula ulmaria)</t>
    </r>
    <r>
      <rPr>
        <sz val="11"/>
        <color theme="1"/>
        <rFont val="Calibri"/>
        <family val="2"/>
        <scheme val="minor"/>
      </rPr>
      <t xml:space="preserve">, gingembre* 9% </t>
    </r>
    <r>
      <rPr>
        <i/>
        <sz val="12"/>
        <color theme="1"/>
        <rFont val="Calibri"/>
        <family val="2"/>
        <scheme val="minor"/>
      </rPr>
      <t>(Zingiber officinale)</t>
    </r>
    <r>
      <rPr>
        <sz val="11"/>
        <color theme="1"/>
        <rFont val="Calibri"/>
        <family val="2"/>
        <scheme val="minor"/>
      </rPr>
      <t xml:space="preserve">, baies de genévrier* </t>
    </r>
    <r>
      <rPr>
        <i/>
        <sz val="12"/>
        <color theme="1"/>
        <rFont val="Calibri"/>
        <family val="2"/>
        <scheme val="minor"/>
      </rPr>
      <t>(Juniperus communis)</t>
    </r>
    <r>
      <rPr>
        <sz val="11"/>
        <color theme="1"/>
        <rFont val="Calibri"/>
        <family val="2"/>
        <scheme val="minor"/>
      </rPr>
      <t xml:space="preserve">, moringa* </t>
    </r>
    <r>
      <rPr>
        <i/>
        <sz val="12"/>
        <color theme="1"/>
        <rFont val="Calibri"/>
        <family val="2"/>
        <scheme val="minor"/>
      </rPr>
      <t>(Moringa oleifera)</t>
    </r>
    <r>
      <rPr>
        <sz val="11"/>
        <color theme="1"/>
        <rFont val="Calibri"/>
        <family val="2"/>
        <scheme val="minor"/>
      </rPr>
      <t xml:space="preserve">, poivre noir* </t>
    </r>
    <r>
      <rPr>
        <i/>
        <sz val="12"/>
        <color theme="1"/>
        <rFont val="Calibri"/>
        <family val="2"/>
        <scheme val="minor"/>
      </rPr>
      <t>(Piper nigrum)</t>
    </r>
    <r>
      <rPr>
        <sz val="11"/>
        <color theme="1"/>
        <rFont val="Calibri"/>
        <family val="2"/>
        <scheme val="minor"/>
      </rPr>
      <t xml:space="preserve">, pétales de bleuet* </t>
    </r>
    <r>
      <rPr>
        <i/>
        <sz val="12"/>
        <color theme="1"/>
        <rFont val="Calibri"/>
        <family val="2"/>
        <scheme val="minor"/>
      </rPr>
      <t>(Centaurea cyanus)</t>
    </r>
    <r>
      <rPr>
        <sz val="11"/>
        <color theme="1"/>
        <rFont val="Calibri"/>
        <family val="2"/>
        <scheme val="minor"/>
      </rPr>
      <t>. *Issu de l'agriculture biologique.</t>
    </r>
  </si>
  <si>
    <t>Dragon's Agility</t>
  </si>
  <si>
    <t>TH0632</t>
  </si>
  <si>
    <t>La tisane de l'Amour</t>
  </si>
  <si>
    <t>Sensuel et spirituel, ce mélange de plantes et de fleurs est une ode à l’Amour. Infusion à la saveur chaude, au goût gourmand et rond qui procure une agréable sensation de bien-être. À savourer à deux…</t>
  </si>
  <si>
    <t>Love Herbal Tea</t>
  </si>
  <si>
    <t>TH520</t>
  </si>
  <si>
    <t>La tisane de Mamy</t>
  </si>
  <si>
    <t>Digestive
Menthe poivrée</t>
  </si>
  <si>
    <t>Transmise de génération en génération, cette recette aux vertus digestives, un brin rustique, est un régal pour toute la famille avec ses saveurs fruitées accompagnées de notes mentholées. Légère, généreuse et fraîche comme un câlin de Mamy !</t>
  </si>
  <si>
    <t>TH521</t>
  </si>
  <si>
    <t>TH5226</t>
  </si>
  <si>
    <t>La tisane de Noël</t>
  </si>
  <si>
    <t>Cannelle - Mélisse</t>
  </si>
  <si>
    <t>Mélange céleste de plantes, de fruits et d’épices offrant une infusion harmonieuse à la saveur fraîche, citronnée et épicée. Une tisane délicieuse à savourer avec amour pour célébrer l’esprit de Noël !</t>
  </si>
  <si>
    <r>
      <t xml:space="preserve">Ingrédients : cannelle* 44%, mélisse* 21%, feuilles de mûrier*, écorces d'orange*, morceaux de pomme*, réglisse*, clous de girofle*, pétales de fleurs (souci*, bleuet*). *Issu de l'agriculture biologique. </t>
    </r>
    <r>
      <rPr>
        <i/>
        <sz val="12"/>
        <color theme="1"/>
        <rFont val="Calibri"/>
        <family val="2"/>
        <scheme val="minor"/>
      </rPr>
      <t>Contient de la réglisse, les personnes souffrant d'hypertension doivent éviter toute consommation excessive.</t>
    </r>
    <r>
      <rPr>
        <sz val="11"/>
        <color theme="1"/>
        <rFont val="Calibri"/>
        <family val="2"/>
        <scheme val="minor"/>
      </rPr>
      <t xml:space="preserve"> </t>
    </r>
  </si>
  <si>
    <t>La tisane d'hiver</t>
  </si>
  <si>
    <t>La voie lactée</t>
  </si>
  <si>
    <t>Caramel</t>
  </si>
  <si>
    <t xml:space="preserve">Les notes vanillées et boisées du rooibos se mêlent ici délicieusement aux saveurs onctueuses et lactées du caramel. Une recette d’une grande gourmandise qui s’apprécie à tout moment de la journée. </t>
  </si>
  <si>
    <t>Ingrédients : rooibos*, arôme naturel de (caramel* 7%, vanille*), morceaux de caramel* 6% (sucre de canne*, sirop de glucose*, beurre de cacao*, poudre de lait de coco*, protéine de pois*, dextrose*, fleur de sel, arôme naturel de vanille bourbon*, lécithine de tournesol*), pétales de bleuet blanc*. *Issu de l'agriculture biologique.
Informations nutritionnelles moyennes pour 100 ml : Energie 3 kJ/1 kcal. Contient des quantités négligeables de matières grasses dont acides gras saturés, de glucides dont sucres, de protéines et de sel.</t>
  </si>
  <si>
    <t>TR2072</t>
  </si>
  <si>
    <t>Lady Yang Guifei</t>
  </si>
  <si>
    <t>Saveurs litchi - poire</t>
  </si>
  <si>
    <t>Hommage à la beauté proverbiale d'une héroïne de légende. Sucrée et fraîche, cette rencontre tout en douceur du thé vert et d'un fruit fragile au léger goût de rose, habilement contrasté par la saveur sucrée de la poire est un ravissement !</t>
  </si>
  <si>
    <t>TA6752</t>
  </si>
  <si>
    <t>L'Africain</t>
  </si>
  <si>
    <t>Ananas - Coco</t>
  </si>
  <si>
    <t>Namibie, Afrique du Sud, Botswana, Zimbabwe… Rencontre séduisante avec la beauté et la puissance du continent africain, ce rooibos agrémenté d'un cocktail de fruits exotiques nous offre une boisson gorgée de soleil et particulièrement aromatique, qui va enivrer tous vos sens.</t>
  </si>
  <si>
    <t>TR2302</t>
  </si>
  <si>
    <t>Lapacho Agrumes</t>
  </si>
  <si>
    <t>Antioxydant &amp; Défenses immunitaires</t>
  </si>
  <si>
    <t>Infusion aromatisée</t>
  </si>
  <si>
    <t>Brésil</t>
  </si>
  <si>
    <t>L’aubier du lapacho découvert par les Kallawayas, le célèbre peuple de guérisseurs itinérants amérindiens est aussi appelé “écorce divine”. Sa décoction dépourvue de théine se consomme idéalement lors des changements de saison pour ses effets antioxydants et en renfort des défenses immunitaires. Elle offre des saveurs vanillées et boisées que cette composition relève avec de lumineuses notes d’agrumes.</t>
  </si>
  <si>
    <r>
      <t xml:space="preserve">Ingrédients : lapacho* </t>
    </r>
    <r>
      <rPr>
        <i/>
        <sz val="12"/>
        <color theme="1"/>
        <rFont val="Calibri"/>
        <family val="2"/>
        <scheme val="minor"/>
      </rPr>
      <t>(Tabebuia impetiginosa)</t>
    </r>
    <r>
      <rPr>
        <sz val="11"/>
        <color theme="1"/>
        <rFont val="Calibri"/>
        <family val="2"/>
        <scheme val="minor"/>
      </rPr>
      <t>, écorces d'orange* 15%, huiles essentielles de (orange douce*, orange sanguine*, pamplemousse*, citron*) 3%. *Issu de l’agriculture biologique.</t>
    </r>
  </si>
  <si>
    <r>
      <rPr>
        <b/>
        <sz val="12"/>
        <color theme="1"/>
        <rFont val="Calibri"/>
        <family val="2"/>
        <scheme val="minor"/>
      </rPr>
      <t>Consommation journalière conseillée : 4 tasses de 25 cl.</t>
    </r>
    <r>
      <rPr>
        <sz val="11"/>
        <color theme="1"/>
        <rFont val="Calibri"/>
        <family val="2"/>
        <scheme val="minor"/>
      </rPr>
      <t xml:space="preserve">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t>
    </r>
  </si>
  <si>
    <t>5-15</t>
  </si>
  <si>
    <t>TL4032</t>
  </si>
  <si>
    <t>Lapacho nature</t>
  </si>
  <si>
    <t>L’aubier du lapacho est au centre de la pharmacopée des Kallawayas, le célèbre peuple de guérisseurs itinérants amérindiens à qui l’on doit la découverte de cette “écorce divine”. Sa décoction aux agréables saveurs vanillées et légèrement boisées se consomme idéalement lors des changements de saison. Elle est reconnue pour renforcer le système immunitaire, améliorer la circulation sanguine et pour ses effets drainants et antioxydants.</t>
  </si>
  <si>
    <r>
      <t xml:space="preserve">Ingrédient : lapacho* </t>
    </r>
    <r>
      <rPr>
        <i/>
        <sz val="12"/>
        <color theme="1"/>
        <rFont val="Calibri"/>
        <family val="2"/>
        <scheme val="minor"/>
      </rPr>
      <t>(Tabebuia impetiginosa)</t>
    </r>
    <r>
      <rPr>
        <sz val="11"/>
        <color theme="1"/>
        <rFont val="Calibri"/>
        <family val="2"/>
        <scheme val="minor"/>
      </rPr>
      <t>. *Issu de l'agriculture biologique.</t>
    </r>
  </si>
  <si>
    <t>Original Lapacho</t>
  </si>
  <si>
    <t>Antioxidant &amp; Immune system</t>
  </si>
  <si>
    <t>TL1002</t>
  </si>
  <si>
    <t>Le fruit qui rougit</t>
  </si>
  <si>
    <t>Drainant
Hibiscus, rooibos, saveurs myrtille et fraise</t>
  </si>
  <si>
    <t>Dans l’harmonie des fruits rouges et des fleurs d’hibiscus, aux saveurs pétillantes et légèrement acidulées, vient s’épanouir la douceur fruitée et sucrée du rooibos, de la pomme et de la réglisse... Cette création aux vertus drainantes est destinée à faire rougir de plaisir, petits et grands gourmands.</t>
  </si>
  <si>
    <r>
      <t>Ingrédients : rooibos* 27%, morceaux de pomme*, hibiscus* 18%, arômes naturels de (myrtille* 7%, fraise* 3%, framboise*, mûre*, cassis*), aronia*, écorces d’églantines*, réglisse*, morceaux de fraise* 2%, baies de sureau*, fleur</t>
    </r>
    <r>
      <rPr>
        <sz val="12"/>
        <color rgb="FFFF0000"/>
        <rFont val="Calibri (Corps)"/>
      </rPr>
      <t>s</t>
    </r>
    <r>
      <rPr>
        <sz val="11"/>
        <color theme="1"/>
        <rFont val="Calibri"/>
        <family val="2"/>
        <scheme val="minor"/>
      </rPr>
      <t xml:space="preserve"> de sureau*. *Issu de l’agriculture biologique. </t>
    </r>
    <r>
      <rPr>
        <i/>
        <sz val="12"/>
        <color theme="1"/>
        <rFont val="Calibri"/>
        <family val="2"/>
        <scheme val="minor"/>
      </rPr>
      <t>Contient de la réglisse, les personnes souffrant d'hypertension doivent éviter toute consommation excessive.</t>
    </r>
  </si>
  <si>
    <t>TF1222</t>
  </si>
  <si>
    <t>Le joueur de flûte</t>
  </si>
  <si>
    <t>Saveurs bergamote - vanille</t>
  </si>
  <si>
    <t>Dégradé de feuilles vertes issues des théiers anciens vietnamiens pour une infusion au parfum délicieux. L’acidulé de la bergamote est arrondi par la vanille puis par la lavande discrètement suggérée. Frais souvenir d’été, rythmé par la flûte de Kokopelli, musicien des légendes amérindiennes. Très agréable en journée.</t>
  </si>
  <si>
    <t>Ingrédients : thé vert*, extrait de vanille* 2%, pétales de fleurs (souci*, bleuet*, lavande*), huile essentielle de bergamote* 1%. *Issu de l'agriculture biologique.</t>
  </si>
  <si>
    <t>TA6182</t>
  </si>
  <si>
    <t>Le jour se lève</t>
  </si>
  <si>
    <t>FTGBOP1</t>
  </si>
  <si>
    <t>Produit dans le jardin de Chardwar en Assam, ce thé, à l'oxydation particulièrement homogène, étonne d'emblée par sa richesse aromatique tout autant que par sa douceur. Sa belle liqueur, d'un orange intense, développe sur un arrière-plan malté et légèrement boisé de magnifiques saveurs de confiserie, évoquant tour à tour la guimauve, l'abricot et les raisins secs. Idéal pour un petit-déjeuner gourmand !</t>
  </si>
  <si>
    <t>Chardwar Tea Estate</t>
  </si>
  <si>
    <t>TN2292</t>
  </si>
  <si>
    <t>ETNN229</t>
  </si>
  <si>
    <t>Le pouvoir des fleurs</t>
  </si>
  <si>
    <t>Framboise - Saveur vanille</t>
  </si>
  <si>
    <t>TA9026</t>
  </si>
  <si>
    <t>Le rêve de Pema</t>
  </si>
  <si>
    <t>Népal - Panchthar</t>
  </si>
  <si>
    <t>Agriculture Népal</t>
  </si>
  <si>
    <t>Plus près du ciel, les thés sont comme les songes, ils prennent des couleurs différentes… Issu de petites parcelles d’altitude entourées d’une riche et belle diversité de plantes, ce thé vert semble s’en être imprégné. Ses petites feuilles d’un beau dégradé de vert donnent une liqueur dorée aux notes végétales, légèrement acidulées et épicées. Une tasse riche, surprenante et dépaysante.</t>
  </si>
  <si>
    <t>Kanchanjangha Tea Estate</t>
  </si>
  <si>
    <t>TV7942</t>
  </si>
  <si>
    <t>ETVN794</t>
  </si>
  <si>
    <t>Conjuguez saveurs et bien-être ! Fruitée et épicée, cette tisane aux arômes épanouis séduit les papilles autant qu’elle améliore la digestion. Idéale en fin de repas pour se sentir légère et belle à croquer !</t>
  </si>
  <si>
    <r>
      <t xml:space="preserve">Ingrédients : écorces d’orange* </t>
    </r>
    <r>
      <rPr>
        <i/>
        <sz val="12"/>
        <color theme="1"/>
        <rFont val="Calibri"/>
        <family val="2"/>
        <scheme val="minor"/>
      </rPr>
      <t>(Citrus sinensis)</t>
    </r>
    <r>
      <rPr>
        <sz val="11"/>
        <color theme="1"/>
        <rFont val="Calibri"/>
        <family val="2"/>
        <scheme val="minor"/>
      </rPr>
      <t xml:space="preserve">, cannelle de Ceylan* 18% </t>
    </r>
    <r>
      <rPr>
        <i/>
        <sz val="12"/>
        <color theme="1"/>
        <rFont val="Calibri"/>
        <family val="2"/>
        <scheme val="minor"/>
      </rPr>
      <t>(Cinnamomum zeylanicum)</t>
    </r>
    <r>
      <rPr>
        <sz val="11"/>
        <color theme="1"/>
        <rFont val="Calibri"/>
        <family val="2"/>
        <scheme val="minor"/>
      </rPr>
      <t xml:space="preserve">, coriandre* 18% </t>
    </r>
    <r>
      <rPr>
        <i/>
        <sz val="12"/>
        <color theme="1"/>
        <rFont val="Calibri"/>
        <family val="2"/>
        <scheme val="minor"/>
      </rPr>
      <t>(Coriandrum sativum)</t>
    </r>
    <r>
      <rPr>
        <sz val="11"/>
        <color theme="1"/>
        <rFont val="Calibri"/>
        <family val="2"/>
        <scheme val="minor"/>
      </rPr>
      <t xml:space="preserve">, mélisse* 12% </t>
    </r>
    <r>
      <rPr>
        <i/>
        <sz val="12"/>
        <color theme="1"/>
        <rFont val="Calibri"/>
        <family val="2"/>
        <scheme val="minor"/>
      </rPr>
      <t>(Melissa officinalis)</t>
    </r>
    <r>
      <rPr>
        <sz val="11"/>
        <color theme="1"/>
        <rFont val="Calibri"/>
        <family val="2"/>
        <scheme val="minor"/>
      </rPr>
      <t xml:space="preserve">, gingembre* </t>
    </r>
    <r>
      <rPr>
        <i/>
        <sz val="12"/>
        <color theme="1"/>
        <rFont val="Calibri"/>
        <family val="2"/>
        <scheme val="minor"/>
      </rPr>
      <t>(Zingiber officinale)</t>
    </r>
    <r>
      <rPr>
        <sz val="11"/>
        <color theme="1"/>
        <rFont val="Calibri"/>
        <family val="2"/>
        <scheme val="minor"/>
      </rPr>
      <t xml:space="preserve">, fenouil* 12% </t>
    </r>
    <r>
      <rPr>
        <i/>
        <sz val="12"/>
        <color theme="1"/>
        <rFont val="Calibri"/>
        <family val="2"/>
        <scheme val="minor"/>
      </rPr>
      <t>(Foeniculum vulgare)</t>
    </r>
    <r>
      <rPr>
        <sz val="11"/>
        <color theme="1"/>
        <rFont val="Calibri"/>
        <family val="2"/>
        <scheme val="minor"/>
      </rPr>
      <t>, armoise*</t>
    </r>
    <r>
      <rPr>
        <i/>
        <sz val="12"/>
        <color theme="1"/>
        <rFont val="Calibri"/>
        <family val="2"/>
        <scheme val="minor"/>
      </rPr>
      <t xml:space="preserve"> (Artemisia vulgaris)</t>
    </r>
    <r>
      <rPr>
        <sz val="11"/>
        <color theme="1"/>
        <rFont val="Calibri"/>
        <family val="2"/>
        <scheme val="minor"/>
      </rPr>
      <t>, boutons de rose*</t>
    </r>
    <r>
      <rPr>
        <i/>
        <sz val="12"/>
        <color theme="1"/>
        <rFont val="Calibri"/>
        <family val="2"/>
        <scheme val="minor"/>
      </rPr>
      <t xml:space="preserve"> (Rosa damascena)</t>
    </r>
    <r>
      <rPr>
        <sz val="11"/>
        <color theme="1"/>
        <rFont val="Calibri"/>
        <family val="2"/>
        <scheme val="minor"/>
      </rPr>
      <t xml:space="preserve">, extrait de vanille* 0,5%. *Issu de l’agriculture biologique. </t>
    </r>
  </si>
  <si>
    <t>TH440</t>
  </si>
  <si>
    <t>Le secret des muses</t>
  </si>
  <si>
    <t>Framboise - Citron</t>
  </si>
  <si>
    <t>Ces feuilles tendres parsemées de bourgeons argentés, délicatement parfumées de saveurs printanières de framboise et citron, se déploient pour libérer une tasse gourmande et légère. Laissez-vous séduire…</t>
  </si>
  <si>
    <t xml:space="preserve">Ingrédients : thé blanc*, arômes naturels de (framboise* 7%, fleur de sureau*), morceaux de framboise* 3%, pétales de fleurs (rose*, mauve*, lavande*, souci*, tournesol*, bleuet*), écorces de citron* 1%, huile essentielle de citron* 0,3%. *Issu de l'agriculture biologique. </t>
  </si>
  <si>
    <t>TA5026</t>
  </si>
  <si>
    <t>Le Songe du Colibri</t>
  </si>
  <si>
    <t>Mélange tonique et inattendu. À la fraîcheur du thé vert issu de théiers anciens du Vietnam s’ajoute l’acidulé du citron. Un mariage savoureux auquel l’épicé du basilic vient offrir un coup de peps incomparable. Idéal pour prendre son envol et oser donner vie au songe du colibri.</t>
  </si>
  <si>
    <t xml:space="preserve">Ingrédients : thé vert*, basilic* 12%, pétales de souci*, huile essentielle de citron* 2%. *Issu de l'agriculture biologique. </t>
  </si>
  <si>
    <t>TA6172</t>
  </si>
  <si>
    <t>ETVA617</t>
  </si>
  <si>
    <t>Le thé des Samouraïs</t>
  </si>
  <si>
    <t>Gingembre - Verveine</t>
  </si>
  <si>
    <t>Thé de légende et de tradition. Frais et herbacé, souligné d’une note citronnée légèrement piquante, ce thé vert japonais allie douceur et force. Infusion limpide à la saveur intense, longue en bouche, excellente chaude ou glacée.</t>
  </si>
  <si>
    <t>Ingrédients : thé vert japonais*, gingembre* 12%, verveine* 8%. *Issu de l'agriculture biologique.</t>
  </si>
  <si>
    <t>TJ2012</t>
  </si>
  <si>
    <t>ETVJ201</t>
  </si>
  <si>
    <t>Lemongrass</t>
  </si>
  <si>
    <t>Sri Lanka</t>
  </si>
  <si>
    <t>Vif et pétillant, le lemongrass, appelé verveine des Indes, est un vrai rayon de soleil ! Son infusion aux saveurs citronnées intenses s'apprécie particulièrement en mode glacé dès que le thermomètre commence à s'affoler. La plus savoureuse manière de se rafraîchir !</t>
  </si>
  <si>
    <t>TH2602</t>
  </si>
  <si>
    <t>L'envolée sauvage</t>
  </si>
  <si>
    <t xml:space="preserve">Eucalyptus - Clous de girofle </t>
  </si>
  <si>
    <t>Portugal - France - Maroc - Sri Lanka - Turquie - Australie</t>
  </si>
  <si>
    <t>Cette composition à base de plantes, particulièrement harmonieuse, est un hommage à la grâce d’une envolée sauvage. S’ouvrant sur des saveurs de mélisse et de tilleul qui oscillent entre force et douceur, la recette déploie ensuite ses notes épicées, fraîches, camphrées et citronnées d’une très belle complexité. Pour une pause contemplative où le temps suspend son vol…</t>
  </si>
  <si>
    <t>Ingrédients : tilleul*, eucalyptus* 22%, morceaux de pomme*, mélisse*, myrte*, reine des prés*, clou de girofle* 4%, pétales de souci*, pétales de bleuet*. *Issu de l’agriculture biologique.</t>
  </si>
  <si>
    <t>TM0036</t>
  </si>
  <si>
    <t>ETTM003</t>
  </si>
  <si>
    <t>Les quatre portes célestes</t>
  </si>
  <si>
    <t>TO3602</t>
  </si>
  <si>
    <t>ETON360</t>
  </si>
  <si>
    <t>Lézar'thé</t>
  </si>
  <si>
    <t>Mélange tonique
Thé vert - Maté</t>
  </si>
  <si>
    <t>Lézarder le jour et faire la fête jusqu’au bout de la nuit ! À l’image de cet animal, symbole de croissance et d’énergie dans de nombreuses cultures ancestrales, ce mariage de thés verts japonais associé au mélange tonique maté- guarana-gingembre est agréablement fruité et citronné. Pour un coup de boost aussi discret qu’efficace, à déguster chaud ou froid !</t>
  </si>
  <si>
    <t>Ingrédients : thé vert* 65%, maté* 11%, lemongrass*, guarana*, gingembre*, verveine*, morceaux de pêche*, arôme naturel de pêche*. *Issu de l'agriculture biologique.</t>
  </si>
  <si>
    <t>TA6902</t>
  </si>
  <si>
    <t xml:space="preserve">Lien Son </t>
  </si>
  <si>
    <t>FOP</t>
  </si>
  <si>
    <t>Originaire d'une forêt ancienne du Vietnam, ce thé est récolté et transformé par les Dao, minorité ethnique. Ses feuilles sombres et torsadées libèrent une liqueur cognac douce et maltée au parfum mêlé de châtaignes grillées et de fleurs. Charnu et riche, ce thé supporte une pointe de lait.</t>
  </si>
  <si>
    <t>TN4082</t>
  </si>
  <si>
    <t>ETNN408</t>
  </si>
  <si>
    <t>Light my fire</t>
  </si>
  <si>
    <t xml:space="preserve">Mettons "le feu à la nuit" comme le suggère la chanson…  Telle une étincelle, cette recette à base de thé noir délicieusement épicée est une invitation à réveiller toutes les ardeurs qui sommeillent. Laissez-vous porter par ses saveurs gourmandes aux notes miellées, épicées et citronnées qui ouvrent les portes sur des plaisirs insoupçonnés… </t>
  </si>
  <si>
    <t>TM7372</t>
  </si>
  <si>
    <t>ETNM737</t>
  </si>
  <si>
    <t>Long Jing</t>
  </si>
  <si>
    <t>Puits du dragon</t>
  </si>
  <si>
    <t>Ce cru originel, produit à proximité des rives du célèbre lac de Hangzhou jouit d'une grande réputation. Il se distingue par sa couleur émeraude et ses feuilles lisses et plates "comme la langue d'un moineau". Légèrement grillé, son goût mœlleux qui rappelle la châtaigne, son parfum intense et frais en font un thé merveilleux.</t>
  </si>
  <si>
    <t>TV6562</t>
  </si>
  <si>
    <t>ETVN656</t>
  </si>
  <si>
    <t>Long Jing Senteur céleste</t>
  </si>
  <si>
    <t>Puits du dragon 龙井</t>
  </si>
  <si>
    <t>Célèbre primeur aux feuilles en forme de langue de moineau. Notes : châtaigne, confiseries, fruits jaunes compotés.</t>
  </si>
  <si>
    <t>ETVN458FF22</t>
  </si>
  <si>
    <t>Love supreme</t>
  </si>
  <si>
    <t>Épices - Fleurs</t>
  </si>
  <si>
    <t>Délicate composition au goût velouté et chaud, déclinaison florale et épicée autour d'un thème universel : l'Amour. Thé de grande plénitude, pour donner forme et bien-être à tous les amoureux.</t>
  </si>
  <si>
    <t>TM0102</t>
  </si>
  <si>
    <t>ETNM010</t>
  </si>
  <si>
    <t>Lü Zhen Green Needle Special</t>
  </si>
  <si>
    <t>Aiguilles vertes 绿针</t>
  </si>
  <si>
    <t>TV1126</t>
  </si>
  <si>
    <t>ETVN112FF22</t>
  </si>
  <si>
    <t>Lumière d'étoiles</t>
  </si>
  <si>
    <t>Orange - Épices</t>
  </si>
  <si>
    <t>Mariage harmonieux unissant le goût rond et ensoleillé du rooibos de nos partenaires sud-africains aux effluves précieuses d’épices et de fruits d’une douce veillée. Symphonie des sens à savourer avec Amour.</t>
  </si>
  <si>
    <t>TR2092</t>
  </si>
  <si>
    <t>Lumière d'Orient</t>
  </si>
  <si>
    <t>Huiles essentielles d'agrumes - Cannelle</t>
  </si>
  <si>
    <t>Légère et digeste, cette harmonieuse association de thé vert, de petits morceaux de fruits et de subtiles essences accompagnera divinement vos soirées d'hiver.</t>
  </si>
  <si>
    <t>TA6912</t>
  </si>
  <si>
    <t>Mademoiselle Framboise</t>
  </si>
  <si>
    <t>Framboise</t>
  </si>
  <si>
    <t>Quand on lui susurre à l'oreille qu’elle est belle à croquer et qu'elle est la star de cette infusion de fruits d’une jolie couleur rose, Mademoiselle Framboise n'en finit pas de rougir… Impossible de résister à son délicat parfum et son petit côté acidulé qui réveillent délicieusement les papilles…</t>
  </si>
  <si>
    <t>TF1112</t>
  </si>
  <si>
    <t>Magie des bois</t>
  </si>
  <si>
    <t>Saveurs myrtille - framboise</t>
  </si>
  <si>
    <t>D’une saveur fraîche comme la rosée du matin sur les collines boisées, ce rooibos parsemé de pétales de bleuet, est une délicieuse balade gourmande.</t>
  </si>
  <si>
    <t>TR2042</t>
  </si>
  <si>
    <t>Malin comme un chimpanzé</t>
  </si>
  <si>
    <t>Saveur miel - Figue - Thym</t>
  </si>
  <si>
    <t>Ouganda - Afrique du Sud</t>
  </si>
  <si>
    <t xml:space="preserve">Cette recette dédiée à ces “cousins” aussi malins qu'attachants, avec lesquels nous partageons tant, est une ode à la nature sauvage dont nous avons encore tant à apprendre. Sur la base d’un excellent thé noir ougandais, des saveurs de thym et de miel viennent agréablement surprendre le palais avant de laisser place à de délicieuses notes de figue dont raffolent les chimpanzés, sur un fond boisé qui structure l’ensemble. </t>
  </si>
  <si>
    <t>TA7372</t>
  </si>
  <si>
    <t>ETNA737</t>
  </si>
  <si>
    <t>Mama Rose</t>
  </si>
  <si>
    <t>Clin d'œil au son chaud et plaintif du saxophone d'Archie Shepp qui fait frissonner de plaisir et ouvre les portes de la liberté…  Ce rooibos savoureux et puissant sur lequel vibrent les accords délicats de la rose est dédié à la douceur de vivre sud-africaine. À savourer sans attendre !</t>
  </si>
  <si>
    <t>TR2272</t>
  </si>
  <si>
    <t>Maman Baby</t>
  </si>
  <si>
    <t>Association de plantes réputées galactogènes, cette recette a été pensée pour prendre soin des jeunes mamans. Elle facilite le choix de l'allaitement et calme les spasmes musculaires tout en se faisant plaisir avec ses notes anisées, rondes et un peu sucrées. Un concentré de douceur et tendresse…</t>
  </si>
  <si>
    <r>
      <t xml:space="preserve">Ingrédients : carvi* 40% </t>
    </r>
    <r>
      <rPr>
        <i/>
        <sz val="12"/>
        <color theme="1"/>
        <rFont val="Calibri"/>
        <family val="2"/>
        <scheme val="minor"/>
      </rPr>
      <t>(Carum carvi)</t>
    </r>
    <r>
      <rPr>
        <sz val="11"/>
        <color theme="1"/>
        <rFont val="Calibri"/>
        <family val="2"/>
        <scheme val="minor"/>
      </rPr>
      <t xml:space="preserve">, fenouil* 30% </t>
    </r>
    <r>
      <rPr>
        <i/>
        <sz val="12"/>
        <color theme="1"/>
        <rFont val="Calibri"/>
        <family val="2"/>
        <scheme val="minor"/>
      </rPr>
      <t>(Foeniculum vulgare)</t>
    </r>
    <r>
      <rPr>
        <sz val="11"/>
        <color theme="1"/>
        <rFont val="Calibri"/>
        <family val="2"/>
        <scheme val="minor"/>
      </rPr>
      <t xml:space="preserve">, anis* 30% </t>
    </r>
    <r>
      <rPr>
        <i/>
        <sz val="12"/>
        <color theme="1"/>
        <rFont val="Calibri"/>
        <family val="2"/>
        <scheme val="minor"/>
      </rPr>
      <t>(Pimpinella anisum)</t>
    </r>
    <r>
      <rPr>
        <sz val="11"/>
        <color theme="1"/>
        <rFont val="Calibri"/>
        <family val="2"/>
        <scheme val="minor"/>
      </rPr>
      <t>.*Issu de l'agriculture biologique</t>
    </r>
  </si>
  <si>
    <t>TH530</t>
  </si>
  <si>
    <t>Mao Feng</t>
  </si>
  <si>
    <t>Cimes duveteuses 毛峰</t>
  </si>
  <si>
    <t>Ce thé de montagne, cru typique et célèbre dans son pays d’origine pour ses bourgeons dont l’aspect évoque “le duvet d’un oiseau” est à l’image de son terroir. Les notes de sous-bois, végétales et minérales, relayées par des saveurs sucrées et fleuries offrent une tasse intéressante dont la discrète astringence laisse en bouche une impression de fraîcheur.</t>
  </si>
  <si>
    <t>TV1162</t>
  </si>
  <si>
    <t>Mao Jian</t>
  </si>
  <si>
    <t>Pointes duveteuses 毛尖茶</t>
  </si>
  <si>
    <t xml:space="preserve">Célèbre dans son pays d'origine, ce cru vivifiant aux séduisantes petites feuilles régulières et torsadées parsemées de bourgeons argentés offrent un bouquet frais et printanier. Sa tasse légère et cristalline, dominée par des notes végétales, laisse au palais une empreinte sucrée, un peu fruitée, délicate, qui pétille légèrement sur la langue. </t>
  </si>
  <si>
    <t>TV1172</t>
  </si>
  <si>
    <t>Masala pour Tchaï</t>
  </si>
  <si>
    <t>Gaïa fort</t>
  </si>
  <si>
    <t xml:space="preserve">Créé dans le respect des traditions, le masala est inspiré par une recette ayurvédique indienne exclusivement composée d’épices. Ce mariage à la fois sensuel et spirituel nous offre une boisson qui éveille les sens, envahit et réchauffe le corps tout en libérant l’esprit. Délicieux ! </t>
  </si>
  <si>
    <t>Masala for Chai</t>
  </si>
  <si>
    <t>TM1652</t>
  </si>
  <si>
    <t>ETTM165</t>
  </si>
  <si>
    <t>Gaïa doux</t>
  </si>
  <si>
    <t>TM1662</t>
  </si>
  <si>
    <t>ETTM166</t>
  </si>
  <si>
    <t>Masala Tchaï</t>
  </si>
  <si>
    <t>Épices indiennes</t>
  </si>
  <si>
    <t>Des confins du Rajasthan aux comptoirs de Pondichéry, ce breuvage vous emmène au cœur de l'Inde et de ses coutumes. Tonique et chaud, ce thé noir mélangé aux saveurs d'épices uniques est un régal pour les amateurs d'authenticité. Traditionnellement, on y ajoute un peu de lait.</t>
  </si>
  <si>
    <t>Masala Chaï</t>
  </si>
  <si>
    <t>Indian Spices</t>
  </si>
  <si>
    <t>TA7342</t>
  </si>
  <si>
    <t>TJ2202</t>
  </si>
  <si>
    <t>Matcha</t>
  </si>
  <si>
    <t>Prémium</t>
  </si>
  <si>
    <t>Ce matcha est tout particulièrement élaboré pour la cuisine : son goût intense de thé vert et sa couleur vert émeraude éclatante en font un ingrédient idéal pour apporter à vos plats, desserts et cocktails un arôme riche et un goût frais…</t>
  </si>
  <si>
    <t>Ingrédient : thé vert* du Japon. *Issu de l'agriculture biologique.</t>
  </si>
  <si>
    <t>TJ2206</t>
  </si>
  <si>
    <t>TJ0876</t>
  </si>
  <si>
    <t>Matcha Premium</t>
  </si>
  <si>
    <t>抹茶</t>
  </si>
  <si>
    <t>Un matcha de qualité prémium aux notes lactées et de fève de cacao particulièrement soyeuses !</t>
  </si>
  <si>
    <t>ETTUTJ0876</t>
  </si>
  <si>
    <t>TJ9051</t>
  </si>
  <si>
    <t>Matcha Tradition</t>
  </si>
  <si>
    <t>Un matcha unique, frais, énergisant et aromatique. Idéal pour découvrir la voie du thé !</t>
  </si>
  <si>
    <t>ETTJ9056</t>
  </si>
  <si>
    <t>Maté aux épices</t>
  </si>
  <si>
    <t>Digestion</t>
  </si>
  <si>
    <t>Infusion parfumée</t>
  </si>
  <si>
    <t>Cette infusion à base de maté, de menthe et d'épices aux douces notes anisées offre une boisson particulièrement originale et fraîche. Stimulante, digeste et drainante, elle permet de contrôler facilement son poids tout en gardant son tonus au cours de la journée.</t>
  </si>
  <si>
    <r>
      <t>Ingrédients : maté vert* (</t>
    </r>
    <r>
      <rPr>
        <i/>
        <sz val="11"/>
        <rFont val="Calibri"/>
        <family val="2"/>
        <scheme val="minor"/>
      </rPr>
      <t>Ilex paraguariensis</t>
    </r>
    <r>
      <rPr>
        <sz val="11"/>
        <rFont val="Calibri"/>
        <family val="2"/>
        <scheme val="minor"/>
      </rPr>
      <t>), épices (carvi*, fenouil*, anis*, menthe poivrée*, coriandre*) 48%. *Issu de l'agriculture biologique.</t>
    </r>
  </si>
  <si>
    <t>MT2622</t>
  </si>
  <si>
    <t>ETMT262</t>
  </si>
  <si>
    <t>Maté Digest</t>
  </si>
  <si>
    <t>Digestion
Menthe</t>
  </si>
  <si>
    <t>L'alliance de menthe et de réglisse apporte à la plus populaire boisson sud-américaine un zeste de fraîcheur et de rondeur. Les vertus digestives de la menthe et drainantes du maté sont particulièrement bienvenues en fin de repas. À savourer chaude ou glacée.</t>
  </si>
  <si>
    <r>
      <t>Ingrédients : maté vert* (</t>
    </r>
    <r>
      <rPr>
        <i/>
        <sz val="11"/>
        <rFont val="Calibri"/>
        <family val="2"/>
        <scheme val="minor"/>
      </rPr>
      <t>Ilex paraguariensis</t>
    </r>
    <r>
      <rPr>
        <sz val="11"/>
        <rFont val="Calibri"/>
        <family val="2"/>
        <scheme val="minor"/>
      </rPr>
      <t xml:space="preserve">), menthe* 18%, réglisse* 15%. *Issu de l'agriculture biologique. </t>
    </r>
    <r>
      <rPr>
        <i/>
        <sz val="12"/>
        <rFont val="Calibri (Corps)"/>
      </rPr>
      <t>Contient de la réglisse, les personnes souffrant d'hypertension doivent éviter toute consommation excessive.</t>
    </r>
  </si>
  <si>
    <t>MT3022</t>
  </si>
  <si>
    <t>Maté fruité</t>
  </si>
  <si>
    <t>Stimulant &amp; Drainant
Saveur agrumes</t>
  </si>
  <si>
    <t>L'alliance des notes fraîches et herbacées du maté avec les saveurs acidulées d'un "panier de fruits" est particulièrement intense et gourmande. Cette boisson tonique et drainante est la promesse de moments savoureux tout en éloignant fatigue et kilos superflus…</t>
  </si>
  <si>
    <r>
      <t>Ingré</t>
    </r>
    <r>
      <rPr>
        <sz val="11"/>
        <rFont val="Calibri"/>
        <family val="2"/>
        <scheme val="minor"/>
      </rPr>
      <t xml:space="preserve">dients : maté vert* </t>
    </r>
    <r>
      <rPr>
        <i/>
        <sz val="11"/>
        <rFont val="Calibri"/>
        <family val="2"/>
        <scheme val="minor"/>
      </rPr>
      <t>(Ilex paraguariensis)</t>
    </r>
    <r>
      <rPr>
        <sz val="11"/>
        <rFont val="Calibri"/>
        <family val="2"/>
        <scheme val="minor"/>
      </rPr>
      <t xml:space="preserve"> 76%, morceaux de pomme*, écorces d’orange* 5%, écorce d’églantine*, huiles essentielles d'agrumes (citron*, orange douce*, mandarine*) 5%. * Issu de</t>
    </r>
    <r>
      <rPr>
        <sz val="11"/>
        <color theme="1"/>
        <rFont val="Calibri"/>
        <family val="2"/>
        <scheme val="minor"/>
      </rPr>
      <t xml:space="preserve"> l’agriculture biologique.</t>
    </r>
  </si>
  <si>
    <t>MT2632</t>
  </si>
  <si>
    <t>ETMT263</t>
  </si>
  <si>
    <t>Maté fruits rouges</t>
  </si>
  <si>
    <t>Stimulant &amp; Drainant 
Fraise - Framboise - Saveur myrtille</t>
  </si>
  <si>
    <t>Le mariage gourmand des saveurs herbacées et légèrement amères du maté avec celles d'une "corbeille" des fruits rouges offre une infusion fraîche et fruitée. Tonique et drainante, cette boisson est idéale pour éloigner la fatigue tout en gardant la ligne. À déguster chaude ou glacée.</t>
  </si>
  <si>
    <r>
      <t xml:space="preserve">Ingrédients : maté vert* </t>
    </r>
    <r>
      <rPr>
        <i/>
        <sz val="11"/>
        <rFont val="Calibri"/>
        <family val="2"/>
        <scheme val="minor"/>
      </rPr>
      <t>(Ilex paraguariensis)</t>
    </r>
    <r>
      <rPr>
        <sz val="11"/>
        <rFont val="Calibri"/>
        <family val="2"/>
        <scheme val="minor"/>
      </rPr>
      <t xml:space="preserve"> 87%, arômes naturels de (framboise* 3%, cassis*, myrtille* 2%, fraise* 1%, mûre*), morceaux de fruits (fraise*, framboise*) 2%, aronia*, pétales d'amarante*. *Issu de l'agriculture biologique.</t>
    </r>
  </si>
  <si>
    <t>MT2642</t>
  </si>
  <si>
    <t>Maté vert</t>
  </si>
  <si>
    <t>Stimulant &amp; Drainant</t>
  </si>
  <si>
    <r>
      <t xml:space="preserve">Ingrédient : maté vert* </t>
    </r>
    <r>
      <rPr>
        <i/>
        <sz val="12"/>
        <color theme="1"/>
        <rFont val="Calibri"/>
        <family val="2"/>
        <scheme val="minor"/>
      </rPr>
      <t>(Ilex paraguariensis)</t>
    </r>
    <r>
      <rPr>
        <sz val="11"/>
        <color theme="1"/>
        <rFont val="Calibri"/>
        <family val="2"/>
        <scheme val="minor"/>
      </rPr>
      <t xml:space="preserve">. *Issu de l'agriculture biologique. </t>
    </r>
  </si>
  <si>
    <t>MT1002</t>
  </si>
  <si>
    <t>ETMT100</t>
  </si>
  <si>
    <t>Mélisse</t>
  </si>
  <si>
    <t>Portugal</t>
  </si>
  <si>
    <t>Source de bien-être appréciée depuis l'Antiquité, la mélisse est une plante vivace aux feuilles très parfumées qui aide à se relaxer et retrouver son équilibre tout en améliorant les fonctions digestives. En cuisine, ses feuilles à la saveur citronnée relèvent agréablement une salade, une marinade ou une sauce.</t>
  </si>
  <si>
    <r>
      <t xml:space="preserve">Ingrédient : mélisse* </t>
    </r>
    <r>
      <rPr>
        <i/>
        <sz val="12"/>
        <color theme="1"/>
        <rFont val="Calibri"/>
        <family val="2"/>
        <scheme val="minor"/>
      </rPr>
      <t>(Melissa officinalis)</t>
    </r>
    <r>
      <rPr>
        <sz val="11"/>
        <color theme="1"/>
        <rFont val="Calibri"/>
        <family val="2"/>
        <scheme val="minor"/>
      </rPr>
      <t>. *Issu de l'agriculture biologique.</t>
    </r>
  </si>
  <si>
    <t>TH208</t>
  </si>
  <si>
    <t>Mémoire d'Everest</t>
  </si>
  <si>
    <t>Second Flush</t>
  </si>
  <si>
    <t>Ce thé issu de petites parcelles d’altitude est fort en caractère. Ses feuilles libèrent un parfum de chocolat surprenant de puissance. En bouche les notes végétales de bois de réglisse laissent place à de délicieux arômes évoquant le chocolat au lait et la vanille. Une gourmandise qui ne peut laisser indifférent.</t>
  </si>
  <si>
    <t>TN4162</t>
  </si>
  <si>
    <t>ETNN416</t>
  </si>
  <si>
    <t>Menthe</t>
  </si>
  <si>
    <t>Très appréciée dans les cultures orientales, la menthe se distingue par la fraicheur et la tonicité de ses saveurs. Traditionnellement associée au thé vert, elle est aussi parfaite pour parfumer une sauce ou en accompagnement de fruits dété. Boisson plaisir, on ne s'en lasse pas en infusion aussi bien chaude que glacée, avec ou sans sucre !</t>
  </si>
  <si>
    <r>
      <t xml:space="preserve">Ingrédient : menthe odorante* </t>
    </r>
    <r>
      <rPr>
        <i/>
        <sz val="12"/>
        <color theme="1"/>
        <rFont val="Calibri"/>
        <family val="2"/>
        <scheme val="minor"/>
      </rPr>
      <t>(Mentha rotundifolia)</t>
    </r>
    <r>
      <rPr>
        <sz val="11"/>
        <color theme="1"/>
        <rFont val="Calibri"/>
        <family val="2"/>
        <scheme val="minor"/>
      </rPr>
      <t>. *Issu de l’agriculture biologique.</t>
    </r>
  </si>
  <si>
    <t>TH200</t>
  </si>
  <si>
    <t>Apaisante &amp; Digestive</t>
  </si>
  <si>
    <t>L'infusion de menthe poivrée est appréciée pour ses saveurs toniques légèrement épicées et ses nombreuses vertus. Elle est particulièrement indiquée en fin de repas pour ses effets stimulants sur la sphère digestive. Antispasmodique et apaisante, elle contribue à préserver l'équilibre nerveux en général. À déguster seule ou additionnée d'autres plantes.</t>
  </si>
  <si>
    <r>
      <t xml:space="preserve">Ingrédient : menthe poivrée* </t>
    </r>
    <r>
      <rPr>
        <i/>
        <sz val="12"/>
        <color theme="1"/>
        <rFont val="Calibri"/>
        <family val="2"/>
        <scheme val="minor"/>
      </rPr>
      <t>(Mentha piperita)</t>
    </r>
    <r>
      <rPr>
        <sz val="11"/>
        <color theme="1"/>
        <rFont val="Calibri"/>
        <family val="2"/>
        <scheme val="minor"/>
      </rPr>
      <t>. *Issu de l'agriculture biologique.</t>
    </r>
  </si>
  <si>
    <t>TH209</t>
  </si>
  <si>
    <t>Mineral Spring</t>
  </si>
  <si>
    <t>Inde - Darjeeling - Mineral Spring garden</t>
  </si>
  <si>
    <t xml:space="preserve">Ingrédient : thé noir*. *Issu de l'agriculture biologique. </t>
  </si>
  <si>
    <t xml:space="preserve">Mineral Spring Sanjukta Vikas Sanstha </t>
  </si>
  <si>
    <t>TN2032</t>
  </si>
  <si>
    <t>ETNN203FF22</t>
  </si>
  <si>
    <t>Mini Tuocha</t>
  </si>
  <si>
    <t>Pu'er compressé</t>
  </si>
  <si>
    <t>Issu de théiers anciens, compressé en petits nids individuels, ce thé est caractérisé par son parfum subtil de terre humide. Infusion rouge orangée à la saveur légèrement sucrée, consommée pour ses qualités bienfaisantes. Faible en théine, c'est une boisson de tous les instants.</t>
  </si>
  <si>
    <t>Ingrédient : thé sombre pu'er* compressé en nid. *Issu de l'agriculture biologique.</t>
  </si>
  <si>
    <t>Lincang Shuangfeng Organic Tea Specialized  Cooperative</t>
  </si>
  <si>
    <t>TU0322</t>
  </si>
  <si>
    <t>ETNN032</t>
  </si>
  <si>
    <t>TU0326</t>
  </si>
  <si>
    <t>TB720</t>
  </si>
  <si>
    <t>Moon cake Yue Guang Bai</t>
  </si>
  <si>
    <t>Reflet blanc de lune
月光白</t>
  </si>
  <si>
    <t>Thé blanc compressé d'origine</t>
  </si>
  <si>
    <t xml:space="preserve">Bourgeons au duvet blanc argenté et jeunes feuilles tortueuses, issus d'arbres anciens, compressés en une charmante petite galette. Originale et rare, ce thé blanc façonné offre aux moments particuliers une liqueur sophistiquée, douce, au parfum fleuri assorti d'un goût végétal, sucré et légèrement fruité. </t>
  </si>
  <si>
    <t>ETBN720</t>
  </si>
  <si>
    <t xml:space="preserve">Moon Light Glory </t>
  </si>
  <si>
    <t>FTGFOP1 FF
Jardin de Singell - Top Quality 
cultivar AV-2</t>
  </si>
  <si>
    <t>Inde - Darjeeling -Singell garden</t>
  </si>
  <si>
    <t xml:space="preserve">Ingrédient :  thé noir*. *Issu de l'agriculture biologique. </t>
  </si>
  <si>
    <t>TN2412</t>
  </si>
  <si>
    <t>ETNN241FF22</t>
  </si>
  <si>
    <t>TUTJ2296</t>
  </si>
  <si>
    <t>Mûrier blanc</t>
  </si>
  <si>
    <t>Feuilles 絹豊</t>
  </si>
  <si>
    <t>Feuilles de mûrier blanc très appréciées au Japon pour leurs saveurs sucrées évoquant les fèves, accompagnées de jolies notes herbacées et épicées.</t>
  </si>
  <si>
    <r>
      <t xml:space="preserve">Ingrédient : feuilles de mûrier blanc du Japon </t>
    </r>
    <r>
      <rPr>
        <i/>
        <sz val="12"/>
        <color rgb="FFFF0000"/>
        <rFont val="Calibri (Corps)"/>
      </rPr>
      <t>(Morus Alba)</t>
    </r>
    <r>
      <rPr>
        <sz val="11"/>
        <color theme="1"/>
        <rFont val="Calibri"/>
        <family val="2"/>
        <scheme val="minor"/>
      </rPr>
      <t xml:space="preserve">. 
Garanti sans résidus de pesticides. </t>
    </r>
  </si>
  <si>
    <t>ETTUTJ2296</t>
  </si>
  <si>
    <t>Murmure de la forêt</t>
  </si>
  <si>
    <t>Saveurs fraise - mûre</t>
  </si>
  <si>
    <t>Rooibos à la saveur veloutée soulignée par de délicieuses notes sucrées de fruits rouges. Boisson très fruitée pour tous les moments agréables.</t>
  </si>
  <si>
    <t>Ingrédients : rooibos*, arômes naturels de (myrtille*, framboise*, mûre* 3%, fraise* 2%), aronia*, feuilles de fraisier* 1%. *Issu de l'agriculture biologique.</t>
  </si>
  <si>
    <t>Sounds of the forest</t>
  </si>
  <si>
    <t>Strawberry - blackberry flavours</t>
  </si>
  <si>
    <t>Ingredients: rooibos*, natural (blueberry*, raspberry*, blackberry* 3%, strawberry* 2%) flavourings, aronia*, strawberry leaves* 1%. *From organic farming.</t>
  </si>
  <si>
    <t>TR2152</t>
  </si>
  <si>
    <t>Neige au soleil</t>
  </si>
  <si>
    <t>Fève tonka - Huiles essentielles d'agrumes</t>
  </si>
  <si>
    <t>Inspirée par la féérie d’une neige immaculée aux premières lueurs d’une journée ensoleillée, cette composition séduit par l’éclat de ses couleurs avant de conquérir le palais par ses saveurs. Dans la fraîcheur du thé blanc, les notes de fève tonka, d’agrumes, et de vanille déploient avec légèreté toute leur gourmandise. Une invitation à fondre de plaisir !</t>
  </si>
  <si>
    <t>TA5056</t>
  </si>
  <si>
    <t xml:space="preserve">Neiges de l’Himalaya </t>
  </si>
  <si>
    <t>FTGFOP1 FF Top Quality
Récolte de printemps</t>
  </si>
  <si>
    <t>Excellent mélange de thés de printemps aux fragrances magiques. Saveur raffinée et fraîche d'une harmonie parfaite aux goûts mêlés évoquant les fruits rouges et la noisette. Tasse dorée, longue en bouche, qui ensoleille vos journées.</t>
  </si>
  <si>
    <t>TN3392</t>
  </si>
  <si>
    <t>Nepali Gold</t>
  </si>
  <si>
    <t>Bourgeons dorés</t>
  </si>
  <si>
    <t>Récolte d’été des hauts plateaux de l’Himalaya, ce thé noir offre une belle concentration en bourgeons. Florale et sucrée au nez, la liqueur particulièrement dense libère de délicieux arômes de cassonade et de miel. Un thé idéal pour découvrir en famille toute l’originalité des thés noirs d’altitude.</t>
  </si>
  <si>
    <t>TN4152</t>
  </si>
  <si>
    <t>TR2472</t>
  </si>
  <si>
    <t>Noël en famille</t>
  </si>
  <si>
    <t xml:space="preserve">Saveurs pruneau - mirabelle </t>
  </si>
  <si>
    <t xml:space="preserve">Agriculture UE/non UE </t>
  </si>
  <si>
    <t>Passer du temps en famille, savourer de bons petits plats et se réchauffer le cœur en dégustant une infusion de rooibos qui sent bon le pruneau et la cannelle… Rien de tel pour resserrer les liens dans ces moments magiques !</t>
  </si>
  <si>
    <t>Ingrédients : rooibos*, arômes naturels de (mirabelle, pruneau*) 7%, morceaux de pomme*, cannelle*, fleurs de sureau*, amarante*. *Issu de l'agriculture biologique.</t>
  </si>
  <si>
    <t>Laos - Phongsaly</t>
  </si>
  <si>
    <t>Agriculture Laos</t>
  </si>
  <si>
    <t>Élaboré dans la province de Phongsaly au nord du Laos, ce thé noir est issu de théiers anciens qui poussent dans un cadre très semblable à celui du Yunnan proche. De ces belles grandes feuilles émaillées de bourgeons dorés naît une liqueur ambrée souple et aromatique. Ses saveurs chocolatées et vanillées sont agréablement ponctuées par une finale aux notes d'agrumes particulièrement longue en bouche.</t>
  </si>
  <si>
    <t>Groupement de Communautés Paysannes du Sud du Laos (GCPSL)</t>
  </si>
  <si>
    <t>TN5472</t>
  </si>
  <si>
    <t>ETNN547</t>
  </si>
  <si>
    <t>Objectif minceur</t>
  </si>
  <si>
    <t xml:space="preserve">Infusion de plantes </t>
  </si>
  <si>
    <t xml:space="preserve">Cette infusion drainante aux saveurs fraîches et agréables, dominée par une note mentholée, est idéale pour stimuler la perte de poids tout en douceur. Pour se faire plaisir tout en éloignant les kilos superflus… </t>
  </si>
  <si>
    <t>TM0232</t>
  </si>
  <si>
    <t>ETHM023</t>
  </si>
  <si>
    <t>Océan de fraîcheur</t>
  </si>
  <si>
    <t>Vent sucré et frais venu d'un jardin de citronniers… Ce mariage irrésistible du thé vert et d’un mélange d’agrumes agréablement acidulé est idéal pendant les moments de chaleur. Un régal chaud ou glacé !</t>
  </si>
  <si>
    <t>A sea of freshness</t>
  </si>
  <si>
    <t>TA6922</t>
  </si>
  <si>
    <t>TO1202</t>
  </si>
  <si>
    <t>Oiseau lune</t>
  </si>
  <si>
    <t>Saveurs poire - fleur de sureau</t>
  </si>
  <si>
    <t>Thé vert délicieusement orné des gourmandises de notre région. Les fleurs de sureau, la poire et les pétales de tournesol viennent saluer le courlis cendré, oiseau emblématique du Ried dont la courbe du bec rappelle la lune. Ce thé doux et frais lui est dédié pour que son chant magique accompagne encore longtemps vos dégustations !</t>
  </si>
  <si>
    <t>Ingrédients : thé vert*, arômes naturels de (poire*, fleur de sureau*) 7%, extrait de vanille*, pétales de tournesol*. *Issu de l'agriculture biologique.</t>
  </si>
  <si>
    <t>TA6162</t>
  </si>
  <si>
    <t>Oriental beauty</t>
  </si>
  <si>
    <t>Dong Fang Mei Ren</t>
  </si>
  <si>
    <t>Empreint d'histoire, ce cru précieux traverse le temps. Ses feuilles aux tons d'automne, torsadées, fortement oxydées, libèrent à l’infusion un parfum de torréfaction très agréable. Concentrée en arômes, sa liqueur moelleuse laisse en bouche des notes sucrées comme le miel, fruitées, légèrement cacaotées. Un plaisir à partager !</t>
  </si>
  <si>
    <t>TO4172</t>
  </si>
  <si>
    <t>Ortie piquante</t>
  </si>
  <si>
    <t>Drainante</t>
  </si>
  <si>
    <t>Parfois mal aimée pour son caractère un peu “piquant”, la plus connue de nos plantes sauvages est pourtant un trésor à portée de main qui s’invite même sur les grandes tables étoilées. Son infusion particulièrement onctueuse aux notes lactées, sucrées et herbacées est reconnue pour ses qualités drainantes qui en font une alliée précieuse pour soutenir les fonctions rénales. Une plante à redécouvrir…</t>
  </si>
  <si>
    <r>
      <t xml:space="preserve">Ingrédient : ortie piquante* </t>
    </r>
    <r>
      <rPr>
        <i/>
        <sz val="12"/>
        <color theme="1"/>
        <rFont val="Calibri"/>
        <family val="2"/>
        <scheme val="minor"/>
      </rPr>
      <t>(Urtica dioica L.)</t>
    </r>
    <r>
      <rPr>
        <sz val="11"/>
        <color theme="1"/>
        <rFont val="Calibri"/>
        <family val="2"/>
        <scheme val="minor"/>
      </rPr>
      <t>. *Issu de l'agriculture biologique.</t>
    </r>
  </si>
  <si>
    <t>TH1872</t>
  </si>
  <si>
    <t>Par tous les temps</t>
  </si>
  <si>
    <t>Fortifiante
Menthe poivrée - Fenouil - Lavande</t>
  </si>
  <si>
    <t>Par tous les temps, cette recette aux vertus apaisantes se révèle précieuse pour s'offrir un moment de détente. Sa liqueur légèrement épicée facilite les fins de repas et permet de vivre les changements quotidiens de manière plus sereine.</t>
  </si>
  <si>
    <r>
      <t xml:space="preserve">Ingrédients : menthe poivrée* 40% </t>
    </r>
    <r>
      <rPr>
        <i/>
        <sz val="12"/>
        <color theme="1"/>
        <rFont val="Calibri"/>
        <family val="2"/>
        <scheme val="minor"/>
      </rPr>
      <t>(Mentha piperita)</t>
    </r>
    <r>
      <rPr>
        <sz val="11"/>
        <color theme="1"/>
        <rFont val="Calibri"/>
        <family val="2"/>
        <scheme val="minor"/>
      </rPr>
      <t xml:space="preserve">, feuilles de framboisier* </t>
    </r>
    <r>
      <rPr>
        <i/>
        <sz val="12"/>
        <color theme="1"/>
        <rFont val="Calibri"/>
        <family val="2"/>
        <scheme val="minor"/>
      </rPr>
      <t>(Rubus idaeus)</t>
    </r>
    <r>
      <rPr>
        <sz val="11"/>
        <color theme="1"/>
        <rFont val="Calibri"/>
        <family val="2"/>
        <scheme val="minor"/>
      </rPr>
      <t xml:space="preserve">, origan* </t>
    </r>
    <r>
      <rPr>
        <i/>
        <sz val="12"/>
        <color theme="1"/>
        <rFont val="Calibri"/>
        <family val="2"/>
        <scheme val="minor"/>
      </rPr>
      <t>(Origanum vulgare)</t>
    </r>
    <r>
      <rPr>
        <sz val="11"/>
        <color theme="1"/>
        <rFont val="Calibri"/>
        <family val="2"/>
        <scheme val="minor"/>
      </rPr>
      <t xml:space="preserve">, feuilles de </t>
    </r>
    <r>
      <rPr>
        <b/>
        <sz val="12"/>
        <color theme="1"/>
        <rFont val="Calibri"/>
        <family val="2"/>
        <scheme val="minor"/>
      </rPr>
      <t>noisetier</t>
    </r>
    <r>
      <rPr>
        <sz val="11"/>
        <color theme="1"/>
        <rFont val="Calibri"/>
        <family val="2"/>
        <scheme val="minor"/>
      </rPr>
      <t xml:space="preserve">* </t>
    </r>
    <r>
      <rPr>
        <i/>
        <sz val="12"/>
        <color theme="1"/>
        <rFont val="Calibri"/>
        <family val="2"/>
        <scheme val="minor"/>
      </rPr>
      <t>(Corylus avellana)</t>
    </r>
    <r>
      <rPr>
        <sz val="11"/>
        <color theme="1"/>
        <rFont val="Calibri"/>
        <family val="2"/>
        <scheme val="minor"/>
      </rPr>
      <t xml:space="preserve">, fenouil* 10% </t>
    </r>
    <r>
      <rPr>
        <i/>
        <sz val="12"/>
        <color theme="1"/>
        <rFont val="Calibri"/>
        <family val="2"/>
        <scheme val="minor"/>
      </rPr>
      <t>(Foeniculum vulgare)</t>
    </r>
    <r>
      <rPr>
        <sz val="11"/>
        <color theme="1"/>
        <rFont val="Calibri"/>
        <family val="2"/>
        <scheme val="minor"/>
      </rPr>
      <t xml:space="preserve">, lavande* 5% </t>
    </r>
    <r>
      <rPr>
        <i/>
        <sz val="12"/>
        <color theme="1"/>
        <rFont val="Calibri"/>
        <family val="2"/>
        <scheme val="minor"/>
      </rPr>
      <t>(Lavandula angustifolia)</t>
    </r>
    <r>
      <rPr>
        <sz val="11"/>
        <color theme="1"/>
        <rFont val="Calibri"/>
        <family val="2"/>
        <scheme val="minor"/>
      </rPr>
      <t>. *Issu de l'agriculture biologique.</t>
    </r>
  </si>
  <si>
    <t>TH540</t>
  </si>
  <si>
    <t>Parenthèse gourmande</t>
  </si>
  <si>
    <t>Ecorces de cacao et plantes à infusion</t>
  </si>
  <si>
    <t>L’onctuosité et la chaleur du cacao avec la richesse aromatique des épices font ici merveille. Une recette si gourmande qu'elle procure une agréable sensation d'euphorie dès les premières gorgées.</t>
  </si>
  <si>
    <t>8</t>
  </si>
  <si>
    <t>TM0182</t>
  </si>
  <si>
    <t>Parfum d’Eden</t>
  </si>
  <si>
    <t>Mandarine - Saveur vanille</t>
  </si>
  <si>
    <t>Association paradisiaque d’un thé vert et de l’arôme délicat et sucré de la mandarine très légèrement arrondi par la vanille. Breuvage savoureux et raffiné d’une absolue harmonie. Magique !</t>
  </si>
  <si>
    <t>Ingrédients : thé vert*, extrait de vanille* 3%, écorces de mandarine* 2%, huile essentielle de mandarine* 2%, pétales de tournesol*. *Issu de l'agriculture biologique.</t>
  </si>
  <si>
    <t>TA6882</t>
  </si>
  <si>
    <t>Parfum de Médina</t>
  </si>
  <si>
    <t>De la Médina de Marrakech à celle d’Alger, en passant par Tunis, prenez le temps d’une pause. Boisson nationale en Afrique du Nord, ce savoureux mélange de thé vert délicat et de menthe est idéal pour partager un instant convivial.</t>
  </si>
  <si>
    <t>Ingrédients : thé vert*, menthe douce* 30%. *Issu de l'agriculture biologique.</t>
  </si>
  <si>
    <t>TM6932</t>
  </si>
  <si>
    <t>Parfum de résistance</t>
  </si>
  <si>
    <t>Une alliance d’arômes libérés par ce thé noir issu de théiers anciens. Cacao, réglisse et orange, les papilles sont successivement menées vers un mélange rond et fruité. Une liqueur pour tous les moments où nous agissons en respect de nos valeurs et savourons leur parfum enivrant !</t>
  </si>
  <si>
    <t>TA7412</t>
  </si>
  <si>
    <t>ETNA741</t>
  </si>
  <si>
    <t>Parfum de Soleil</t>
  </si>
  <si>
    <t>Abricot - Pêche</t>
  </si>
  <si>
    <t>D’une rare finesse et d’une saveur fruitée exquise, ce rooibos agrémenté du velouté de la pêche et de la touche acidulée de l’abricot est une merveilleuse promenade au cœur des jardins d’été ensoleillé.</t>
  </si>
  <si>
    <t>TR2102</t>
  </si>
  <si>
    <t>Parfum des îles</t>
  </si>
  <si>
    <t>Parfumée avec la vanille la plus fine, cette boisson envoûtante et ensoleillée nous fait voyager et rêver tout en douceur… À déguster sur un air de ukulélé !</t>
  </si>
  <si>
    <t>Ingrédients : rooibos*, extrait de vanille* 4%, morceaux de vanille* 2%, pétales de souci*. *Issu de l'agriculture biologique.</t>
  </si>
  <si>
    <t>TR2032</t>
  </si>
  <si>
    <t>TU0025</t>
  </si>
  <si>
    <t>Peace, Love &amp; Tea</t>
  </si>
  <si>
    <t>Pu'er sheng</t>
  </si>
  <si>
    <t>Fraîcheur printanière de la montagne des Wa. Cette galette millésimée de pu’er cru a été confectionnée pour fêter nos 25 ans à partir d’une sélection spéciale de feuilles printanières (récolte 2018) de théiers anciens de Lincang. Sa jeunesse lui confère des notes fruitées et sucrées d’une belle longueur en bouche qui évoquent notamment l’abricot. Dans de bonnes conditions de fermentation, elle pourra lentement évoluer vers les arômes tertiaires typiques des vieux pu’er. Un collector !</t>
  </si>
  <si>
    <t xml:space="preserve">Ingrédient : thé pu’er sheng compressé en galette*. *Issu de l’agriculture biologique. </t>
  </si>
  <si>
    <t>ETVN0025</t>
  </si>
  <si>
    <t>ETCVN0025</t>
  </si>
  <si>
    <t>Péché gourmand</t>
  </si>
  <si>
    <t>Variation gourmande autour d’un thé noir indien. Ce thé s’installe en bouche avec la douceur d’un caramel mou. À déguster avec délectation tout au long de la journée.</t>
  </si>
  <si>
    <r>
      <t xml:space="preserve">Ingrédients : thé noir*, arômes naturels de (caramel* 7%, vanille*), morceaux de caramel* 5 % (sucre de canne*, sirop de glucose*, beurre de cacao*, poudre de lait de coco*, protéine de pois*, dextrose*, fleur de sel, arôme naturel de vanille bourbon*, lécithine de tournesol*).*Issu de l'agriculture biologique.
</t>
    </r>
    <r>
      <rPr>
        <i/>
        <sz val="12"/>
        <color theme="1"/>
        <rFont val="Calibri"/>
        <family val="2"/>
        <scheme val="minor"/>
      </rPr>
      <t>Informations nutritionnelles moyennes pour 100 ml : Energie 3 kJ/1 kcal. Contient des quantités négligeables de matières grasses dont acides gras saturés, de glucides dont sucres, de protéines et de sel.</t>
    </r>
  </si>
  <si>
    <t>TA7062</t>
  </si>
  <si>
    <t xml:space="preserve">Caramel </t>
  </si>
  <si>
    <t>Pêche Melba</t>
  </si>
  <si>
    <t>Pêche - Framboise - Saveur vanille</t>
  </si>
  <si>
    <t>Ce clin d’œil gourmand au célèbre dessert associe le velouté de la pêche, l’acidulé de la framboise et la douceur de la vanille à la fraîcheur du thé vert. Une recette à la saveur intense et longue en bouche. Irrésistible !</t>
  </si>
  <si>
    <t>TA6872</t>
  </si>
  <si>
    <t>Pêche-Abricot</t>
  </si>
  <si>
    <t>Cette association de fruits d’été, dorés et juteux, mariée à la finesse du thé vert libère une infusion suave à la saveur sucrée et tendre. Ensoleillée et douce, cette boisson est un ravissement à chaque époque de l’année.</t>
  </si>
  <si>
    <t>TA6842</t>
  </si>
  <si>
    <t>Composé de nombreux bourgeons dorés joliment ourlés, ce thé noir du Laos aux parfums chocolatés offre une expérience gustative d'une grande gourmandise. Sa liqueur dense et cuivrée enveloppe tout le palais qu'elle séduit avec ses notes de fruits cuits, de miel de fleurs sauvages, de cannelle, de crème brûlée vanillée… Un thé noir puissant, d'une grande complexité et au caractère très gourmand.</t>
  </si>
  <si>
    <t>TN5482</t>
  </si>
  <si>
    <t>Persian love</t>
  </si>
  <si>
    <t>Fumé doux - Huile essentielle de bergamote</t>
  </si>
  <si>
    <t>Chant envoûtant des belles au jardin du paradis… Cette union de la bergamote et d'un thé de tradition légèrement fumé, le tout mêlé de pétales de roses est une invitation au rêve, celui de la Perse éternelle.</t>
  </si>
  <si>
    <t>TA7322</t>
  </si>
  <si>
    <t>3 pièces</t>
  </si>
  <si>
    <t>7-10</t>
  </si>
  <si>
    <t>Petit déjeuner</t>
  </si>
  <si>
    <t>Cette tisane est la compagne idéale d'un petit déjeuner sain et équilibré ! Tout en fraîcheur, ses notes légèrement mentholées sont parfaites pour un réveil en douceur et pour démarrer la journée du bon pied !</t>
  </si>
  <si>
    <t>TH501</t>
  </si>
  <si>
    <t>Pin Ho Jade</t>
  </si>
  <si>
    <t>Belle récolte issue des théiers anciens des montagnes du nord-est vietnamien. Les feuilles, aux nombreuses nuances vertes, libèrent une infusion couleur pêche aux notes végétales et fleuries. Doux et frais, ce thé embaume le palais pour y laisser d’exquises empreintes sucrées. Sans amertume, très désaltérant, il convient à tout instant de la journée.</t>
  </si>
  <si>
    <t xml:space="preserve">Ingrédient : thé vert*. *Issu de l'agriculture biologique. </t>
  </si>
  <si>
    <t>TV4312</t>
  </si>
  <si>
    <t>ETVN431</t>
  </si>
  <si>
    <t>BT3542</t>
  </si>
  <si>
    <t>Poésie en rose</t>
  </si>
  <si>
    <t>Éclosion de douceur et de délicatesse… Les bourgeons duvetés de ce wulong façonné laissent lentement s’épanouir la fleur gracieuse qu’ils gardent enfermée. L’infusion claire, ronde, au goût doux de fleurs des champs est un trésor des sommets ! Un instant de poésie à savourer…</t>
  </si>
  <si>
    <t>TR2372</t>
  </si>
  <si>
    <t xml:space="preserve">Poire Belle-Hélène </t>
  </si>
  <si>
    <t>Saveurs poire - cacao</t>
  </si>
  <si>
    <t>Sensation délicieuse rappelant un dessert poire-chocolat gourmand à souhait… L’alliance du rooibos gorgé de soleil, de la poire juteuse et du fondant du chocolat laisse le palais empreint d’une douceur qui enchantera petits et grands. Un vrai régal !</t>
  </si>
  <si>
    <t xml:space="preserve">Festive et originale, cette composition gourmande à base de thé vert met à l’honneur la pomme rouge qui décorait traditionnellement les sapins de Noël. Ses saveurs rondes et légèrement acidulées sont délicieusement accompagnées par les notes chaudes et anisées de la badiane. </t>
  </si>
  <si>
    <t>Ingredient: black tea*. *From organic farming.</t>
  </si>
  <si>
    <t>Grandes feuilles régulières qui libèrent une tasse cuivrée au parfum de noisettes grillées. Saveur fruitée pleine en bouche, soulignée par une note épicée proche des thés d’Assam. Bon thé de journée qui supporte un peu de lait.</t>
  </si>
  <si>
    <t>TN3132</t>
  </si>
  <si>
    <t>ETNN313</t>
  </si>
  <si>
    <t>Comme un rendez-vous amoureux réussi, la dégustation de ce thé laisse en bouche de doux souvenirs… L'harmonieux mariage litchi-poire, mis en valeur par les saveurs chaleureuses du thé noir, se prolonge avec d'agréables notes miellées d’osmanthe. Une infusion avec laquelle on ne se lasse pas de reprendre rendez-vous…</t>
  </si>
  <si>
    <t>TA7452</t>
  </si>
  <si>
    <t>Mangue - Gingembre</t>
  </si>
  <si>
    <t>Cette recette savoureuse est à l’image de l’association pour laquelle elle a été créée : communicative et festive ! Sur une base détonante de gingembre, de guarana et de ginseng se déroule une belle palette d’arômes chauds et délicieusement fruités.</t>
  </si>
  <si>
    <t>Ingrédients : thé vert*, arômes naturels de (mangue* 4%, pêche*), morceaux de gingembre* 4%, morceaux de mangue* 3%, guarana*, écorces d'orange*, ginseng blanc*, huile essentielle de citron*. *Issu de l'agriculture biologique.</t>
  </si>
  <si>
    <t>TA6722</t>
  </si>
  <si>
    <t>Spearmint</t>
  </si>
  <si>
    <t>India - Darjeeling</t>
  </si>
  <si>
    <t>90</t>
  </si>
  <si>
    <t>China - Yunnan</t>
  </si>
  <si>
    <t>Breakfast</t>
  </si>
  <si>
    <t>Green Mate</t>
  </si>
  <si>
    <t>Stimulating &amp; Diuretic</t>
  </si>
  <si>
    <t>Soothing &amp; Digestive</t>
  </si>
  <si>
    <t xml:space="preserve">GAMME </t>
  </si>
  <si>
    <t>SOUS GAMME</t>
  </si>
  <si>
    <t>COND.</t>
  </si>
  <si>
    <t>ANCIEN TEXTE COMMERCIAL  FR
300 caractères espaces compris</t>
  </si>
  <si>
    <t>NOUVEAU TEXTE COMMERCIAL  FR
300 caractères espaces compris</t>
  </si>
  <si>
    <t>TEXTE ASSOCIATION LES ENGAGES
185 caractères espaces compris</t>
  </si>
  <si>
    <t>REF FACING 2025</t>
  </si>
  <si>
    <t>RÉF CONTRE 2025</t>
  </si>
  <si>
    <t>NOMENCLATURE PMI POUR INTEGRER V5</t>
  </si>
  <si>
    <t>PMI F9 NOUVEAU TEXTE COMMERCIAL</t>
  </si>
  <si>
    <t>DATE MODIFICATION PMI F9</t>
  </si>
  <si>
    <t>PREMIER LOT EN V5</t>
  </si>
  <si>
    <t xml:space="preserve">NOUVEAU TEXTE COMMERCIAL EN
</t>
  </si>
  <si>
    <t>DENOMINATION EN</t>
  </si>
  <si>
    <t>LISTE INGREDIENTS EN</t>
  </si>
  <si>
    <t>X</t>
  </si>
  <si>
    <t>x</t>
  </si>
  <si>
    <t>ok</t>
  </si>
  <si>
    <t>LES BIENFAITRICES</t>
  </si>
  <si>
    <t>Wupperthal Original Rooibos Cooperative et Heiveld Cooperative</t>
  </si>
  <si>
    <t>THE TRANSPORTE A LA VOILE</t>
  </si>
  <si>
    <t>Anemos</t>
  </si>
  <si>
    <t>Vietnam  - Inde</t>
  </si>
  <si>
    <t>LES GRANDS CRUS</t>
  </si>
  <si>
    <t>LES PRECIEUX DU JAPON ET DE TAIWAN</t>
  </si>
  <si>
    <t>Thé wulong d'origine</t>
  </si>
  <si>
    <t>Ingrédient : thé wulong*. *Issu de l'agriculture biologique.</t>
  </si>
  <si>
    <t>Thé sombre pu'er compressé</t>
  </si>
  <si>
    <t>LES ENGAGÉS</t>
  </si>
  <si>
    <t>AGIR POUR LA NATURE</t>
  </si>
  <si>
    <t>L'association Projet pour la Conservation des Grands Singes (PCGS) œuvre à la protection des chimpanzés sauvages et de leurs habitats, les forêts tropicales. helloasso.com/associations/projet-pour-la-conservation-des-grands-singes</t>
  </si>
  <si>
    <t>Guzhang Gaofeng Organic Tea Association</t>
  </si>
  <si>
    <t>AGIR POUR LA CULTURE</t>
  </si>
  <si>
    <t>Be Together Académie, établissement d'enseignement artistique inclusif défend l'inclusion artistique et facilite l’intégration professionnelle des artistes en situation de handicap. be-together.eu</t>
  </si>
  <si>
    <r>
      <t>Ingrédients : honeybush* 48% (</t>
    </r>
    <r>
      <rPr>
        <i/>
        <sz val="11"/>
        <color theme="1"/>
        <rFont val="Calibri"/>
        <family val="2"/>
        <scheme val="minor"/>
      </rPr>
      <t>Cyclopia subternata</t>
    </r>
    <r>
      <rPr>
        <sz val="11"/>
        <color theme="1"/>
        <rFont val="Calibri"/>
        <family val="2"/>
        <scheme val="minor"/>
      </rPr>
      <t>), anis* (</t>
    </r>
    <r>
      <rPr>
        <i/>
        <sz val="11"/>
        <color theme="1"/>
        <rFont val="Calibri"/>
        <family val="2"/>
        <scheme val="minor"/>
      </rPr>
      <t>Pimpinella anisum</t>
    </r>
    <r>
      <rPr>
        <sz val="11"/>
        <color theme="1"/>
        <rFont val="Calibri"/>
        <family val="2"/>
        <scheme val="minor"/>
      </rPr>
      <t>), gingembre* (</t>
    </r>
    <r>
      <rPr>
        <i/>
        <sz val="11"/>
        <color theme="1"/>
        <rFont val="Calibri"/>
        <family val="2"/>
        <scheme val="minor"/>
      </rPr>
      <t>Zingiber officinale</t>
    </r>
    <r>
      <rPr>
        <sz val="11"/>
        <color theme="1"/>
        <rFont val="Calibri"/>
        <family val="2"/>
        <scheme val="minor"/>
      </rPr>
      <t>), morceaux de pomme* (</t>
    </r>
    <r>
      <rPr>
        <i/>
        <sz val="11"/>
        <color theme="1"/>
        <rFont val="Calibri"/>
        <family val="2"/>
        <scheme val="minor"/>
      </rPr>
      <t>Malus domestica</t>
    </r>
    <r>
      <rPr>
        <sz val="11"/>
        <color theme="1"/>
        <rFont val="Calibri"/>
        <family val="2"/>
        <scheme val="minor"/>
      </rPr>
      <t>), cardamome* 7% (</t>
    </r>
    <r>
      <rPr>
        <i/>
        <sz val="11"/>
        <color theme="1"/>
        <rFont val="Calibri"/>
        <family val="2"/>
        <scheme val="minor"/>
      </rPr>
      <t>Elettaria cardamomum</t>
    </r>
    <r>
      <rPr>
        <sz val="11"/>
        <color theme="1"/>
        <rFont val="Calibri"/>
        <family val="2"/>
        <scheme val="minor"/>
      </rPr>
      <t>), cannelle* (</t>
    </r>
    <r>
      <rPr>
        <i/>
        <sz val="11"/>
        <color theme="1"/>
        <rFont val="Calibri"/>
        <family val="2"/>
        <scheme val="minor"/>
      </rPr>
      <t>Cinnamomum zeylanicum</t>
    </r>
    <r>
      <rPr>
        <sz val="11"/>
        <color theme="1"/>
        <rFont val="Calibri"/>
        <family val="2"/>
        <scheme val="minor"/>
      </rPr>
      <t>), verveine* (</t>
    </r>
    <r>
      <rPr>
        <i/>
        <sz val="11"/>
        <color theme="1"/>
        <rFont val="Calibri"/>
        <family val="2"/>
        <scheme val="minor"/>
      </rPr>
      <t>Aloysia triphylla</t>
    </r>
    <r>
      <rPr>
        <sz val="11"/>
        <color theme="1"/>
        <rFont val="Calibri"/>
        <family val="2"/>
        <scheme val="minor"/>
      </rPr>
      <t>), fleurs de violette* (</t>
    </r>
    <r>
      <rPr>
        <i/>
        <sz val="11"/>
        <color theme="1"/>
        <rFont val="Calibri"/>
        <family val="2"/>
        <scheme val="minor"/>
      </rPr>
      <t>Viola odorata</t>
    </r>
    <r>
      <rPr>
        <sz val="11"/>
        <color theme="1"/>
        <rFont val="Calibri"/>
        <family val="2"/>
        <scheme val="minor"/>
      </rPr>
      <t>), pétales de bleuet* (</t>
    </r>
    <r>
      <rPr>
        <i/>
        <sz val="11"/>
        <color theme="1"/>
        <rFont val="Calibri"/>
        <family val="2"/>
        <scheme val="minor"/>
      </rPr>
      <t>Centaurea cyanus</t>
    </r>
    <r>
      <rPr>
        <sz val="11"/>
        <color theme="1"/>
        <rFont val="Calibri"/>
        <family val="2"/>
        <scheme val="minor"/>
      </rPr>
      <t>). *Issu de l’agriculture biologique.</t>
    </r>
  </si>
  <si>
    <t>Thé wulong parfumé</t>
  </si>
  <si>
    <t>AGIR POUR L'EDUCATION</t>
  </si>
  <si>
    <t>Situé en Ardèche, Les Amanins est un centre agroécologique qui propose des activités en lien avec la nature, l’écologie et l’humain. lesamanins.com</t>
  </si>
  <si>
    <t>L’association Biodynamie Recherche a pour but de promouvoir le respect et la protection de l’environnement par l’agriculture biodynamique. biodynamie-recherche.org</t>
  </si>
  <si>
    <t>SELECTION DE NOËL</t>
  </si>
  <si>
    <t>Seogwang tea garden </t>
  </si>
  <si>
    <t>Ce grand thé noir Qimen produit au sud-ouest de la fameuse Montagne jaune est un classique des grands crus chinois. Son infusion rouge à la texture onctueuse mêle des notes chocolatées et maltées typiques à des accents légèrement boisés et fruités. Un thé gourmand et d'un parfait équilibre.</t>
  </si>
  <si>
    <t>ETNN467V5</t>
  </si>
  <si>
    <t>ETCNN4676V5</t>
  </si>
  <si>
    <t>Débordante de pep’s et de saveurs, cette recette à base de thé vert et d'agrumes associés aux petites baies orange de l'argousier offre une boisson aux arômes fruités, ponctués d’une note citronnée tout en fraîcheur. Un petit plaisir pour restaurer instantanément sa motivation !</t>
  </si>
  <si>
    <t>ETVA699V5</t>
  </si>
  <si>
    <t>ETCVA6992V5</t>
  </si>
  <si>
    <t>ETBN371V5</t>
  </si>
  <si>
    <t>De tradition séculaire, ce thé vert de Chine aux feuilles soigneusement roulées en petites perles offre une liqueur dense et intense. Excellent thé du quotidien à déguster nature, il peut servir de base au traditionnel thé vert à la menthe. Une valeur sûre !</t>
  </si>
  <si>
    <t>With a centuries-old tradition, this Chinese green tea with leaves carefully rolled into small pearls offers a dense, intense brew. An excellent everyday tea to enjoy on its own, it can also be used as a base for traditional mint green tea. A safe bet!</t>
  </si>
  <si>
    <t>ETVN649V5</t>
  </si>
  <si>
    <t>ETCVN6492V5</t>
  </si>
  <si>
    <t>Ce thé vert « gunpowder » de qualité supérieure se présente sous forme de billes régulières qui libèrent une infusion d'un jaune éclatant au goût rond, sucré et légèrement malté. Très aromatique et long en bouche, il est idéal pour servir de base à la préparation d’un thé à la menthe.</t>
  </si>
  <si>
    <t>ETVN749V5</t>
  </si>
  <si>
    <t>ETCVN7492V5</t>
  </si>
  <si>
    <t>Récolté une fois par an au printemps après une période d’ombrage, le gyokuro, littéralement « rosée de jade », est le thé vert le plus raffiné du Japon. Ses fines feuilles couleur émeraude au parfum intense et frais offrent une infusion jaune tendre, au goût suave et délicieusement sucré.</t>
  </si>
  <si>
    <t>ETVN655V5</t>
  </si>
  <si>
    <t>ETCVN6556V5</t>
  </si>
  <si>
    <t>Après leur période d’ombrage, les feuilles roulées en fines aiguilles de ce gyokuro ont été travaillées à la vapeur selon la méthode traditionnelle. Elles délivrent une liqueur délicate et délicieusement lactée évoquant de jeunes pousses de céréales germées. La perfection japonaise dans un thé !</t>
  </si>
  <si>
    <t>ETTUTJ0706V5</t>
  </si>
  <si>
    <t>Élaboré à partir de tiges et de feuilles de gyokuro, ce thé vert japonais représente la crème des kukicha. Sa liqueur veloutée délivre des saveurs de fruits jaunes accompagnées de notes végétales et marines qui se développent en bouche d'une manière très raffinée. Un délice !</t>
  </si>
  <si>
    <t>ETTUTJ0836V5</t>
  </si>
  <si>
    <t>Véritable concentré aromatique et fruit d’un savoir-faire unique, le gyokuro est un thé vert ombré d’une finesse inégalable qui fait la fierté des producteurs japonais. Ses fines feuilles d’une belle couleur émeraude offrent une infusion soyeuse aux notes lactées, fruitées et végétales intenses.</t>
  </si>
  <si>
    <t>ETVN657V5</t>
  </si>
  <si>
    <t>ETCVN6572V5</t>
  </si>
  <si>
    <t>ETCVN6576V5</t>
  </si>
  <si>
    <t>Avec ses saveurs chaudes et gourmandes à la fois épicées et fruitées, ce rooibos va vous ensorceler dès la première gorgée ! L’association des notes fruitées de l’orange avec la douceur de la cannelle sur le fond boisé et vanillé du rooibos est tout simplement irrésistible…</t>
  </si>
  <si>
    <t>Ingrédients : rooibos*, morceaux de carottes*, morceaux de cannelle* 4%, huile essentielle d’orange* 2%, écorces d’orange* 2%, extrait de cannelle* 0,5%, pétales de soucis*. *Issu de l’agriculture biologique.</t>
  </si>
  <si>
    <t>ETRA216V5</t>
  </si>
  <si>
    <t>ETCRA2162V5</t>
  </si>
  <si>
    <t>Cette jolie tisane digestive au goût rond, fruité et anisé, est une petite astuce quotidienne pour dompter et rendre joyeux les ventres rebelles ! Pour se sentir libre et léger comme l’air.</t>
  </si>
  <si>
    <t>ETHN7010V5</t>
  </si>
  <si>
    <t>Revitalisante</t>
  </si>
  <si>
    <t>Récoltées par de petits producteurs africains, ces fleurs d’hibiscus sont à l’origine du fameux "bissap", une infusion rouge grenat qui concentre les bienfaits. Désaltérante, revitalisante et drainante, elle s’apprécie chaude ou glacée et permet l’élaboration de délicieux cocktails !</t>
  </si>
  <si>
    <t>ETHN1500V5</t>
  </si>
  <si>
    <t>Portant la signature des thés de haute montagne de Ceylan, ce thé en feuilles brisées (broken) de la province d’UVA offre une infusion intense d’une belle teinte cuivrée et brillante. Savoureuse et corsée, elle convient pour le petit déjeuner et peut être adoucie avec un nuage de lait ou de crème.</t>
  </si>
  <si>
    <t>ETNN536V5</t>
  </si>
  <si>
    <t>ETCNN5362V5</t>
  </si>
  <si>
    <t>ETNN215FF22V5</t>
  </si>
  <si>
    <t>Le hojicha est un thé vert torréfié composé de tiges et de feuilles dont l’infusion libère une liqueur ambrée, au parfum chaud de pain grillé, à la saveur de noisette légèrement sucrée. Thé du quotidien réputé faible en théine, il est particulièrement apprécié au Japon en accompagnement d’un repas.</t>
  </si>
  <si>
    <t>ETVN109V5</t>
  </si>
  <si>
    <t>ETCVN1092V5</t>
  </si>
  <si>
    <t>Ce hojicha en poudre qui peut se préparer et se déguster à la manière d’un matcha permet également d’aromatiser facilement sauces, cocktails et autres gâteaux avec les saveurs chaudes du thé vert torréfié japonais. Ses notes de céréales grillées et de cacahuète sont particulièrement gourmandes.</t>
  </si>
  <si>
    <t>ETTJ226V5</t>
  </si>
  <si>
    <t>ETCTJ2266V5</t>
  </si>
  <si>
    <t>Arbuste endémique d’Afrique du Sud, le honeybush, cousin du rooibos, suit un processus de fabrication semblable à ce dernier. Son infusion de couleur dorée est caractérisée par des arômes floraux intenses et des saveurs complexes et gourmandes de miel de montagne. Une douceur pour les papilles !</t>
  </si>
  <si>
    <t>ETHB170V5</t>
  </si>
  <si>
    <t>ETCHB1702V5</t>
  </si>
  <si>
    <t>ETNN106V5</t>
  </si>
  <si>
    <t>Thé jaune exceptionnel, souple en bouche, issu d’une récolte des premiers jours de printemps. Notes : sucrées et aériennes.</t>
  </si>
  <si>
    <t>ETVN113FF22V5</t>
  </si>
  <si>
    <t>L’infusion aux teintes chaudes de cette recette à base de thé noir issu de théiers anciens du Vietnam est un savoureux hymne à la Terre. Telle une caresse, les saveurs fruitées du duo myrtille-cassis viennent délicatement envelopper le palais. Une générosité qui s’apprécie à tout instant !</t>
  </si>
  <si>
    <t>The warmly hued infusion of this recipe, made with black tea from ancient Vietnamese tea bushes, is a delicious hymn to the earth. Like a caress, the fruity flavours of the blueberry-cassis duo delicately envelop the palate. A generosity to be enjoyed at any moment!</t>
  </si>
  <si>
    <t>ETNA740V5</t>
  </si>
  <si>
    <t>ETCNA7402V5</t>
  </si>
  <si>
    <t>24334NR</t>
  </si>
  <si>
    <t xml:space="preserve">Comme un présent venu de contrées lointaines, ce thé vert est une divine gourmandise à partager. L’association généreuse de la figue, de l’amande et de l’orange d’une grande douceur est accompagnée d’une légère note acidulée. Pour des instants divins de détente et d’évasion. </t>
  </si>
  <si>
    <t>ETVA669V5</t>
  </si>
  <si>
    <t>ETCVA6692V5</t>
  </si>
  <si>
    <t>Cette recette originale à base de thé noir et de honeybush associe des saveurs miellées à la légère amertume du cacao et la douceur de la noisette. Agrémenté d’une pointe de guarana, ce thé promet des instants à la fois gourmands et délicieusement sauvages.</t>
  </si>
  <si>
    <t>ETNA704V5</t>
  </si>
  <si>
    <t>ETCNA7042V5</t>
  </si>
  <si>
    <t>Prestigieuse récolte de printemps, cuisson à la vapeur. Notes : beurrées, minérales, légumes verts printaniers.</t>
  </si>
  <si>
    <t>ETVN134FF22V5</t>
  </si>
  <si>
    <t>Jade wulong</t>
  </si>
  <si>
    <t xml:space="preserve">Les grandes feuilles roulées de ce wulong originaire des montagnes du Hubei libèrent une liqueur jaune vif de laquelle émane un parfum floral intense. Il soit son nom « Jade » à sa faible oxydation qui le rapproche d’un thé vert et qui lui permet d’offrir d’agréables saveurs végétales et fruitées. </t>
  </si>
  <si>
    <t>ETON113V5</t>
  </si>
  <si>
    <t>ETCON1132V5</t>
  </si>
  <si>
    <t>Menthe odorante - feuille de tournesol - pétales de souci</t>
  </si>
  <si>
    <t>apple mint - sunflower leaves - marigold petals</t>
  </si>
  <si>
    <r>
      <t>Ingredients: apple mint* (</t>
    </r>
    <r>
      <rPr>
        <i/>
        <sz val="11"/>
        <color theme="1"/>
        <rFont val="Calibri"/>
        <family val="2"/>
        <scheme val="minor"/>
      </rPr>
      <t>Mentha rotundifolia</t>
    </r>
    <r>
      <rPr>
        <sz val="11"/>
        <color theme="1"/>
        <rFont val="Calibri"/>
        <family val="2"/>
        <scheme val="minor"/>
      </rPr>
      <t>) 35%, sunflower leaves* (</t>
    </r>
    <r>
      <rPr>
        <i/>
        <sz val="11"/>
        <color theme="1"/>
        <rFont val="Calibri"/>
        <family val="2"/>
        <scheme val="minor"/>
      </rPr>
      <t>Helianthus annuus - Folium</t>
    </r>
    <r>
      <rPr>
        <sz val="11"/>
        <color theme="1"/>
        <rFont val="Calibri"/>
        <family val="2"/>
        <scheme val="minor"/>
      </rPr>
      <t>) 25%, marigold petals* (</t>
    </r>
    <r>
      <rPr>
        <i/>
        <sz val="11"/>
        <color theme="1"/>
        <rFont val="Calibri"/>
        <family val="2"/>
        <scheme val="minor"/>
      </rPr>
      <t>Calendula officinalis</t>
    </r>
    <r>
      <rPr>
        <sz val="11"/>
        <color theme="1"/>
        <rFont val="Calibri"/>
        <family val="2"/>
        <scheme val="minor"/>
      </rPr>
      <t>) 13%, sunflower petals* (</t>
    </r>
    <r>
      <rPr>
        <i/>
        <sz val="11"/>
        <color theme="1"/>
        <rFont val="Calibri"/>
        <family val="2"/>
        <scheme val="minor"/>
      </rPr>
      <t>Helianthus annuus - Flores Folia</t>
    </r>
    <r>
      <rPr>
        <sz val="11"/>
        <color theme="1"/>
        <rFont val="Calibri"/>
        <family val="2"/>
        <scheme val="minor"/>
      </rPr>
      <t>), oregano* (</t>
    </r>
    <r>
      <rPr>
        <i/>
        <sz val="11"/>
        <color theme="1"/>
        <rFont val="Calibri"/>
        <family val="2"/>
        <scheme val="minor"/>
      </rPr>
      <t>Origanum vulgare - Flos</t>
    </r>
    <r>
      <rPr>
        <sz val="11"/>
        <color theme="1"/>
        <rFont val="Calibri"/>
        <family val="2"/>
        <scheme val="minor"/>
      </rPr>
      <t>), chamomile* (</t>
    </r>
    <r>
      <rPr>
        <i/>
        <sz val="11"/>
        <color theme="1"/>
        <rFont val="Calibri"/>
        <family val="2"/>
        <scheme val="minor"/>
      </rPr>
      <t>Matricaria chamomilla</t>
    </r>
    <r>
      <rPr>
        <sz val="11"/>
        <color theme="1"/>
        <rFont val="Calibri"/>
        <family val="2"/>
        <scheme val="minor"/>
      </rPr>
      <t>), cornflower petals* (</t>
    </r>
    <r>
      <rPr>
        <i/>
        <sz val="11"/>
        <color theme="1"/>
        <rFont val="Calibri"/>
        <family val="2"/>
        <scheme val="minor"/>
      </rPr>
      <t>Centaurea cyanus</t>
    </r>
    <r>
      <rPr>
        <sz val="11"/>
        <color theme="1"/>
        <rFont val="Calibri"/>
        <family val="2"/>
        <scheme val="minor"/>
      </rPr>
      <t>), rose petals* (</t>
    </r>
    <r>
      <rPr>
        <i/>
        <sz val="11"/>
        <color theme="1"/>
        <rFont val="Calibri"/>
        <family val="2"/>
        <scheme val="minor"/>
      </rPr>
      <t>Rosa damascena</t>
    </r>
    <r>
      <rPr>
        <sz val="11"/>
        <color theme="1"/>
        <rFont val="Calibri"/>
        <family val="2"/>
        <scheme val="minor"/>
      </rPr>
      <t>), lilac flowers* (</t>
    </r>
    <r>
      <rPr>
        <i/>
        <sz val="11"/>
        <color theme="1"/>
        <rFont val="Calibri"/>
        <family val="2"/>
        <scheme val="minor"/>
      </rPr>
      <t>Syringa vulgaris</t>
    </r>
    <r>
      <rPr>
        <sz val="11"/>
        <color theme="1"/>
        <rFont val="Calibri"/>
        <family val="2"/>
        <scheme val="minor"/>
      </rPr>
      <t xml:space="preserve">). *From organic farming. </t>
    </r>
  </si>
  <si>
    <t>Clin d’œil à la lune dont l’influence subtile a de tout temps fasciné, ce thé vert se distingue par les arômes épicés du basilic sacré, soulignés de délicieuses notes de mandarine et de cardamome. Une recette qui nous rappelle que prendre soin de la planète, c’est prendre soin de nous.</t>
  </si>
  <si>
    <r>
      <t xml:space="preserve">Ingrédients : thé vert**, écorces de mandarine*, tulsi* 10%, cardamome* 9%, amarante*. *Issu de l’agriculture biologique. **Issu de l’agriculture biologique et biodynamique. </t>
    </r>
    <r>
      <rPr>
        <b/>
        <i/>
        <sz val="11"/>
        <color rgb="FFFF0000"/>
        <rFont val="Calibri"/>
        <family val="2"/>
        <scheme val="minor"/>
      </rPr>
      <t>demeter</t>
    </r>
    <r>
      <rPr>
        <sz val="11"/>
        <color rgb="FFFF0000"/>
        <rFont val="Calibri"/>
        <family val="2"/>
        <scheme val="minor"/>
      </rPr>
      <t xml:space="preserve"> est le label des produits issus de l'agriculture biodynamique. </t>
    </r>
  </si>
  <si>
    <t>ETNM464V5</t>
  </si>
  <si>
    <t>ETCNM4642V5</t>
  </si>
  <si>
    <t>ETBM814V5</t>
  </si>
  <si>
    <t>Née de la rencontre intense d'un thé noir corsé, de la véritable cannelle de Ceylan et des feuilles de cannelier, cette recette offre une liqueur aux saveurs chaudes et pleines de douceur. Une véritable source de plaisir et de réconfort à déguster à tout moment.</t>
  </si>
  <si>
    <t>ETNA716V5</t>
  </si>
  <si>
    <t>ETCNA7162V5</t>
  </si>
  <si>
    <t>Cette excellente récolte de thé noir Keemun, très populaire en Chine pour sa gourmandise, offre une infusion longue en bouche, moelleuse et savoureuse. On apprécie son parfum subtil d’orchidée, légèrement sucré et ses saveurs profondes aux notes d’épices et de chocolat noir typiques.</t>
  </si>
  <si>
    <t>ETNN403V5</t>
  </si>
  <si>
    <t>ETCNN4032V5</t>
  </si>
  <si>
    <t>Cultivé sur des terres traditionnellement dédiées aux épices, ce thé noir issu de jardins de petits producteurs est une belle réussite. Sa liqueur souple couleur châtaigne aux notes de gingembre et de poivre doux reflète agréablement la grande richesse de son terroir.</t>
  </si>
  <si>
    <t>ETNN520V5</t>
  </si>
  <si>
    <t>ETCNN5202V5</t>
  </si>
  <si>
    <t>Très populaire au Japon, le kuki hojicha est un thé vert torréfié qui a la particularité d’être composé de brindilles et de tiges de feuilles. Ses saveurs de pain grillé et de noisettes, accompagnées de notes végétales et fruitées accompagnent à merveille un repas.</t>
  </si>
  <si>
    <t>ETVJ225V5</t>
  </si>
  <si>
    <t>ETCVN2252V5</t>
  </si>
  <si>
    <t>Cultivé et travaillé dans le respect des traditions japonaises, ce thé vert sud-coréen issu de l’île de Jeju est composé de fines feuilles et de tiges soigneusement sélectionnées. Sa tasse lumineuse et équilibrée offre d’agréables saveurs minérales et herbacées à la fois douces et rafraîchissantes.</t>
  </si>
  <si>
    <t>ETVN127V5</t>
  </si>
  <si>
    <t>ETCVN1272V5</t>
  </si>
  <si>
    <t xml:space="preserve">Inde - Chine - Vietnam </t>
  </si>
  <si>
    <t>Mettez-vous l’eau à la bouche avec ce mariage délicieusement fruité d’un thé vert tout en fraîcheur et de notes d’orange sensuellement fruitées. Une expérience voluptueuse qui s’apprécie aussi bien dans une infusion chaude que glacée.</t>
  </si>
  <si>
    <r>
      <t>Ingréd</t>
    </r>
    <r>
      <rPr>
        <sz val="11"/>
        <rFont val="Calibri"/>
        <family val="2"/>
        <scheme val="minor"/>
      </rPr>
      <t>ients : thé vert*, écorces d'orange* 4%, huiles essentielles de</t>
    </r>
    <r>
      <rPr>
        <sz val="11"/>
        <color theme="1"/>
        <rFont val="Calibri"/>
        <family val="2"/>
        <scheme val="minor"/>
      </rPr>
      <t xml:space="preserve"> (orange douce*, orange sanguine*) 3</t>
    </r>
    <r>
      <rPr>
        <sz val="11"/>
        <rFont val="Calibri"/>
        <family val="2"/>
        <scheme val="minor"/>
      </rPr>
      <t xml:space="preserve">%. *Issu de l'agriculture biologique. </t>
    </r>
  </si>
  <si>
    <t>Make your mouth water with this deliciously fruity marriage of fresh green tea and sensually fruity orange notes. A voluptuous experience that can be enjoyed either as a hot or iced infusion.</t>
  </si>
  <si>
    <t xml:space="preserve">Ingredients: green tea*, orange peels* 4%, essential oils (sweet orange*, blood orange*) 3%. *From organic farming. </t>
  </si>
  <si>
    <t>ETVA682V5</t>
  </si>
  <si>
    <t>ETCVA6822V5</t>
  </si>
  <si>
    <t>Cette recette à base d’une sélection de crus de thés noirs associe les saveurs profondes et taniques du thé aux notes lumineuses et fruitées des agrumes. Une recette voluptueuse qui invite à faire une pause et prendre le temps de savourer l’instant présent, le seul qui compte…</t>
  </si>
  <si>
    <t>Ingrédients : thé noir*, huiles essentielles de (orange douce*, orange sanguine*) 2%, écorces d'orange* 2%. *Issu de l'agriculture biologique.</t>
  </si>
  <si>
    <t>ETNA711V5</t>
  </si>
  <si>
    <t>ETCNA7112V5</t>
  </si>
  <si>
    <t>Ban Lien Organic Tea Association - Putharjhora - Blend indien (Seeyok, Singell Selimbong) - Assam</t>
  </si>
  <si>
    <t>Cette recette à base de thé vert et de thé noir invite à une balade gustative dans les contrées sauvages et fruitées qu’affectionnent nos petits amis les hérissons. Le mariage des saveurs acidulées de la mûre et légèrement sucrées de la noisette est aussi gourmand qu’irrésistible…</t>
  </si>
  <si>
    <t>ETNA612V5</t>
  </si>
  <si>
    <t>ETCNA6122V5</t>
  </si>
  <si>
    <t>Morceaux de pomme - mélisse - pétales de rose</t>
  </si>
  <si>
    <t>Tel le souffle d'une nature qui s'éveille, cette tisane gaie et colorée laisse une impression festive en bouche. Son florilège de saveurs à la fois fruitées, florales et herbacées se conclut avec une finale qui évoque le miel de fleurs et imprègne longuement le palais. À partager sans modération !</t>
  </si>
  <si>
    <r>
      <t xml:space="preserve">Ingrédients : morceaux de pomme* </t>
    </r>
    <r>
      <rPr>
        <i/>
        <sz val="12"/>
        <color theme="1"/>
        <rFont val="Calibri"/>
        <family val="2"/>
        <scheme val="minor"/>
      </rPr>
      <t xml:space="preserve">(Malus domestica) </t>
    </r>
    <r>
      <rPr>
        <sz val="12"/>
        <color theme="1"/>
        <rFont val="Calibri"/>
        <family val="2"/>
        <scheme val="minor"/>
      </rPr>
      <t>24%</t>
    </r>
    <r>
      <rPr>
        <sz val="11"/>
        <color theme="1"/>
        <rFont val="Calibri"/>
        <family val="2"/>
        <scheme val="minor"/>
      </rPr>
      <t xml:space="preserve">, mélisse* </t>
    </r>
    <r>
      <rPr>
        <i/>
        <sz val="12"/>
        <color theme="1"/>
        <rFont val="Calibri"/>
        <family val="2"/>
        <scheme val="minor"/>
      </rPr>
      <t xml:space="preserve">(Melissa officinalis) </t>
    </r>
    <r>
      <rPr>
        <sz val="12"/>
        <color theme="1"/>
        <rFont val="Calibri"/>
        <family val="2"/>
        <scheme val="minor"/>
      </rPr>
      <t>21%</t>
    </r>
    <r>
      <rPr>
        <sz val="11"/>
        <color theme="1"/>
        <rFont val="Calibri"/>
        <family val="2"/>
        <scheme val="minor"/>
      </rPr>
      <t xml:space="preserve">, </t>
    </r>
    <r>
      <rPr>
        <b/>
        <sz val="12"/>
        <color theme="1"/>
        <rFont val="Calibri"/>
        <family val="2"/>
        <scheme val="minor"/>
      </rPr>
      <t>avoine</t>
    </r>
    <r>
      <rPr>
        <sz val="11"/>
        <color theme="1"/>
        <rFont val="Calibri"/>
        <family val="2"/>
        <scheme val="minor"/>
      </rPr>
      <t xml:space="preserve"> vert*</t>
    </r>
    <r>
      <rPr>
        <i/>
        <sz val="12"/>
        <color theme="1"/>
        <rFont val="Calibri"/>
        <family val="2"/>
        <scheme val="minor"/>
      </rPr>
      <t xml:space="preserve"> (Avena sativa)</t>
    </r>
    <r>
      <rPr>
        <sz val="11"/>
        <color theme="1"/>
        <rFont val="Calibri"/>
        <family val="2"/>
        <scheme val="minor"/>
      </rPr>
      <t xml:space="preserve">, pétales de rose* </t>
    </r>
    <r>
      <rPr>
        <i/>
        <sz val="12"/>
        <color theme="1"/>
        <rFont val="Calibri"/>
        <family val="2"/>
        <scheme val="minor"/>
      </rPr>
      <t xml:space="preserve">(Rosa damascena) </t>
    </r>
    <r>
      <rPr>
        <sz val="12"/>
        <color theme="1"/>
        <rFont val="Calibri"/>
        <family val="2"/>
        <scheme val="minor"/>
      </rPr>
      <t>8%</t>
    </r>
    <r>
      <rPr>
        <sz val="11"/>
        <color theme="1"/>
        <rFont val="Calibri"/>
        <family val="2"/>
        <scheme val="minor"/>
      </rPr>
      <t xml:space="preserve">, pétales de souci* </t>
    </r>
    <r>
      <rPr>
        <i/>
        <sz val="12"/>
        <color theme="1"/>
        <rFont val="Calibri"/>
        <family val="2"/>
        <scheme val="minor"/>
      </rPr>
      <t>(Calendula officinalis)</t>
    </r>
    <r>
      <rPr>
        <sz val="11"/>
        <color theme="1"/>
        <rFont val="Calibri"/>
        <family val="2"/>
        <scheme val="minor"/>
      </rPr>
      <t>, cranberry*</t>
    </r>
    <r>
      <rPr>
        <i/>
        <sz val="12"/>
        <color theme="1"/>
        <rFont val="Calibri"/>
        <family val="2"/>
        <scheme val="minor"/>
      </rPr>
      <t xml:space="preserve"> (Vaccinium macrocarpon)</t>
    </r>
    <r>
      <rPr>
        <sz val="11"/>
        <color theme="1"/>
        <rFont val="Calibri"/>
        <family val="2"/>
        <scheme val="minor"/>
      </rPr>
      <t xml:space="preserve">, lavande* </t>
    </r>
    <r>
      <rPr>
        <i/>
        <sz val="12"/>
        <color theme="1"/>
        <rFont val="Calibri"/>
        <family val="2"/>
        <scheme val="minor"/>
      </rPr>
      <t>(Lavandula angustifolia)</t>
    </r>
    <r>
      <rPr>
        <sz val="11"/>
        <color theme="1"/>
        <rFont val="Calibri"/>
        <family val="2"/>
        <scheme val="minor"/>
      </rPr>
      <t xml:space="preserve">, fleurs de tilleul* </t>
    </r>
    <r>
      <rPr>
        <i/>
        <sz val="12"/>
        <color theme="1"/>
        <rFont val="Calibri"/>
        <family val="2"/>
        <scheme val="minor"/>
      </rPr>
      <t>(Tilia flos)</t>
    </r>
    <r>
      <rPr>
        <sz val="11"/>
        <color theme="1"/>
        <rFont val="Calibri"/>
        <family val="2"/>
        <scheme val="minor"/>
      </rPr>
      <t xml:space="preserve">, verveine odorante* </t>
    </r>
    <r>
      <rPr>
        <i/>
        <sz val="12"/>
        <color theme="1"/>
        <rFont val="Calibri"/>
        <family val="2"/>
        <scheme val="minor"/>
      </rPr>
      <t>(Lippia citriodora)</t>
    </r>
    <r>
      <rPr>
        <sz val="11"/>
        <color theme="1"/>
        <rFont val="Calibri"/>
        <family val="2"/>
        <scheme val="minor"/>
      </rPr>
      <t xml:space="preserve">, camomille* </t>
    </r>
    <r>
      <rPr>
        <i/>
        <sz val="12"/>
        <color theme="1"/>
        <rFont val="Calibri"/>
        <family val="2"/>
        <scheme val="minor"/>
      </rPr>
      <t>(Matricaria chamomilla)</t>
    </r>
    <r>
      <rPr>
        <sz val="11"/>
        <color theme="1"/>
        <rFont val="Calibri"/>
        <family val="2"/>
        <scheme val="minor"/>
      </rPr>
      <t xml:space="preserve">, pétales de bleuet* </t>
    </r>
    <r>
      <rPr>
        <i/>
        <sz val="12"/>
        <color theme="1"/>
        <rFont val="Calibri"/>
        <family val="2"/>
        <scheme val="minor"/>
      </rPr>
      <t>(Centaurea cyanus)</t>
    </r>
    <r>
      <rPr>
        <sz val="11"/>
        <color theme="1"/>
        <rFont val="Calibri"/>
        <family val="2"/>
        <scheme val="minor"/>
      </rPr>
      <t xml:space="preserve">, pétales de mauve* </t>
    </r>
    <r>
      <rPr>
        <i/>
        <sz val="12"/>
        <color theme="1"/>
        <rFont val="Calibri"/>
        <family val="2"/>
        <scheme val="minor"/>
      </rPr>
      <t>(Malva sylvestris)</t>
    </r>
    <r>
      <rPr>
        <sz val="11"/>
        <color theme="1"/>
        <rFont val="Calibri"/>
        <family val="2"/>
        <scheme val="minor"/>
      </rPr>
      <t>. * Issu de l'agriculture biologique.</t>
    </r>
  </si>
  <si>
    <t>ETHN5770V5</t>
  </si>
  <si>
    <t>Feuilles de chanvre - verveine - menthe douce</t>
  </si>
  <si>
    <t>Cette tisane de plantes, un brin mystérieuse, est inspirée de la légende de Mélusine, l’envoûtante "femme serpent" à la beauté légendaire. On tombe immédiatement sous le charme de ses notes douces et légèrement épicées. Un délice de fée !</t>
  </si>
  <si>
    <r>
      <t xml:space="preserve">Ingrédients : feuilles de chanvre* 30% </t>
    </r>
    <r>
      <rPr>
        <i/>
        <sz val="12"/>
        <color theme="1"/>
        <rFont val="Calibri"/>
        <family val="2"/>
        <scheme val="minor"/>
      </rPr>
      <t>(Cannabis sativa)</t>
    </r>
    <r>
      <rPr>
        <sz val="11"/>
        <color theme="1"/>
        <rFont val="Calibri"/>
        <family val="2"/>
        <scheme val="minor"/>
      </rPr>
      <t xml:space="preserve">, verveine odorante* 25% </t>
    </r>
    <r>
      <rPr>
        <i/>
        <sz val="12"/>
        <color theme="1"/>
        <rFont val="Calibri"/>
        <family val="2"/>
        <scheme val="minor"/>
      </rPr>
      <t>(Aloysia citrodora)</t>
    </r>
    <r>
      <rPr>
        <sz val="11"/>
        <color theme="1"/>
        <rFont val="Calibri"/>
        <family val="2"/>
        <scheme val="minor"/>
      </rPr>
      <t xml:space="preserve">, menthe douce* 24% </t>
    </r>
    <r>
      <rPr>
        <i/>
        <sz val="12"/>
        <color theme="1"/>
        <rFont val="Calibri"/>
        <family val="2"/>
        <scheme val="minor"/>
      </rPr>
      <t>(Mentha spicata)</t>
    </r>
    <r>
      <rPr>
        <sz val="11"/>
        <color theme="1"/>
        <rFont val="Calibri"/>
        <family val="2"/>
        <scheme val="minor"/>
      </rPr>
      <t xml:space="preserve">, pétales de souci* </t>
    </r>
    <r>
      <rPr>
        <i/>
        <sz val="12"/>
        <color theme="1"/>
        <rFont val="Calibri"/>
        <family val="2"/>
        <scheme val="minor"/>
      </rPr>
      <t>(Calendula officinalis)</t>
    </r>
    <r>
      <rPr>
        <sz val="11"/>
        <color theme="1"/>
        <rFont val="Calibri"/>
        <family val="2"/>
        <scheme val="minor"/>
      </rPr>
      <t xml:space="preserve">, plantain lancéolé* </t>
    </r>
    <r>
      <rPr>
        <i/>
        <sz val="12"/>
        <color theme="1"/>
        <rFont val="Calibri"/>
        <family val="2"/>
        <scheme val="minor"/>
      </rPr>
      <t>(Plantago lanceolata)</t>
    </r>
    <r>
      <rPr>
        <sz val="11"/>
        <color theme="1"/>
        <rFont val="Calibri"/>
        <family val="2"/>
        <scheme val="minor"/>
      </rPr>
      <t xml:space="preserve">, boutons de rose* </t>
    </r>
    <r>
      <rPr>
        <i/>
        <sz val="12"/>
        <color theme="1"/>
        <rFont val="Calibri"/>
        <family val="2"/>
        <scheme val="minor"/>
      </rPr>
      <t>(Rosa damascena), mélisse* (Melissa officinalis)</t>
    </r>
    <r>
      <rPr>
        <sz val="11"/>
        <color theme="1"/>
        <rFont val="Calibri"/>
        <family val="2"/>
        <scheme val="minor"/>
      </rPr>
      <t>. *Issu de l'agriculture biologique.</t>
    </r>
  </si>
  <si>
    <t>ETHN5090V5</t>
  </si>
  <si>
    <t>Lemongrass - menthe poivrée - feuilles de framboisier</t>
  </si>
  <si>
    <t>Gaie et pétillante, cette tisane est une ode aux premiers beaux jours de l’année. Ses saveurs zestées fraîches et toniques relevées d'agréables notes épicées vous emportent avec délice dans l'effervescence du printemps !</t>
  </si>
  <si>
    <r>
      <t xml:space="preserve">Ingrédients : lemongrass* </t>
    </r>
    <r>
      <rPr>
        <i/>
        <sz val="12"/>
        <color theme="1"/>
        <rFont val="Calibri"/>
        <family val="2"/>
        <scheme val="minor"/>
      </rPr>
      <t xml:space="preserve">(Cymbopogon citratus) </t>
    </r>
    <r>
      <rPr>
        <sz val="12"/>
        <color theme="1"/>
        <rFont val="Calibri"/>
        <family val="2"/>
        <scheme val="minor"/>
      </rPr>
      <t>42%</t>
    </r>
    <r>
      <rPr>
        <sz val="11"/>
        <color theme="1"/>
        <rFont val="Calibri"/>
        <family val="2"/>
        <scheme val="minor"/>
      </rPr>
      <t xml:space="preserve">, menthe poivrée* </t>
    </r>
    <r>
      <rPr>
        <i/>
        <sz val="12"/>
        <color theme="1"/>
        <rFont val="Calibri"/>
        <family val="2"/>
        <scheme val="minor"/>
      </rPr>
      <t xml:space="preserve">(Mentha piperita) </t>
    </r>
    <r>
      <rPr>
        <sz val="12"/>
        <color theme="1"/>
        <rFont val="Calibri"/>
        <family val="2"/>
        <scheme val="minor"/>
      </rPr>
      <t>27%</t>
    </r>
    <r>
      <rPr>
        <sz val="11"/>
        <color theme="1"/>
        <rFont val="Calibri"/>
        <family val="2"/>
        <scheme val="minor"/>
      </rPr>
      <t xml:space="preserve">, feuilles de framboisier* </t>
    </r>
    <r>
      <rPr>
        <i/>
        <sz val="12"/>
        <color theme="1"/>
        <rFont val="Calibri"/>
        <family val="2"/>
        <scheme val="minor"/>
      </rPr>
      <t xml:space="preserve">(Rubus idaeus) </t>
    </r>
    <r>
      <rPr>
        <sz val="12"/>
        <color theme="1"/>
        <rFont val="Calibri"/>
        <family val="2"/>
        <scheme val="minor"/>
      </rPr>
      <t>10%</t>
    </r>
    <r>
      <rPr>
        <sz val="11"/>
        <color theme="1"/>
        <rFont val="Calibri"/>
        <family val="2"/>
        <scheme val="minor"/>
      </rPr>
      <t xml:space="preserve">, cardamome* </t>
    </r>
    <r>
      <rPr>
        <i/>
        <sz val="12"/>
        <color theme="1"/>
        <rFont val="Calibri"/>
        <family val="2"/>
        <scheme val="minor"/>
      </rPr>
      <t>(Elettaria cardamomum)</t>
    </r>
    <r>
      <rPr>
        <sz val="11"/>
        <color theme="1"/>
        <rFont val="Calibri"/>
        <family val="2"/>
        <scheme val="minor"/>
      </rPr>
      <t xml:space="preserve">, réglisse* </t>
    </r>
    <r>
      <rPr>
        <i/>
        <sz val="12"/>
        <color theme="1"/>
        <rFont val="Calibri"/>
        <family val="2"/>
        <scheme val="minor"/>
      </rPr>
      <t>(Glycyrrhiza glabra)</t>
    </r>
    <r>
      <rPr>
        <sz val="11"/>
        <color theme="1"/>
        <rFont val="Calibri"/>
        <family val="2"/>
        <scheme val="minor"/>
      </rPr>
      <t xml:space="preserve">, pétales de bleuet* </t>
    </r>
    <r>
      <rPr>
        <i/>
        <sz val="12"/>
        <color theme="1"/>
        <rFont val="Calibri"/>
        <family val="2"/>
        <scheme val="minor"/>
      </rPr>
      <t>(Centaurea cyanus)</t>
    </r>
    <r>
      <rPr>
        <sz val="11"/>
        <color theme="1"/>
        <rFont val="Calibri"/>
        <family val="2"/>
        <scheme val="minor"/>
      </rPr>
      <t xml:space="preserve">, pétales de rose* </t>
    </r>
    <r>
      <rPr>
        <i/>
        <sz val="12"/>
        <color theme="1"/>
        <rFont val="Calibri"/>
        <family val="2"/>
        <scheme val="minor"/>
      </rPr>
      <t>(Rosa damascena)</t>
    </r>
    <r>
      <rPr>
        <sz val="11"/>
        <color theme="1"/>
        <rFont val="Calibri"/>
        <family val="2"/>
        <scheme val="minor"/>
      </rPr>
      <t xml:space="preserve">. *Issu de l'agriculture biologique. </t>
    </r>
    <r>
      <rPr>
        <i/>
        <sz val="12"/>
        <color theme="1"/>
        <rFont val="Calibri"/>
        <family val="2"/>
        <scheme val="minor"/>
      </rPr>
      <t>Contient de la réglisse : les personnes souffrant d'hypertension doivent éviter toute consommation excessive.</t>
    </r>
  </si>
  <si>
    <t>ETHN9740V5</t>
  </si>
  <si>
    <t xml:space="preserve">À l’image du dragon qui se meut libre comme l'air et tout en souplesse, conservez votre confort articulaire avec cette tisane de plantes aux vertus anti-inflammatoires légendaires. Fruitée, épicée et légèrement réglissée, son infusion est particulièrement agréable et longue en bouche. </t>
  </si>
  <si>
    <t xml:space="preserve">Like the dragon who moves as freely as the air, this herbal tea with its legendary anti-inflammatory properties will keep your joints comfortable. Fruity, spicy and slightly licorice-like, this infusion is particularly pleasant and long-lasting. </t>
  </si>
  <si>
    <r>
      <t>Ingredients: blackcurrant leaves* 34% (</t>
    </r>
    <r>
      <rPr>
        <i/>
        <sz val="11"/>
        <color theme="1"/>
        <rFont val="Calibri"/>
        <family val="2"/>
        <scheme val="minor"/>
      </rPr>
      <t>Ribes nigrum</t>
    </r>
    <r>
      <rPr>
        <sz val="11"/>
        <color theme="1"/>
        <rFont val="Calibri"/>
        <family val="2"/>
        <scheme val="minor"/>
      </rPr>
      <t>), turmeric* 25% (</t>
    </r>
    <r>
      <rPr>
        <i/>
        <sz val="11"/>
        <color theme="1"/>
        <rFont val="Calibri"/>
        <family val="2"/>
        <scheme val="minor"/>
      </rPr>
      <t>Curcuma longa</t>
    </r>
    <r>
      <rPr>
        <sz val="11"/>
        <color theme="1"/>
        <rFont val="Calibri"/>
        <family val="2"/>
        <scheme val="minor"/>
      </rPr>
      <t>), meadowsweet* 11% (</t>
    </r>
    <r>
      <rPr>
        <i/>
        <sz val="11"/>
        <color theme="1"/>
        <rFont val="Calibri"/>
        <family val="2"/>
        <scheme val="minor"/>
      </rPr>
      <t>Filipendula ulmaria</t>
    </r>
    <r>
      <rPr>
        <sz val="11"/>
        <color theme="1"/>
        <rFont val="Calibri"/>
        <family val="2"/>
        <scheme val="minor"/>
      </rPr>
      <t>), ginger* 9% (</t>
    </r>
    <r>
      <rPr>
        <i/>
        <sz val="11"/>
        <color theme="1"/>
        <rFont val="Calibri"/>
        <family val="2"/>
        <scheme val="minor"/>
      </rPr>
      <t>Zingiber officinale)</t>
    </r>
    <r>
      <rPr>
        <sz val="11"/>
        <color theme="1"/>
        <rFont val="Calibri"/>
        <family val="2"/>
        <scheme val="minor"/>
      </rPr>
      <t>, juniper berries* (</t>
    </r>
    <r>
      <rPr>
        <i/>
        <sz val="11"/>
        <color theme="1"/>
        <rFont val="Calibri"/>
        <family val="2"/>
        <scheme val="minor"/>
      </rPr>
      <t>Juniperus communis</t>
    </r>
    <r>
      <rPr>
        <sz val="11"/>
        <color theme="1"/>
        <rFont val="Calibri"/>
        <family val="2"/>
        <scheme val="minor"/>
      </rPr>
      <t>), moringa* (</t>
    </r>
    <r>
      <rPr>
        <i/>
        <sz val="11"/>
        <color theme="1"/>
        <rFont val="Calibri"/>
        <family val="2"/>
        <scheme val="minor"/>
      </rPr>
      <t>Moringa oleifera</t>
    </r>
    <r>
      <rPr>
        <sz val="11"/>
        <color theme="1"/>
        <rFont val="Calibri"/>
        <family val="2"/>
        <scheme val="minor"/>
      </rPr>
      <t>), black pepper* (</t>
    </r>
    <r>
      <rPr>
        <i/>
        <sz val="11"/>
        <color theme="1"/>
        <rFont val="Calibri"/>
        <family val="2"/>
        <scheme val="minor"/>
      </rPr>
      <t>Piper nigrum</t>
    </r>
    <r>
      <rPr>
        <sz val="11"/>
        <color theme="1"/>
        <rFont val="Calibri"/>
        <family val="2"/>
        <scheme val="minor"/>
      </rPr>
      <t>), cornflower petals* (</t>
    </r>
    <r>
      <rPr>
        <i/>
        <sz val="11"/>
        <color theme="1"/>
        <rFont val="Calibri"/>
        <family val="2"/>
        <scheme val="minor"/>
      </rPr>
      <t>Centaurea cyanus</t>
    </r>
    <r>
      <rPr>
        <sz val="11"/>
        <color theme="1"/>
        <rFont val="Calibri"/>
        <family val="2"/>
        <scheme val="minor"/>
      </rPr>
      <t>). *From organic farming.</t>
    </r>
  </si>
  <si>
    <t>ETHN0630V5</t>
  </si>
  <si>
    <t>Sensuelle et spirituelle, cette infusion de plantes et de fleurs est inspirée par le plus beau des sentiments. Laissez-là câliner vos papilles par ses saveurs chaudes, rondes et gourmandes qui procurent un intense plaisir gustatif. À savourer amoureusement à deux…</t>
  </si>
  <si>
    <t>Sensual and spiritual, this infusion of plants and flowers is inspired by the most beautiful of feelings. Let it tantalize your taste buds with its warm, round, gourmand flavours, providing intense gustatory pleasure. Enjoy it lovingly for two…</t>
  </si>
  <si>
    <r>
      <t>Ingredients: hemp leaves* (</t>
    </r>
    <r>
      <rPr>
        <i/>
        <sz val="11"/>
        <color theme="1"/>
        <rFont val="Calibri"/>
        <family val="2"/>
        <scheme val="minor"/>
      </rPr>
      <t>Cannabis sativa</t>
    </r>
    <r>
      <rPr>
        <sz val="11"/>
        <color theme="1"/>
        <rFont val="Calibri"/>
        <family val="2"/>
        <scheme val="minor"/>
      </rPr>
      <t>) 45%, catmint* (</t>
    </r>
    <r>
      <rPr>
        <i/>
        <sz val="11"/>
        <color theme="1"/>
        <rFont val="Calibri"/>
        <family val="2"/>
        <scheme val="minor"/>
      </rPr>
      <t>Nepeta cataria</t>
    </r>
    <r>
      <rPr>
        <sz val="11"/>
        <color theme="1"/>
        <rFont val="Calibri"/>
        <family val="2"/>
        <scheme val="minor"/>
      </rPr>
      <t>) 20%, parsley* (</t>
    </r>
    <r>
      <rPr>
        <i/>
        <sz val="11"/>
        <color theme="1"/>
        <rFont val="Calibri"/>
        <family val="2"/>
        <scheme val="minor"/>
      </rPr>
      <t>Petroselinum crispum</t>
    </r>
    <r>
      <rPr>
        <sz val="11"/>
        <color theme="1"/>
        <rFont val="Calibri"/>
        <family val="2"/>
        <scheme val="minor"/>
      </rPr>
      <t>), verbena* (</t>
    </r>
    <r>
      <rPr>
        <i/>
        <sz val="11"/>
        <color theme="1"/>
        <rFont val="Calibri"/>
        <family val="2"/>
        <scheme val="minor"/>
      </rPr>
      <t>Aloysia citrodora</t>
    </r>
    <r>
      <rPr>
        <sz val="11"/>
        <color theme="1"/>
        <rFont val="Calibri"/>
        <family val="2"/>
        <scheme val="minor"/>
      </rPr>
      <t>) 10%, savory* (</t>
    </r>
    <r>
      <rPr>
        <i/>
        <sz val="11"/>
        <color theme="1"/>
        <rFont val="Calibri"/>
        <family val="2"/>
        <scheme val="minor"/>
      </rPr>
      <t>Satureja montana)</t>
    </r>
    <r>
      <rPr>
        <sz val="11"/>
        <color theme="1"/>
        <rFont val="Calibri"/>
        <family val="2"/>
        <scheme val="minor"/>
      </rPr>
      <t>, rosebuds* (</t>
    </r>
    <r>
      <rPr>
        <i/>
        <sz val="11"/>
        <color theme="1"/>
        <rFont val="Calibri"/>
        <family val="2"/>
        <scheme val="minor"/>
      </rPr>
      <t>Rosa damascena</t>
    </r>
    <r>
      <rPr>
        <sz val="11"/>
        <color theme="1"/>
        <rFont val="Calibri"/>
        <family val="2"/>
        <scheme val="minor"/>
      </rPr>
      <t>). *From organic farming.</t>
    </r>
  </si>
  <si>
    <t>Feuilles de chanvre - cataire - verveine</t>
  </si>
  <si>
    <r>
      <t xml:space="preserve">Ingrédients : feuilles de chanvre* </t>
    </r>
    <r>
      <rPr>
        <i/>
        <sz val="12"/>
        <color theme="1"/>
        <rFont val="Calibri"/>
        <family val="2"/>
        <scheme val="minor"/>
      </rPr>
      <t xml:space="preserve">(Cannabis sativa) </t>
    </r>
    <r>
      <rPr>
        <sz val="12"/>
        <color theme="1"/>
        <rFont val="Calibri"/>
        <family val="2"/>
        <scheme val="minor"/>
      </rPr>
      <t>45%</t>
    </r>
    <r>
      <rPr>
        <sz val="11"/>
        <color theme="1"/>
        <rFont val="Calibri"/>
        <family val="2"/>
        <scheme val="minor"/>
      </rPr>
      <t xml:space="preserve">, cataire* </t>
    </r>
    <r>
      <rPr>
        <i/>
        <sz val="12"/>
        <color theme="1"/>
        <rFont val="Calibri"/>
        <family val="2"/>
        <scheme val="minor"/>
      </rPr>
      <t xml:space="preserve">(Nepeta cataria) </t>
    </r>
    <r>
      <rPr>
        <sz val="12"/>
        <color theme="1"/>
        <rFont val="Calibri"/>
        <family val="2"/>
        <scheme val="minor"/>
      </rPr>
      <t>20%</t>
    </r>
    <r>
      <rPr>
        <sz val="11"/>
        <color theme="1"/>
        <rFont val="Calibri"/>
        <family val="2"/>
        <scheme val="minor"/>
      </rPr>
      <t xml:space="preserve">, persil* </t>
    </r>
    <r>
      <rPr>
        <i/>
        <sz val="12"/>
        <color theme="1"/>
        <rFont val="Calibri"/>
        <family val="2"/>
        <scheme val="minor"/>
      </rPr>
      <t>(Petroselinum crispum)</t>
    </r>
    <r>
      <rPr>
        <sz val="11"/>
        <color theme="1"/>
        <rFont val="Calibri"/>
        <family val="2"/>
        <scheme val="minor"/>
      </rPr>
      <t xml:space="preserve">, verveine odorante* </t>
    </r>
    <r>
      <rPr>
        <i/>
        <sz val="12"/>
        <color theme="1"/>
        <rFont val="Calibri"/>
        <family val="2"/>
        <scheme val="minor"/>
      </rPr>
      <t xml:space="preserve">(Aloysia citrodora) </t>
    </r>
    <r>
      <rPr>
        <sz val="12"/>
        <color theme="1"/>
        <rFont val="Calibri"/>
        <family val="2"/>
        <scheme val="minor"/>
      </rPr>
      <t>10%</t>
    </r>
    <r>
      <rPr>
        <sz val="11"/>
        <color theme="1"/>
        <rFont val="Calibri"/>
        <family val="2"/>
        <scheme val="minor"/>
      </rPr>
      <t xml:space="preserve">, sarriette* </t>
    </r>
    <r>
      <rPr>
        <i/>
        <sz val="12"/>
        <color theme="1"/>
        <rFont val="Calibri"/>
        <family val="2"/>
        <scheme val="minor"/>
      </rPr>
      <t>(Satureja montana)</t>
    </r>
    <r>
      <rPr>
        <sz val="11"/>
        <color theme="1"/>
        <rFont val="Calibri"/>
        <family val="2"/>
        <scheme val="minor"/>
      </rPr>
      <t xml:space="preserve">, boutons de rose* </t>
    </r>
    <r>
      <rPr>
        <i/>
        <sz val="12"/>
        <color theme="1"/>
        <rFont val="Calibri"/>
        <family val="2"/>
        <scheme val="minor"/>
      </rPr>
      <t>(Rosa damascena)</t>
    </r>
    <r>
      <rPr>
        <sz val="11"/>
        <color theme="1"/>
        <rFont val="Calibri"/>
        <family val="2"/>
        <scheme val="minor"/>
      </rPr>
      <t>. *Issu de l’agriculture biologique.</t>
    </r>
  </si>
  <si>
    <t>ETHN5200V5</t>
  </si>
  <si>
    <t xml:space="preserve">Agriculture UE
</t>
  </si>
  <si>
    <t>Transmise de génération en génération, cette tisane aux vertus digestives, un brin rustique, est un régal pour toute la famille qui séduit avec ses saveurs fruitées accompagnées de notes mentholées. Légère, généreuse et fraîche comme un câlin de Mamy !</t>
  </si>
  <si>
    <r>
      <t xml:space="preserve">Ingrédients : menthe poivrée* 50% </t>
    </r>
    <r>
      <rPr>
        <i/>
        <sz val="12"/>
        <color theme="1"/>
        <rFont val="Calibri"/>
        <family val="2"/>
        <scheme val="minor"/>
      </rPr>
      <t>(Mentha piperita)</t>
    </r>
    <r>
      <rPr>
        <sz val="11"/>
        <color theme="1"/>
        <rFont val="Calibri"/>
        <family val="2"/>
        <scheme val="minor"/>
      </rPr>
      <t xml:space="preserve">, feuilles de mûrier* </t>
    </r>
    <r>
      <rPr>
        <i/>
        <sz val="12"/>
        <color theme="1"/>
        <rFont val="Calibri"/>
        <family val="2"/>
        <scheme val="minor"/>
      </rPr>
      <t>(Rubus fruticosus)</t>
    </r>
    <r>
      <rPr>
        <sz val="11"/>
        <color theme="1"/>
        <rFont val="Calibri"/>
        <family val="2"/>
        <scheme val="minor"/>
      </rPr>
      <t xml:space="preserve">, écorces d’églantine* </t>
    </r>
    <r>
      <rPr>
        <i/>
        <sz val="12"/>
        <color theme="1"/>
        <rFont val="Calibri"/>
        <family val="2"/>
        <scheme val="minor"/>
      </rPr>
      <t>(Rosa canina)</t>
    </r>
    <r>
      <rPr>
        <sz val="11"/>
        <color theme="1"/>
        <rFont val="Calibri"/>
        <family val="2"/>
        <scheme val="minor"/>
      </rPr>
      <t xml:space="preserve">, morceaux de pomme* </t>
    </r>
    <r>
      <rPr>
        <i/>
        <sz val="12"/>
        <color theme="1"/>
        <rFont val="Calibri"/>
        <family val="2"/>
        <scheme val="minor"/>
      </rPr>
      <t>(Malus domestica)</t>
    </r>
    <r>
      <rPr>
        <sz val="11"/>
        <color theme="1"/>
        <rFont val="Calibri"/>
        <family val="2"/>
        <scheme val="minor"/>
      </rPr>
      <t>. *Issu de l'agriculture biologique.</t>
    </r>
  </si>
  <si>
    <t>ETHN5210V5</t>
  </si>
  <si>
    <t>Colorée et festive, cette tisane d’hiver empreinte des traditions gourmandes alsaciennes marie agréablement les saveurs chaudes de la cannelle et citronnées de la mélisse. Son caractère doux et lumineux donne immédiatement envie de la partager.</t>
  </si>
  <si>
    <t>ETHN522V5</t>
  </si>
  <si>
    <t>ETCHN5222V5
à modif ETCHN5226V5</t>
  </si>
  <si>
    <t>ETRA207V5</t>
  </si>
  <si>
    <t>ETCRA2072V5</t>
  </si>
  <si>
    <t>À la fois frais et fruité, ce thé vert associé au goût délicat de litchi accompagné de notes de poire, nous transporte dans la romance entre Lady Yang et l’empereur Xuanzong. À la différence de leur relation passionnelle et tragique, cette liqueur vous transportera sur un nuage de douceur.</t>
  </si>
  <si>
    <t>Ingrédients : thé vert*, arômes naturels de (poire*, litchi) 11%, pétales de rose*. *Issu de l'agriculture biologique.</t>
  </si>
  <si>
    <t>ETVA675V5</t>
  </si>
  <si>
    <t>ETCVA6752V5</t>
  </si>
  <si>
    <t>TPI + Guzhang Gaofeng Organic Tea Association</t>
  </si>
  <si>
    <t xml:space="preserve">Laissez-vous emporter par la beauté et la puissance du continent africain avec ce rooibos gorgé de soleil ! Le mariage de l’ananas et de la noix de coco sur le fond vanillé du rooibos est une invitation à un voyage délicieusement fruité, aussi exotique que gourmand… </t>
  </si>
  <si>
    <t>ETRA230V5</t>
  </si>
  <si>
    <t>ETCRA2302V5</t>
  </si>
  <si>
    <t>La décoction de l’aubier du lapacho se consomme idéalement lors des changements de saison pour ses effets antioxydants et en renfort des défenses immunitaires. Dans cette recette, ses saveurs naturellement vanillées et boisées se mêlent avec bonheur à de lumineuses notes d’agrumes.</t>
  </si>
  <si>
    <t>ETLA403V5</t>
  </si>
  <si>
    <t>ETCLA4032V5</t>
  </si>
  <si>
    <r>
      <t>Ingredient: lapacho* (</t>
    </r>
    <r>
      <rPr>
        <i/>
        <sz val="11"/>
        <color theme="1"/>
        <rFont val="Calibri"/>
        <family val="2"/>
        <scheme val="minor"/>
      </rPr>
      <t>Tabebuia impetiginosa</t>
    </r>
    <r>
      <rPr>
        <sz val="11"/>
        <color theme="1"/>
        <rFont val="Calibri"/>
        <family val="2"/>
        <scheme val="minor"/>
      </rPr>
      <t>). *From organic farming.</t>
    </r>
  </si>
  <si>
    <t>Consortium des producteurs Sateré Mawé</t>
  </si>
  <si>
    <t>Le souffle des mers</t>
  </si>
  <si>
    <t>passion - grenade - cardamome</t>
  </si>
  <si>
    <t>thé vert aromatisé</t>
  </si>
  <si>
    <t>Cette recette à base d’un thé vert venu à la voile du Vietnam porte en elle le souffle inspirant des mers. Tel un voyage empreint d’exotisme, sa dégustation est bercée par des saveurs intensément fruitées de grenade et de fruit de la passion sur un fond délicieusement épicé de cardamome.</t>
  </si>
  <si>
    <t>Ingrédients : thé vert*, écorces de grenade* 20%, arômes naturels de (grenade* 6%, fruit de la passion* 4%), cardamome* 5%, lemongrass*, passiflore* 3%. *Issu de l’agriculture biologique.</t>
  </si>
  <si>
    <t>TA6262</t>
  </si>
  <si>
    <t>ETVA626V5</t>
  </si>
  <si>
    <t>ETCVA6262V5</t>
  </si>
  <si>
    <t>La voie de l'eau</t>
  </si>
  <si>
    <t>Venu à la voile depuis son Vietnam natal, ce thé noir a suivi la voie de l’eau qui préfigure un nouvel avenir. A la faveur du vent et de son énergie inépuisable, nous pouvons savourer en toute quiétude un thé de petits producteurs aux agréables senteurs boisées et aux saveurs maltées pleines de douceur.</t>
  </si>
  <si>
    <t>TN5512</t>
  </si>
  <si>
    <t>ETNN551V5</t>
  </si>
  <si>
    <t>ETCNN5512V5</t>
  </si>
  <si>
    <t>Le mariage des fruits rouges et des fleurs d’hibiscus, aux notes légèrement acidulées et la douceur fruitée et sucrée du rooibos, de la pomme et de la réglisse font tout le charme de cette infusion... Une recette gourmande aux vertus drainantes, destinée à faire rougir de plaisir…</t>
  </si>
  <si>
    <t>ETFA122V5</t>
  </si>
  <si>
    <t>Les accords harmonieux de cette recette à base de thé vert issu de théiers anciens du Vietnam donnent une irrésistible envie de suivre les facéties de Kokopelli, le charmant semeur joueur de flûte amérindien. L’acidulé de la bergamote est délicieusement arrondie par la vanille. Une fête pour les sens !</t>
  </si>
  <si>
    <t>Depuis 1999, l'association Kokopelli milite pour la libération des semences et contre la brevetabilité du vivant. www.kokopelli-semences.fr</t>
  </si>
  <si>
    <t>ETVA618V5</t>
  </si>
  <si>
    <t>ETCVA6182V5</t>
  </si>
  <si>
    <t>Ce thé noir étonne par sa richesse aromatique et sa douceur. Sa belle liqueur, d'un orange intense, développe sur un arrière-plan malté et légèrement boisé de magnifiques saveurs de confiserie, évoquant tour à tour la guimauve, l'abricot et les raisins secs. Idéal pour un lever du jour gourmand !</t>
  </si>
  <si>
    <t>ETNN229V5</t>
  </si>
  <si>
    <t>ETCNN2292V5</t>
  </si>
  <si>
    <t>Douce harmonie de couleurs et de parfums, ce thé aux accords printaniers associe les notes rondes et boisées du thé wulong aux notes fraîches et zestées du thé vert. Le tout, judicieusement mêlé aux notes sucrées du sureau et de la framboise, nous donne une boisson ravissante, délicieusement dans l'air du temps…</t>
  </si>
  <si>
    <t xml:space="preserve">Né de la rencontre originale des notes boisées d’un thé wulong, de la fraîcheur d’un thé vert et des saveurs florales et fruitées du sureau et de la framboise, cette recette est une ode au printemps et au pouvoir réjouissant des fleurs. Savourez cette ravissante boisson qui évoque toute la magie d’une saison. </t>
  </si>
  <si>
    <t>Ingrédients : thé wulong*, thé vert*, arômes naturels de (framboise* 3%, fleur de sureau*), extrait de vanille* 3%, pétales de fleurs (souci*, rose*), morceaux de framboise* 1%, feuilles et fleurs de mauve*, fleurs de sureau*. *Issu de l'agriculture biologique.</t>
  </si>
  <si>
    <t xml:space="preserve">Chine </t>
  </si>
  <si>
    <t>ETOA902V5</t>
  </si>
  <si>
    <t>ETCOA9026V5</t>
  </si>
  <si>
    <t>Ce thé vert népalais est né dans de petites parcelles d’altitude entourées d’une riche et belle diversité de plantes, dont il semble s’être imprégné. Ses petites feuilles offrent une liqueur dorée aux notes végétales, légèrement acidulées et épicées dont le côté aérien invite à une douce rêverie.</t>
  </si>
  <si>
    <t>ETVN794V5</t>
  </si>
  <si>
    <t>ETCVN7942V5</t>
  </si>
  <si>
    <t>Digestion
Saveur vanille
Cannelle - Coriandre - Mélisse - Fenouil</t>
  </si>
  <si>
    <t>Comme un secret de muses, les feuilles de ce beau thé blanc parfumé se dévoilent à la rencontre d’une eau pure. Elles offrent alors une tasse inspirée aux délicieuses saveurs de framboise et de sureau. Laissez-vous séduire par ce secret gourmand…</t>
  </si>
  <si>
    <t>ETCBA5026V5</t>
  </si>
  <si>
    <t>Huile essentielle de citron - Basilic</t>
  </si>
  <si>
    <t>Cette recette tonique et inattendue associe la fraîcheur du thé vert issu de théiers anciens du Vietnam aux notes fraîches, acidulées et épicées du délicieux duo citron-basilic. Un mariage aux   accords enthousiasmants et savoureux, idéal pour prendre son envol et oser donner vie au songe du colibri.</t>
  </si>
  <si>
    <t>ETVA617V5</t>
  </si>
  <si>
    <t>ETCVA6172V5</t>
  </si>
  <si>
    <t>Laissez-vous surprendre par ce mariage détonnant du thé vert japonais, du gingembre et de la verveine, inspiré par la fougue des Samouraïs. Ses notes citronnées et légèrement piquantes s'associent à merveille avec les saveurs végétales, fraîches et douces du thé vert étuvé. Délicieux chaud ou glacé !</t>
  </si>
  <si>
    <t>ETVJ201V5</t>
  </si>
  <si>
    <t>ETCVJ2012V5</t>
  </si>
  <si>
    <t>Vif et pétillant, le lemongrass aussi appelé verveine des Indes est un vrai rayon de soleil en infusion ! Ses saveurs citronnées intenses empreintes d’un zeste d’exotisme s'apprécient particulièrement en mode glacé dès que le thermomètre commence à s'affoler. Rafraîchissement garanti !</t>
  </si>
  <si>
    <r>
      <t xml:space="preserve">Ingrédient : lemongrass** (Cymbopogon citratus). **Issu de l'agriculture biologique et biodynamique. </t>
    </r>
    <r>
      <rPr>
        <b/>
        <i/>
        <sz val="12"/>
        <color theme="1"/>
        <rFont val="Calibri"/>
        <family val="2"/>
        <scheme val="minor"/>
      </rPr>
      <t>demeter</t>
    </r>
    <r>
      <rPr>
        <sz val="11"/>
        <color theme="1"/>
        <rFont val="Calibri"/>
        <family val="2"/>
        <scheme val="minor"/>
      </rPr>
      <t xml:space="preserve"> est</t>
    </r>
    <r>
      <rPr>
        <sz val="11"/>
        <color rgb="FFFF0000"/>
        <rFont val="Calibri"/>
        <family val="2"/>
        <scheme val="minor"/>
      </rPr>
      <t xml:space="preserve"> le label des produits issus de l'agriculture biodynamique</t>
    </r>
    <r>
      <rPr>
        <sz val="11"/>
        <color theme="1"/>
        <rFont val="Calibri"/>
        <family val="2"/>
        <scheme val="minor"/>
      </rPr>
      <t xml:space="preserve">. </t>
    </r>
  </si>
  <si>
    <t>La grâce d’une envolée sauvage est la source d’inspiration de cette infusion de plantes. Sur des saveurs de mélisse et de tilleul, entre force et douceur, cette recette déploie ses notes épicées, fraîches, camphrées et citronnées. Pour une pause aérienne et contemplative les yeux dans le ciel...</t>
  </si>
  <si>
    <t>La Ligue pour la Protection des Oiseaux (LPO) agit depuis 1912 pour la protection des oiseaux et la sauvegarde de la biodiversité. lpo.fr</t>
  </si>
  <si>
    <t>ETTM003V5</t>
  </si>
  <si>
    <t>ETCTM0036V5</t>
  </si>
  <si>
    <t>Ce thé semi-oxydé à la liqueur souple et onctueuse offre une déclinaison de saveurs à la fois maltées, boisées et fruitées. On y découvre des notes gourmandes de vanille et de chocolat au lait et exotiques de bois de santal qui mènent à une finale minérale et pyrogénée de toute beauté. Un wulong assamais qui ne peut laisser indifférent !</t>
  </si>
  <si>
    <t xml:space="preserve">Ce charmant thé wulong indien à la liqueur souple et onctueuse délivre une belle palette de notes maltées, boisées et fruitées. Sa dégustation offre des saveurs gourmandes et exotiques de vanille, de chocolat au lait, de bois de santal et se conclut sur belle finale minérale et pyrogénée. </t>
  </si>
  <si>
    <t>ETON360V5</t>
  </si>
  <si>
    <t>ETCON3602V5</t>
  </si>
  <si>
    <t>Ce mariage de thés verts japonais associé au trio tonique « maté-guarana-gingembre » séduit par ses saveurs fruitées et citronnées et son agréable effet tonique ! À l’image du lézard qui recharge ses batteries au soleil, faites le plein d’énergie à tout moment de la journée !</t>
  </si>
  <si>
    <t>Chine - Japon</t>
  </si>
  <si>
    <t>ETVA690V5</t>
  </si>
  <si>
    <t>ETCVA6902V5</t>
  </si>
  <si>
    <t>Guzhang Gaofeng Organic Tea Association + Kagoshima Tea Family</t>
  </si>
  <si>
    <t>Originaire du Vietnam, ce thé noir issu de théiers anciens est le fruit du travail des membres de la minorité ethnique locale « Dao ». Ses feuilles sombres et torsadées offrent une tasse douce et maltée aux jolies notes de châtaignes grillées et de fleurs. Un régal le matin avec un nuage lait…</t>
  </si>
  <si>
    <t>ETNN408V5</t>
  </si>
  <si>
    <t>ETCNN4082V5</t>
  </si>
  <si>
    <t xml:space="preserve">Telle une irrésistible étincelle, cette recette à base de thé noir délicieusement épicée est une invitation à réveiller toutes les ardeurs qui sommeillent. Laissez-vous porter par ses saveurs gourmandes aux notes miellées, épicées et citronnées qui ouvrent les portes de plaisirs insoupçonnés… </t>
  </si>
  <si>
    <t>Ingrédients : thé noir*, honeybush* 16%, gingembre*, fève tonka* 7%, curcuma*, écorces de mandarine*, piment* 4%, baies roses*, pétales de coquelicot*. *Issu de l’agriculture biologique.</t>
  </si>
  <si>
    <t>ETNM737V5</t>
  </si>
  <si>
    <t>ETCNM7372V5</t>
  </si>
  <si>
    <t>L'Odyssée</t>
  </si>
  <si>
    <t>saveur caramel - banane - sarrasin</t>
  </si>
  <si>
    <t>thé noir aromatisé</t>
  </si>
  <si>
    <t xml:space="preserve">Au terme de son Odyssée, ce thé noir qui a traversé l’océan s’est paré d’un voile de gourmandise pour mieux nous charmer. Les notes caramélisées du sarrasin grillé harmonieusement mêlées aux saveurs boisées du thé servent de fond aromatique à d’irrésistibles saveurs de bananes compotées. </t>
  </si>
  <si>
    <t>Ingrédients : thé noir*, sarrasin torréfié* 17%, arômes naturels de (banane* 6%, caramel* 3%, vanille*), feuilles de fraisier*, morceaux de banane* 1%. *Issu de l’agriculture biologique.</t>
  </si>
  <si>
    <t>TA7462</t>
  </si>
  <si>
    <t>3 -4</t>
  </si>
  <si>
    <t>ETNA746V5</t>
  </si>
  <si>
    <t>ETCNA7462V5</t>
  </si>
  <si>
    <t>Grand classique des thés verts de Chine, le Long Jing ou « Puit du dragon » se distingue par ses feuilles lisses et plates en forme de langue de moineau. Il offre en bouche une liqueur moelleuse dont le goût rappelle la châtaigne accompagnée de notes torréfiées caractéristiques.</t>
  </si>
  <si>
    <t>ETVN656V5</t>
  </si>
  <si>
    <t>ETCVN6562V5</t>
  </si>
  <si>
    <r>
      <t>TV</t>
    </r>
    <r>
      <rPr>
        <b/>
        <sz val="12"/>
        <color rgb="FFFF0000"/>
        <rFont val="Calibri"/>
        <family val="2"/>
        <scheme val="minor"/>
      </rPr>
      <t>4</t>
    </r>
    <r>
      <rPr>
        <b/>
        <sz val="12"/>
        <color theme="1"/>
        <rFont val="Calibri"/>
        <family val="2"/>
        <scheme val="minor"/>
      </rPr>
      <t>586</t>
    </r>
  </si>
  <si>
    <t>ETVN458FF22V5</t>
  </si>
  <si>
    <t>Cette recette de thé noir aux épices joliment agrémentée de fleurs a été créée autour du plus beau des sentiments : l'Amour. Prenez le temps de savourer les accords que distille cette composition originale avec, à la clé, de beaux moments de plénitude.</t>
  </si>
  <si>
    <t>Ingrédients : thé noir*, épices (cannelle*, gingembre*, clous de girofle*, poivre noir*, cardamome*) 17%, pétales de fleurs (rose*, mauve*, bleuet*, souci*) 4%. *Issu de l'agriculture biologique.</t>
  </si>
  <si>
    <t>ETNM010V5</t>
  </si>
  <si>
    <t>ETCNM0102V5</t>
  </si>
  <si>
    <t>Van Chan cooperative</t>
  </si>
  <si>
    <t>Fines "aiguilles vertes" printanières. Notes : bouquet d’herbes sauvages, minérales, beurrées.</t>
  </si>
  <si>
    <t>ETVN112FF22V5</t>
  </si>
  <si>
    <r>
      <t>Visez les étoiles avec ce mariage lumineux né de l’union des saveurs ensoleillées du rooibos et des notes gourmandes</t>
    </r>
    <r>
      <rPr>
        <sz val="8"/>
        <color theme="1"/>
        <rFont val="Calibri"/>
        <family val="2"/>
      </rPr>
      <t xml:space="preserve"> </t>
    </r>
    <r>
      <rPr>
        <sz val="12"/>
        <color rgb="FF000000"/>
        <rFont val="Calibri"/>
        <family val="2"/>
      </rPr>
      <t>d’une constellation de fruits et d’épices. Une composition chaleureuse et réconfortante qui évoque le sentiment de plaisir d’avoir les pieds sur terre et la tête dans les étoiles.</t>
    </r>
  </si>
  <si>
    <t xml:space="preserve">Ornée d’écorces d’orange et de fleurs de tournesol, cette recette à base de thé vert distille de lumineuses et chaleureuses notes de mandarine et de cannelle. Évoquant agréablement la magie de la Lumière d’Orient, elle accompagnera divinement vos soirées d'hiver. </t>
  </si>
  <si>
    <r>
      <t>Ingrédients : thé vert*, écorces d’orange*, huiles essentielles d'agrumes (orange douce*, citron*, mandarine*)</t>
    </r>
    <r>
      <rPr>
        <sz val="11"/>
        <rFont val="Calibri"/>
        <family val="2"/>
        <scheme val="minor"/>
      </rPr>
      <t xml:space="preserve"> </t>
    </r>
    <r>
      <rPr>
        <sz val="11"/>
        <rFont val="Calibri (Corps)"/>
      </rPr>
      <t>1%</t>
    </r>
    <r>
      <rPr>
        <sz val="11"/>
        <color theme="1"/>
        <rFont val="Calibri"/>
        <family val="2"/>
        <scheme val="minor"/>
      </rPr>
      <t>, morceaux de cannelle* 1%, extrait de cannelle* 0,5%, pétales de tournesol*.*Issu de l’agriculture biologique.</t>
    </r>
  </si>
  <si>
    <t>ETVA691V5</t>
  </si>
  <si>
    <t>ETCVA6912V5</t>
  </si>
  <si>
    <r>
      <t xml:space="preserve">Ingrédients : morceaux de fruits (pomme*, framboise* 4%), arômes naturels de (framboise* 14%, fraise*, cassis*), morceaux de betterave*, écorces d’églantine*, hibiscus*, réglisse* 5%, écorces d’orange*, groseilles*, feuilles de mûrier*, huile essentielle de citron*. *Issu de l’agriculture biologique. </t>
    </r>
    <r>
      <rPr>
        <i/>
        <sz val="11"/>
        <color rgb="FFFF0000"/>
        <rFont val="Calibri"/>
        <family val="2"/>
        <scheme val="minor"/>
      </rPr>
      <t>Contient de la réglisse, les personnes souffrant d’hypertension doivent éviter toute consommation excessive.</t>
    </r>
  </si>
  <si>
    <t>ETFA111V5</t>
  </si>
  <si>
    <t>Ce rooibos joliment agrémenté de pétales de bleuet, aux saveurs fruitées de myrtille et de framboise évoque toute la magie des bois. Une délicieuse balade gourmande vous attend, à boire en famille, chaude ou glacée !</t>
  </si>
  <si>
    <t>Ingrédients : rooibos*, arômes naturels de (myrtille*, framboise*) 13%, aronia*, pétales de bleuet*. *Issu de l'agriculture biologique.</t>
  </si>
  <si>
    <t>ETRA204V5</t>
  </si>
  <si>
    <t>ETCRA2042V5</t>
  </si>
  <si>
    <t>Sur la base d’un excellent thé noir ougandais, cette recette de thé noir tout en douceur est dédiée à nos “cousins” aussi malins qu'attachants. Ses saveurs de thym et de miel viennent agréablement surprendre le palais avant de laisser place à de délicieuses notes de figue dont raffolent les chimpanzés…</t>
  </si>
  <si>
    <t>ETNA737V5</t>
  </si>
  <si>
    <t>ETCNA7372V5</t>
  </si>
  <si>
    <t>Clin d'œil au son chaud et plaintif du saxophone d'Archie Shepp, cette recette savoureuse à base de rooibos a été créé pour vous faire frissonner de plaisir. Les notes délicates de la rose et vanillées de l’emblématique boisson sud-africaine forment des accords gourmands, harmonieux et envoûtants…</t>
  </si>
  <si>
    <t>ETRA227V5</t>
  </si>
  <si>
    <t>Allaitement &amp; Confort digestif
Carvi - Fenouil - Anis</t>
  </si>
  <si>
    <t xml:space="preserve">L’infusion de ce mariage de plantes réputées galactogènes est destinée à prendre soin des mamans qui font le choix de l'allaitement. Véritable concentré de douceur et tendresse, elle calme les spasmes musculaires tout en réconfortant les papilles avec ses notes anisées, rondes et sucrées. </t>
  </si>
  <si>
    <t>ETHN5300V5</t>
  </si>
  <si>
    <t>Ce thé vert fin de montagne est un classique des thés chinois réputé pour ses beaux bourgeons dont l’aspect duveteux évoque le « duvet d’un oiseau ». On l’apprécie pour ses saveurs fraîches, végétales et minérales accompagnées d’agréables notes florales et sucrées.</t>
  </si>
  <si>
    <t>ETVN116V5</t>
  </si>
  <si>
    <t>ETCVN1162V5</t>
  </si>
  <si>
    <t>Composé de petites feuilles torsadées et de bourgeons argentés à l’apparence de pointes duveteuses, ce célèbre thé vert chinois offre une tasse particulièrement séduisante. On apprécie son bouquet frais et printanier et sa liqueur aux saveurs végétales, sucrées et fruitées tout en délicatesse.</t>
  </si>
  <si>
    <t xml:space="preserve">Xuan En Yisheng Tea Cooperative </t>
  </si>
  <si>
    <t>ETVN117V5</t>
  </si>
  <si>
    <t>ETCVN1172V5</t>
  </si>
  <si>
    <t>Inspiré par une recette ayurvédique traditionnelle, ce Masala pour Tchaï est exclusivement composé d’épices. Les saveurs chaleureuses du mélange cardamome, cannelle, gingembre et poivre éveillent les sens et nous transportent au cœur de l’Inde.  Délicieux et envoûtant !</t>
  </si>
  <si>
    <r>
      <t>Ingrédients : cannelle</t>
    </r>
    <r>
      <rPr>
        <sz val="11"/>
        <color rgb="FFFF0000"/>
        <rFont val="Calibri"/>
        <family val="2"/>
        <scheme val="minor"/>
      </rPr>
      <t>*</t>
    </r>
    <r>
      <rPr>
        <sz val="11"/>
        <color theme="1"/>
        <rFont val="Calibri"/>
        <family val="2"/>
        <scheme val="minor"/>
      </rPr>
      <t>, gingembre</t>
    </r>
    <r>
      <rPr>
        <sz val="11"/>
        <color rgb="FFFF0000"/>
        <rFont val="Calibri"/>
        <family val="2"/>
        <scheme val="minor"/>
      </rPr>
      <t>*</t>
    </r>
    <r>
      <rPr>
        <sz val="11"/>
        <color theme="1"/>
        <rFont val="Calibri"/>
        <family val="2"/>
        <scheme val="minor"/>
      </rPr>
      <t>, poivre noir</t>
    </r>
    <r>
      <rPr>
        <sz val="11"/>
        <color rgb="FFFF0000"/>
        <rFont val="Calibri"/>
        <family val="2"/>
        <scheme val="minor"/>
      </rPr>
      <t>*</t>
    </r>
    <r>
      <rPr>
        <sz val="11"/>
        <color theme="1"/>
        <rFont val="Calibri"/>
        <family val="2"/>
        <scheme val="minor"/>
      </rPr>
      <t>, clous de girofle</t>
    </r>
    <r>
      <rPr>
        <sz val="11"/>
        <color rgb="FFFF0000"/>
        <rFont val="Calibri"/>
        <family val="2"/>
        <scheme val="minor"/>
      </rPr>
      <t>*</t>
    </r>
    <r>
      <rPr>
        <sz val="11"/>
        <color theme="1"/>
        <rFont val="Calibri"/>
        <family val="2"/>
        <scheme val="minor"/>
      </rPr>
      <t>, cardamome</t>
    </r>
    <r>
      <rPr>
        <sz val="11"/>
        <color rgb="FFFF0000"/>
        <rFont val="Calibri"/>
        <family val="2"/>
        <scheme val="minor"/>
      </rPr>
      <t>*</t>
    </r>
    <r>
      <rPr>
        <sz val="11"/>
        <color theme="1"/>
        <rFont val="Calibri"/>
        <family val="2"/>
        <scheme val="minor"/>
      </rPr>
      <t xml:space="preserve">. </t>
    </r>
    <r>
      <rPr>
        <sz val="11"/>
        <color rgb="FFFF0000"/>
        <rFont val="Calibri"/>
        <family val="2"/>
        <scheme val="minor"/>
      </rPr>
      <t>*Issu de l'agriculture biologique.</t>
    </r>
  </si>
  <si>
    <t>Inspired by a traditional Ayurvedic recipe, this Masala for chaï is made exclusively with spices. The warm flavours of the blend of cardamom, cinnamon, ginger and pepper awaken the senses and transport us to the heart of India.  Delicious and enchanting!</t>
  </si>
  <si>
    <t xml:space="preserve">Gaïa strong </t>
  </si>
  <si>
    <t>Ingredients: cinnamon*, ginger*, black pepper*, cloves*, cardamom*. *From organic farming.</t>
  </si>
  <si>
    <t>ETTM165V5</t>
  </si>
  <si>
    <t>ETCTM1652V5</t>
  </si>
  <si>
    <t>Ce Masala pour Tchaï, inspiré par une recette ayurvédique traditionnelle, est exclusivement composé d’épices. Les saveurs chaleureuses du mélange cardamome, cannelle, gingembre et poivre éveillent les sens et nous transportent au cœur de l’Inde.  Délicieux et envoûtant !</t>
  </si>
  <si>
    <t xml:space="preserve">Gaïa soft </t>
  </si>
  <si>
    <t>ETTM166V5</t>
  </si>
  <si>
    <t>ETCTM1662V5</t>
  </si>
  <si>
    <t>Le Masala Tchaï, préparation populaire à base de thé noir et d’épices, vous emmène au cœur de l'Inde et de ses coutumes. On apprécie ses saveurs chaudes et d’une grande richesse. Un régal pour les amateurs d'authenticité qui, traditionnellement, y ajoutent un peu de lait et du sucre.</t>
  </si>
  <si>
    <r>
      <rPr>
        <sz val="11"/>
        <rFont val="Calibri"/>
        <family val="2"/>
        <scheme val="minor"/>
      </rPr>
      <t>Ingrédients</t>
    </r>
    <r>
      <rPr>
        <sz val="11"/>
        <color rgb="FFFF0000"/>
        <rFont val="Calibri"/>
        <family val="2"/>
        <scheme val="minor"/>
      </rPr>
      <t xml:space="preserve"> : thé noir*, épices (gingembre*, cannelle*, cardamome*, clous de girofle*, poivre noir*) 39%. *Issu de l'agriculture biologique.  </t>
    </r>
  </si>
  <si>
    <r>
      <t>ETNA734</t>
    </r>
    <r>
      <rPr>
        <sz val="11"/>
        <color rgb="FFFF0000"/>
        <rFont val="Calibri"/>
        <family val="2"/>
        <scheme val="minor"/>
      </rPr>
      <t>V6</t>
    </r>
  </si>
  <si>
    <r>
      <t>ETCNA7342</t>
    </r>
    <r>
      <rPr>
        <sz val="11"/>
        <color rgb="FFFF0000"/>
        <rFont val="Calibri"/>
        <family val="2"/>
        <scheme val="minor"/>
      </rPr>
      <t>V6</t>
    </r>
  </si>
  <si>
    <t>ETCN2202V5</t>
  </si>
  <si>
    <t>ETCN2206V5</t>
  </si>
  <si>
    <t xml:space="preserve">Ce matcha de qualité premium a été produit de manière traditionnelle à partir de feuilles de tencha (thé brut ombré) dans la région de Kagoshima au sud du Japon. Il offre une mousse soyeuse, d’un vert lumineux, aux notes lactées et de fève de cacao particulièrement gourmandes. </t>
  </si>
  <si>
    <t>ETTUTJ0876V5</t>
  </si>
  <si>
    <t>Ce véritable matcha japonais produit de manière traditionnelle à partir de feuilles de thés ombrées « tencha » est une excellente introduction aux matcha de qualité supérieure. Sa poudre fine et régulière permet d’obtenir une liqueur onctueuse, fraîche et savoureuse aux notes herbacées typiques.</t>
  </si>
  <si>
    <t>ETTJ9056V5</t>
  </si>
  <si>
    <t>Dans cette tisane digestive, l'alliance de menthe et de réglisse apporte à la plus populaire boisson sud-américaine un zeste de fraîcheur et de rondeur. Les vertus digestives de la menthe et drainantes du maté sont particulièrement bienvenues en fin de repas. À savourer chaude ou glacée.</t>
  </si>
  <si>
    <t>ETMT302V5</t>
  </si>
  <si>
    <t>ETCMT3022V5</t>
  </si>
  <si>
    <t>L'alliance des notes fraîches et herbacées du maté avec les saveurs acidulées d'un "panier de fruits" offre une infusion particulièrement intense et gourmande. Cette boisson tonique et drainante est la promesse de moments savoureux tout en éloignant fatigue et kilos superflus…</t>
  </si>
  <si>
    <t>ETMT263V5</t>
  </si>
  <si>
    <t>ETCMT2632V5</t>
  </si>
  <si>
    <t>Le mariage gourmand des saveurs herbacées et légèrement amères du maté avec celles d'une "corbeille" de fruits rouges font le charme de cette infusion fraîche et fruitée. Tonique et drainante, elle est idéale pour éloigner la fatigue tout en gardant la ligne. À déguster chaude ou glacée.</t>
  </si>
  <si>
    <t>ETMT264V5</t>
  </si>
  <si>
    <t>ETCMT2642V5</t>
  </si>
  <si>
    <t>Le maté vert à la différence du maté classique n’a pas été affiné ce qui lui confère des saveurs moins amères. Frais et doux, il constitue une excellente porte d’entrée dans l’univers de la yerba maté. On l'apprécie pour son effet stimulant, drainant et son action positive sur le contrôle du poids.</t>
  </si>
  <si>
    <t>ETMT100V5</t>
  </si>
  <si>
    <t>ETCMT1002V5</t>
  </si>
  <si>
    <t xml:space="preserve">Relaxante &amp; Digestive  </t>
  </si>
  <si>
    <t>Source de bien-être depuis l'Antiquité, la mélisse est une plante vivace aux feuilles très parfumées dont l’infusion aide à se relaxer et retrouver son équilibre tout en améliorant les fonctions digestives. Ses saveurs à la fois douces et citronnées sont également très appréciées en cuisine.</t>
  </si>
  <si>
    <t>ETHN2080V5</t>
  </si>
  <si>
    <t>Ce thé noir issu d’une récolte estivale dans de petites parcelles d’altitude est tout en gourmandise. Ses feuilles libèrent un parfum cacaoté surprenant de puissance. En bouche, les notes végétales de bois de réglisse laissent place à de délicieux arômes évoquant le chocolat au lait et la vanille.</t>
  </si>
  <si>
    <t>ETNN416V5</t>
  </si>
  <si>
    <t>ETCNN4162V5</t>
  </si>
  <si>
    <t>L’infusion de menthe très appréciée en Orient et souvent associée à un thé vert se distingue par la fraîcheur et la tonicité de ses saveurs. En cuisine elle souvent utilisée pour parfumer une sauce ou une salade de fruits. Une tisane délicieuse aussi bien chaude que glacée, avec ou sans sucre !</t>
  </si>
  <si>
    <t>ETHN2000V5</t>
  </si>
  <si>
    <t xml:space="preserve">L'infusion de menthe poivrée aux saveurs toniques et légèrement épicées est un concentré de bienfaits. Particulièrement indiquée en fin de repas pour ses effets stimulants sur la sphère digestive, elle est aussi antispasmodique et apaisante et contribue à préserver l'équilibre nerveux en général. </t>
  </si>
  <si>
    <t>ETHN2090V5</t>
  </si>
  <si>
    <t>LES PRIMEURS</t>
  </si>
  <si>
    <t>ETNN203FF22V5</t>
  </si>
  <si>
    <t>ETCNN2032FF22V5</t>
  </si>
  <si>
    <t>Ces minis tuocha, fruits de la compression de feuilles de pu’er issues de théiers anciens sont particulièrement pratiques et faciles à vivre. À glisser dans sa poche ou dans un sac, pour apprécier leurs saveurs boisées et légèrement sucrées au bureau ou en rando à l’autre bout du monde.</t>
  </si>
  <si>
    <t>ETNN032V5</t>
  </si>
  <si>
    <t>ETCNN0322V5</t>
  </si>
  <si>
    <t>ETCNN0326V5</t>
  </si>
  <si>
    <t xml:space="preserve">Ce thé blanc compressé en une charmante petite galette est composé de bourgeons au duvet argenté et de jeunes feuilles tortueuses issues de théiers anciens. Original et rare, il offre une liqueur raffinée et douce, aux parfums floraux et aux saveurs végétales, fruitées et délicatement sucrées. </t>
  </si>
  <si>
    <t>ETBN720V5</t>
  </si>
  <si>
    <t>ETCBN720V5</t>
  </si>
  <si>
    <t>Darjeeling primeur d'exception fruit du savoir-faire et du terroir exceptionnel du jardin de Singell. Notes : herbes et fleurs sauvages, fruitées au nez avec une pointe acidulée de pomme verte en fin de bouche.</t>
  </si>
  <si>
    <t xml:space="preserve">Ce thé noir printanier de Singell est une ode à l’astre lunaire et son influence bénéfique sur les théiers. Sa liqueur lumineuse témoigne du grand savoir-faire du jardin. Elle offre des saveurs d’herbes et de fleurs sauvages suivies d’une finale acidulée d’une belle longueur en bouche. </t>
  </si>
  <si>
    <t>ETNN241FF22V5</t>
  </si>
  <si>
    <t>ETCNN2412FF22V5</t>
  </si>
  <si>
    <r>
      <t>Cultivées dans la magnifique région de Matsuzaki dans la péninsule d’Izu, ces feuilles de mûrier blanc (</t>
    </r>
    <r>
      <rPr>
        <i/>
        <sz val="11"/>
        <color theme="1"/>
        <rFont val="Calibri"/>
        <family val="2"/>
        <scheme val="minor"/>
      </rPr>
      <t>Morus alba</t>
    </r>
    <r>
      <rPr>
        <sz val="11"/>
        <color theme="1"/>
        <rFont val="Calibri"/>
        <family val="2"/>
        <scheme val="minor"/>
      </rPr>
      <t>) ont été transformées à la manière d’un sencha. Elles sont très appréciées au Japon pour leurs saveurs sucrées évoquant les fèves, accompagnées de jolies notes herbacées et épicées.</t>
    </r>
  </si>
  <si>
    <t>ETTUTJ2296V5</t>
  </si>
  <si>
    <t>A l’image d’un doux murmure de la forêt qui attire, cette recette de rooibos est riche en secrets gourmands. Laissez-vous séduire par la rencontre des saveurs fruitées, sucrées et légèrement acidulées d’une corbeille de fruits rouges avec les notes boisées de l’emblématique boisson sud-africaine.</t>
  </si>
  <si>
    <t>Like the gentle murmur of the beckoning forest, this rooibos recipe is rich in tasty secrets. Let yourself be seduced by the meeting of the fruity, sweet and slightly acid flavours of a basket of red fruits with the woody notes of the emblematic South African drink.</t>
  </si>
  <si>
    <t>ETRA215V5</t>
  </si>
  <si>
    <t>ETCRA2152V5</t>
  </si>
  <si>
    <t>destruction</t>
  </si>
  <si>
    <t>24320NR</t>
  </si>
  <si>
    <t>Inspirée par la féérie d’une neige immaculée aux premières lueurs d’une journée ensoleillée, cette recette colorée à base de thé blanc séduit autant les yeux que le palais. Les notes de fève tonka, d’agrumes et de vanille déploient toute leur gourmandise et sont une invitation à fondre de plaisir !</t>
  </si>
  <si>
    <r>
      <t>ET</t>
    </r>
    <r>
      <rPr>
        <sz val="11"/>
        <color rgb="FFFF0000"/>
        <rFont val="Calibri"/>
        <family val="2"/>
        <scheme val="minor"/>
      </rPr>
      <t>B</t>
    </r>
    <r>
      <rPr>
        <sz val="11"/>
        <color theme="1"/>
        <rFont val="Calibri"/>
        <family val="2"/>
        <scheme val="minor"/>
      </rPr>
      <t>A505V5</t>
    </r>
  </si>
  <si>
    <r>
      <t>ETC</t>
    </r>
    <r>
      <rPr>
        <sz val="11"/>
        <color rgb="FFFF0000"/>
        <rFont val="Calibri"/>
        <family val="2"/>
        <scheme val="minor"/>
      </rPr>
      <t>B</t>
    </r>
    <r>
      <rPr>
        <sz val="11"/>
        <color theme="1"/>
        <rFont val="Calibri"/>
        <family val="2"/>
        <scheme val="minor"/>
      </rPr>
      <t>A5056V5</t>
    </r>
  </si>
  <si>
    <t>Ce thé noir du Darjeeling est le fruit d’un mariage de plusieurs récoltes de printemps dont il exprime la vivacité et les fragrances magiques. Laissez-vous charmer par sa tasse lumineuse aux saveurs raffinées, fraîches et complexes qui évoquent les fruits rouges et la noisette.</t>
  </si>
  <si>
    <t>ETNN339V5</t>
  </si>
  <si>
    <t>ETCNN3392V5</t>
  </si>
  <si>
    <t>Fruit d’une récolte d’été sur les hauts plateaux de l’Himalaya, ce thé noir offre une belle concentration en bourgeons. Florale et sucrée au nez, sa liqueur particulièrement dense libère de délicieuses notes de cassonade et de miel. Un thé idéal pour découvrir l’originalité des thés noirs népalais.</t>
  </si>
  <si>
    <t>ETNN415V5</t>
  </si>
  <si>
    <t>ETCNN4152V5</t>
  </si>
  <si>
    <t>ETRA247V5N</t>
  </si>
  <si>
    <t>ETCRA2472V5N</t>
  </si>
  <si>
    <t>Noir du Laos</t>
  </si>
  <si>
    <t>Élaboré dans la province de Phongsaly au nord du Laos, ce thé noir issu de théiers anciens est composé de grandes feuilles émaillées de bourgeons dorés. Sa liqueur ambrée souple et aromatique offre des saveurs chocolatées et vanillées agréablement ponctuées par des notes fruitées d'agrumes.</t>
  </si>
  <si>
    <t>ETNN547V5</t>
  </si>
  <si>
    <t>ETCNN5472V5</t>
  </si>
  <si>
    <t xml:space="preserve">Drainante
Menthe poivrée - Maté - Thé - Ortie </t>
  </si>
  <si>
    <r>
      <t>Ingrédients : menthe poivrée* 25% (</t>
    </r>
    <r>
      <rPr>
        <i/>
        <sz val="11"/>
        <color theme="1"/>
        <rFont val="Calibri"/>
        <family val="2"/>
        <scheme val="minor"/>
      </rPr>
      <t>Mentha piperita</t>
    </r>
    <r>
      <rPr>
        <sz val="11"/>
        <color theme="1"/>
        <rFont val="Calibri"/>
        <family val="2"/>
        <scheme val="minor"/>
      </rPr>
      <t>), honeybush* (</t>
    </r>
    <r>
      <rPr>
        <i/>
        <sz val="11"/>
        <color theme="1"/>
        <rFont val="Calibri"/>
        <family val="2"/>
        <scheme val="minor"/>
      </rPr>
      <t>Cyclopia subternata</t>
    </r>
    <r>
      <rPr>
        <sz val="11"/>
        <color theme="1"/>
        <rFont val="Calibri"/>
        <family val="2"/>
        <scheme val="minor"/>
      </rPr>
      <t>), maté* 17% (</t>
    </r>
    <r>
      <rPr>
        <i/>
        <sz val="11"/>
        <color theme="1"/>
        <rFont val="Calibri"/>
        <family val="2"/>
        <scheme val="minor"/>
      </rPr>
      <t>Ilex paraguariensis</t>
    </r>
    <r>
      <rPr>
        <sz val="11"/>
        <color theme="1"/>
        <rFont val="Calibri"/>
        <family val="2"/>
        <scheme val="minor"/>
      </rPr>
      <t>), ortie* 13% (</t>
    </r>
    <r>
      <rPr>
        <i/>
        <sz val="11"/>
        <color theme="1"/>
        <rFont val="Calibri"/>
        <family val="2"/>
        <scheme val="minor"/>
      </rPr>
      <t>Urtica dioica</t>
    </r>
    <r>
      <rPr>
        <sz val="11"/>
        <color theme="1"/>
        <rFont val="Calibri"/>
        <family val="2"/>
        <scheme val="minor"/>
      </rPr>
      <t>), thé vert* 12% (</t>
    </r>
    <r>
      <rPr>
        <i/>
        <sz val="11"/>
        <color theme="1"/>
        <rFont val="Calibri"/>
        <family val="2"/>
        <scheme val="minor"/>
      </rPr>
      <t>Camellia sinensis</t>
    </r>
    <r>
      <rPr>
        <sz val="11"/>
        <color theme="1"/>
        <rFont val="Calibri"/>
        <family val="2"/>
        <scheme val="minor"/>
      </rPr>
      <t>), thé sombre pu'er* 8% (</t>
    </r>
    <r>
      <rPr>
        <i/>
        <sz val="11"/>
        <color theme="1"/>
        <rFont val="Calibri"/>
        <family val="2"/>
        <scheme val="minor"/>
      </rPr>
      <t>Camellia sinensis</t>
    </r>
    <r>
      <rPr>
        <sz val="11"/>
        <color theme="1"/>
        <rFont val="Calibri"/>
        <family val="2"/>
        <scheme val="minor"/>
      </rPr>
      <t>). *Issu de l'agriculture biologique.</t>
    </r>
  </si>
  <si>
    <r>
      <t>ETHM023</t>
    </r>
    <r>
      <rPr>
        <sz val="11"/>
        <color rgb="FFFF0000"/>
        <rFont val="Calibri"/>
        <family val="2"/>
        <scheme val="minor"/>
      </rPr>
      <t>2</t>
    </r>
    <r>
      <rPr>
        <sz val="11"/>
        <color theme="1"/>
        <rFont val="Calibri"/>
        <family val="2"/>
        <scheme val="minor"/>
      </rPr>
      <t>V5</t>
    </r>
  </si>
  <si>
    <r>
      <t>ETCHM023</t>
    </r>
    <r>
      <rPr>
        <sz val="11"/>
        <color rgb="FFFF0000"/>
        <rFont val="Calibri"/>
        <family val="2"/>
        <scheme val="minor"/>
      </rPr>
      <t>2</t>
    </r>
    <r>
      <rPr>
        <sz val="11"/>
        <color theme="1"/>
        <rFont val="Calibri"/>
        <family val="2"/>
        <scheme val="minor"/>
      </rPr>
      <t>V5</t>
    </r>
  </si>
  <si>
    <t>Agrumes</t>
  </si>
  <si>
    <t>Ce mariage des saveurs végétales du thé vert avec les saveurs fruitées et légèrement acidulées d’une association d’agrumes ne laisse pas indifférent. Un véritable océan de fraîcheur pour les papilles qui se déguste aussi bien en infusion chaude que glacée.</t>
  </si>
  <si>
    <t>Ingrédients : thé vert*, huiles essentielles d'agrumes (pamplemousse*, mandarine*, orange douce*, bergamote* et orange sanguine*) 3%, arôme naturel de citron vert* 1%, écorces d'orange* 1%, écorces de mandarine* 1%, pétales de bleuet bleu*. *Issu de l'agriculture biologique.</t>
  </si>
  <si>
    <t xml:space="preserve">Citrus </t>
  </si>
  <si>
    <t xml:space="preserve">Ingredients: green tea*, citrus essential oils (grapefruit*, mandarin*, sweet orange*, bergamot*, blood orange*) 3%, orange peels* 1%, mandarin peels* 1%, cornflower petals*. *From organic farming. </t>
  </si>
  <si>
    <t>ETVA692V5</t>
  </si>
  <si>
    <t>ETCVA6922V5</t>
  </si>
  <si>
    <t>Guzhang Gaofeng Organic Tea Association + Korakundah + Ban Lien</t>
  </si>
  <si>
    <t>24327V5</t>
  </si>
  <si>
    <t>Oceanic wulong</t>
  </si>
  <si>
    <t>wulong longuement cuit. Notes de fruits jaunes, raisin de Corinthe, noisette et croûte de pain grillé.</t>
  </si>
  <si>
    <t>Ce thé wulong de caractère reflète l'exceptionnelle richesse la région préservée de Waikato au nord de la Nouvelle-Zélande. Ses feuilles longuement cuites offrent une liqueur riche et dense dont les notes d’abricot, de raisin de Corinthe, de pain grillé et de fruits à coque sont irrésistibles.</t>
  </si>
  <si>
    <t>ETON120V5</t>
  </si>
  <si>
    <t>Ce thé vert joliment émaillé de pétales de tournesol, aux douces saveurs de fleurs de sureau et de poire, soutient la protection du courlis cendré, oiseau emblématique du Ried alsacien dont la courbe du bec rappelle la lune. Pour que son chant magique accompagne encore longtemps nos dégustations !</t>
  </si>
  <si>
    <t>ETVA616V5</t>
  </si>
  <si>
    <t>ETCVA6162V5</t>
  </si>
  <si>
    <t>Les nombreuses nuances des feuilles torsadées de l’Oriental Beauty donnent à ce célèbre thé wulong à l’oxydation prononcée, sa rare élégance. Très aromatique, il offre en bouche une liqueur souple aux saveurs miellées, fruitées accompagnées d’une petite touche cacaotée. Un thé de toute beauté !</t>
  </si>
  <si>
    <t>ETON417V5</t>
  </si>
  <si>
    <t>ETCON4172V5</t>
  </si>
  <si>
    <t>Parfois mal aimée pour son caractère un peu “piquant”, l’ortie délivre une infusion très agréable dont on apprécie l’onctuosité et les jolies notes lactées, sucrées et herbacées. Ses qualités drainantes en font une alliée précieuse pour soutenir les fonctions rénales. Une plante à redécouvrir…</t>
  </si>
  <si>
    <t>ETHN1870V5</t>
  </si>
  <si>
    <t>Par tous les temps vous pouvez compter sur cette tisane aux vertus fortifiantes. Son infusion légèrement épicée aux notes de menthe, de fenouil et de lavande facilite les fins de repas, permet un moment de détente récupérateur et de vivre les changements quotidiens plus sereinement.</t>
  </si>
  <si>
    <t>L’onctuosité et la chaleur du cacao mêlée à la richesse aromatique des épices font merveille dans cette infusion. Une recette originale et si gourmande qu'elle procure une délicieuse sensation d'euphorie dès les premières gorgées.</t>
  </si>
  <si>
    <r>
      <t>Ingrédients : écorces de cacao* 72% (</t>
    </r>
    <r>
      <rPr>
        <i/>
        <sz val="11"/>
        <color theme="1"/>
        <rFont val="Calibri"/>
        <family val="2"/>
        <scheme val="minor"/>
      </rPr>
      <t>Theobroma cacao</t>
    </r>
    <r>
      <rPr>
        <sz val="11"/>
        <color theme="1"/>
        <rFont val="Calibri"/>
        <family val="2"/>
        <scheme val="minor"/>
      </rPr>
      <t>), fenouil* (</t>
    </r>
    <r>
      <rPr>
        <i/>
        <sz val="11"/>
        <color theme="1"/>
        <rFont val="Calibri"/>
        <family val="2"/>
        <scheme val="minor"/>
      </rPr>
      <t>Foeniculum vulgare</t>
    </r>
    <r>
      <rPr>
        <sz val="11"/>
        <color theme="1"/>
        <rFont val="Calibri"/>
        <family val="2"/>
        <scheme val="minor"/>
      </rPr>
      <t>), réglisse* (</t>
    </r>
    <r>
      <rPr>
        <i/>
        <sz val="11"/>
        <color theme="1"/>
        <rFont val="Calibri"/>
        <family val="2"/>
        <scheme val="minor"/>
      </rPr>
      <t>Glycyrrhizza glabra</t>
    </r>
    <r>
      <rPr>
        <sz val="11"/>
        <color theme="1"/>
        <rFont val="Calibri"/>
        <family val="2"/>
        <scheme val="minor"/>
      </rPr>
      <t>), fèves tonka* (</t>
    </r>
    <r>
      <rPr>
        <i/>
        <sz val="11"/>
        <color theme="1"/>
        <rFont val="Calibri"/>
        <family val="2"/>
        <scheme val="minor"/>
      </rPr>
      <t>Dipterix odorata</t>
    </r>
    <r>
      <rPr>
        <sz val="11"/>
        <color theme="1"/>
        <rFont val="Calibri"/>
        <family val="2"/>
        <scheme val="minor"/>
      </rPr>
      <t>), pétales de souci* (</t>
    </r>
    <r>
      <rPr>
        <i/>
        <sz val="11"/>
        <color theme="1"/>
        <rFont val="Calibri"/>
        <family val="2"/>
        <scheme val="minor"/>
      </rPr>
      <t>Calendula officinalis</t>
    </r>
    <r>
      <rPr>
        <sz val="11"/>
        <color theme="1"/>
        <rFont val="Calibri"/>
        <family val="2"/>
        <scheme val="minor"/>
      </rPr>
      <t xml:space="preserve">). *Issu de l’agriculture biologique. </t>
    </r>
    <r>
      <rPr>
        <i/>
        <sz val="12"/>
        <color theme="1"/>
        <rFont val="Calibri"/>
        <family val="2"/>
        <scheme val="minor"/>
      </rPr>
      <t>Contient de la réglisse : les personnes souffrant d'hypertension doivent éviter toute consommation excessive.</t>
    </r>
  </si>
  <si>
    <t>ETHM018V5</t>
  </si>
  <si>
    <t>Ce mariage de la fraîcheur du thé vert avec le velouté de la vanille et l’arôme délicat et sucré de la mandarine a comme un avant-goût de paradis. Fermez les yeux et laisser vous transporter vers des contrées gourmandes où tout n’est que saveurs, luxe, calme et volupté…</t>
  </si>
  <si>
    <t>ETVA688V5</t>
  </si>
  <si>
    <t>ETCVA6882V5</t>
  </si>
  <si>
    <t>Ce thé vert à la menthe est idéal pour partager un instant de convivialité. Retrouvez l’ambiance unique des médinas en savourant les charmes de la boisson typique d’Afrique du Nord.</t>
  </si>
  <si>
    <t>ETVM693V5</t>
  </si>
  <si>
    <t>ETCVM6932V5</t>
  </si>
  <si>
    <t>Huile essentielle d'orange - Réglisse - Cacao</t>
  </si>
  <si>
    <t>Il y a comme un parfum de résistance dans cette farandole de saveurs qui entourent ce thé noir issu de théiers anciens. Cacao, réglisse et orange, cette boisson est autant une fête pour les papilles qu’une source d’inspiration et de motivation pour toujours agir en respectant la vie qui nous entoure.</t>
  </si>
  <si>
    <t>ETNA741V5</t>
  </si>
  <si>
    <t>ETCNA7412V5</t>
  </si>
  <si>
    <t xml:space="preserve">Comme un parfum de soleil, ce rooibos associe la chaleur de ses origines au velouté de la pêche et aux notes acidulées de l’abricot. Pour une pause fruitée qui évoque à chaque gorgée la douceur des beaux jours. </t>
  </si>
  <si>
    <t xml:space="preserve">Ingrédients : rooibos*, arômes naturels de (pêche*, abricot*) 8%, morceaux de fruits (abricot*, pêche*) 1%, pétales de souci*. *Issu de l'agriculture biologique. </t>
  </si>
  <si>
    <t>ETRA210V5</t>
  </si>
  <si>
    <t>ETCRA2102V5</t>
  </si>
  <si>
    <t>Ce mariage chaleureux et gourmand de rooibos et de vanille est une invitation à prendre le large et rêver d’îles lointaines et de moments suaves et ensoleillés… Sans théine, il se partage en famille. À déguster idéalement sur un air de ukulélé !</t>
  </si>
  <si>
    <t>ETRA203V5</t>
  </si>
  <si>
    <t>ETCRA2032V5</t>
  </si>
  <si>
    <t>Cette galette de pu’er cru a été confectionnée pour fêter nos 25 ans à partir d’une sélection spéciale de feuilles printanières récoltées en 2018, sur des théiers anciens de Lincang. Ses notes jeunes et fruitées évolueront lentement vers les arômes tertiaires typiques des vieux pu’er. Un collector !</t>
  </si>
  <si>
    <t>ETVN0025V5</t>
  </si>
  <si>
    <t>Laissez-vous tenter par ce péché gourmand né de la rencontre des saveurs rondes et fruitées d’un thé noir indien avec les notes onctueuses et sucrées du caramel. Une irrésistible tentation à déguster et partager sans culpabilité tout au long de la journée…</t>
  </si>
  <si>
    <t>ETNA706V5</t>
  </si>
  <si>
    <t>ETCNA7062V5</t>
  </si>
  <si>
    <t>Ce clin d’œil gourmand au célèbre dessert associe la fraîcheur du thé vert, le velouté de la pêche, les notes acidulées de la framboise et la douceur de la vanille. Une recette à la saveur intense et longue en bouche, à déguster chaude ou glacée. Irrésistible !</t>
  </si>
  <si>
    <t>Ingrédients : thé vert*, arômes naturels de (pêche* 4%, framboise* 2%, fraise*), morceaux de fruits (pêche*, framboise*) 3%, extrait de vanille* 2%. *Issu de l’agriculture biologique.</t>
  </si>
  <si>
    <t>ETVA687V5</t>
  </si>
  <si>
    <t>ETCVA6872V5</t>
  </si>
  <si>
    <t>Cette recette qui marie la fraîcheur du thé vert aux saveurs suaves et tendres de la pêche et de l’abricot a comme un avant-goût d’été. Elle évoque des moments délicieux, partagés autour d’une bonne salade de fruits par une belle journée ensoleillée...</t>
  </si>
  <si>
    <t>Ingrédients : thé vert*, arômes naturels de (pêche*, abricot*) 8%, morceaux de fruits (pêche*, abricot*) 2%, pétales de souci*. *Issu de l'agriculture biologique.</t>
  </si>
  <si>
    <t>ETVA684V5</t>
  </si>
  <si>
    <t>ETCVA684V5</t>
  </si>
  <si>
    <t>Perles du Laos</t>
  </si>
  <si>
    <t>Composé de nombreux bourgeons dorés joliment ourlés, ce thé noir du Laos aux parfums chocolatés est tout en gourmandise. Sa liqueur dense et cuivrée enveloppe délicieusement le palais avec ses notes de fruits cuits, de miel de fleurs sauvages, de cannelle, de crème brûlée vanillée… Enivrant !</t>
  </si>
  <si>
    <t>ETNN548V5</t>
  </si>
  <si>
    <t>ETCNN5482V5</t>
  </si>
  <si>
    <t>L’union des saveurs fruitées et ensoleillées de la bergamote et d'un thé noir fumé de manière subtile, sur un lit de pétales de roses, est une invitation au rêve, celui de la Perse éternelle des grands poètes. Un thé né pour célébrer l’amour et la beauté des mots pour le décrire.</t>
  </si>
  <si>
    <t>ETNA732V5</t>
  </si>
  <si>
    <t>ETCNA7322V5</t>
  </si>
  <si>
    <t>Feuilles de mûrier - menthe poivrée - feuilles de framboisier</t>
  </si>
  <si>
    <t>Cette infusion est la compagne idéale d’un petit déjeuner sain et équilibré ! Tout en fraîcheur, ses notes légèrement mentholées sont la clé d’un réveil en douceur pour démarrer la journée du bon pied.</t>
  </si>
  <si>
    <r>
      <t xml:space="preserve">Ingrédients : feuilles de mûrier* </t>
    </r>
    <r>
      <rPr>
        <i/>
        <sz val="12"/>
        <color theme="1"/>
        <rFont val="Calibri"/>
        <family val="2"/>
        <scheme val="minor"/>
      </rPr>
      <t xml:space="preserve">(Rubus fruticosus) </t>
    </r>
    <r>
      <rPr>
        <sz val="12"/>
        <color theme="1"/>
        <rFont val="Calibri"/>
        <family val="2"/>
        <scheme val="minor"/>
      </rPr>
      <t>30%</t>
    </r>
    <r>
      <rPr>
        <sz val="11"/>
        <color theme="1"/>
        <rFont val="Calibri"/>
        <family val="2"/>
        <scheme val="minor"/>
      </rPr>
      <t xml:space="preserve">, menthe poivrée* </t>
    </r>
    <r>
      <rPr>
        <i/>
        <sz val="12"/>
        <color theme="1"/>
        <rFont val="Calibri"/>
        <family val="2"/>
        <scheme val="minor"/>
      </rPr>
      <t xml:space="preserve">(Mentha piperita) </t>
    </r>
    <r>
      <rPr>
        <sz val="12"/>
        <color theme="1"/>
        <rFont val="Calibri"/>
        <family val="2"/>
        <scheme val="minor"/>
      </rPr>
      <t>30%</t>
    </r>
    <r>
      <rPr>
        <sz val="11"/>
        <color theme="1"/>
        <rFont val="Calibri"/>
        <family val="2"/>
        <scheme val="minor"/>
      </rPr>
      <t xml:space="preserve">, feuilles de framboisier* </t>
    </r>
    <r>
      <rPr>
        <i/>
        <sz val="12"/>
        <color theme="1"/>
        <rFont val="Calibri"/>
        <family val="2"/>
        <scheme val="minor"/>
      </rPr>
      <t xml:space="preserve">(Rubus idaeus) </t>
    </r>
    <r>
      <rPr>
        <sz val="12"/>
        <color theme="1"/>
        <rFont val="Calibri"/>
        <family val="2"/>
        <scheme val="minor"/>
      </rPr>
      <t>20%</t>
    </r>
    <r>
      <rPr>
        <sz val="11"/>
        <color theme="1"/>
        <rFont val="Calibri"/>
        <family val="2"/>
        <scheme val="minor"/>
      </rPr>
      <t xml:space="preserve">, feuilles de fraisier* </t>
    </r>
    <r>
      <rPr>
        <i/>
        <sz val="12"/>
        <color theme="1"/>
        <rFont val="Calibri"/>
        <family val="2"/>
        <scheme val="minor"/>
      </rPr>
      <t>(Fragaria vescae),</t>
    </r>
    <r>
      <rPr>
        <sz val="11"/>
        <color theme="1"/>
        <rFont val="Calibri"/>
        <family val="2"/>
        <scheme val="minor"/>
      </rPr>
      <t xml:space="preserve"> pétales de souci* </t>
    </r>
    <r>
      <rPr>
        <i/>
        <sz val="12"/>
        <color theme="1"/>
        <rFont val="Calibri"/>
        <family val="2"/>
        <scheme val="minor"/>
      </rPr>
      <t>(Calendula officinalis)</t>
    </r>
    <r>
      <rPr>
        <sz val="11"/>
        <color theme="1"/>
        <rFont val="Calibri"/>
        <family val="2"/>
        <scheme val="minor"/>
      </rPr>
      <t xml:space="preserve">, pétales de bleuet* </t>
    </r>
    <r>
      <rPr>
        <i/>
        <sz val="12"/>
        <color theme="1"/>
        <rFont val="Calibri"/>
        <family val="2"/>
        <scheme val="minor"/>
      </rPr>
      <t>(Centaurea cyanus)</t>
    </r>
    <r>
      <rPr>
        <sz val="11"/>
        <color theme="1"/>
        <rFont val="Calibri"/>
        <family val="2"/>
        <scheme val="minor"/>
      </rPr>
      <t>. *Issu de l'agriculture biologique.</t>
    </r>
  </si>
  <si>
    <t>ETHN5010V5</t>
  </si>
  <si>
    <t xml:space="preserve">C’est au cœur des montagnes du nord-est du Vietnam que ce thé vert issu de théiers anciens est né. Ses feuilles, aux nombreuses nuances vertes, libèrent une infusion couleur pêche aux notes végétales et florales. Doux et frais, ce thé laisse d’agréables empreintes fruitées sur le palais. </t>
  </si>
  <si>
    <t>ETVN431V5</t>
  </si>
  <si>
    <t>ETCVN4312V5</t>
  </si>
  <si>
    <t>Les bourgeons duvetés de ce thé wulong ont été habilement façonnés pour qu’ils laissent lentement s’épanouir la fleur gracieuse qu’ils dissimulent. Une éclosion qui donne naissance à une infusion claire, soyeuse, aux douces saveurs de fleurs sauvages. Un instant de poésie à savourer…</t>
  </si>
  <si>
    <r>
      <t xml:space="preserve">Ingrédients : thé wulong**, fleurs d'amarante* 4%. *Issu de l'agriculture biologique. **Issu de l'agriculture biologique et biodynamique. </t>
    </r>
    <r>
      <rPr>
        <b/>
        <i/>
        <sz val="11"/>
        <color theme="1"/>
        <rFont val="Calibri"/>
        <family val="2"/>
        <scheme val="minor"/>
      </rPr>
      <t>demeter</t>
    </r>
    <r>
      <rPr>
        <sz val="11"/>
        <color theme="1"/>
        <rFont val="Calibri"/>
        <family val="2"/>
        <scheme val="minor"/>
      </rPr>
      <t xml:space="preserve"> est </t>
    </r>
    <r>
      <rPr>
        <sz val="11"/>
        <color rgb="FFFF0000"/>
        <rFont val="Calibri"/>
        <family val="2"/>
        <scheme val="minor"/>
      </rPr>
      <t>le label des produits issus de l'agriculture biodynamique.</t>
    </r>
  </si>
  <si>
    <t>Ce rooibos gorgé de soleil, qui met en valeur la gourmandise et l’évidence de l’accord poire-cacao fait ouvertement référence aux délicieuses sensations que procure la dégustation d’une poire Belle-Hélène. Un clin d’œil au célèbre dessert qui enchantera petits et grands !</t>
  </si>
  <si>
    <t>ETRA237V5N</t>
  </si>
  <si>
    <t>Festive et originale, cette composition gourmande à base de thé vert met à l’honneur la pomme rouge qui décorait traditionnellement les sapins de Noël. Ses saveurs rondes et légèrement acidulées sont délicieusement accompagnées par les notes chaudes et anisées de la badiane.</t>
  </si>
  <si>
    <t>ETNA745V5</t>
  </si>
  <si>
    <t>China</t>
  </si>
  <si>
    <r>
      <t xml:space="preserve">Ingrédients : rooibos*, épices (cannelle*, gingembre*, poivre*, clous de girofle*) 14,5%, fruits (écorces d'orange* 2,5%, pomme*, églantine*), huile essentielle d'orange douce* 2%, arômes naturels de (pomme*, </t>
    </r>
    <r>
      <rPr>
        <b/>
        <sz val="12"/>
        <color theme="1"/>
        <rFont val="Calibri"/>
        <family val="2"/>
        <scheme val="minor"/>
      </rPr>
      <t>amande</t>
    </r>
    <r>
      <rPr>
        <sz val="12"/>
        <color theme="1"/>
        <rFont val="Calibri"/>
        <family val="2"/>
        <scheme val="minor"/>
      </rPr>
      <t xml:space="preserve">*, fraise*), hibiscus*, </t>
    </r>
    <r>
      <rPr>
        <b/>
        <sz val="12"/>
        <color theme="1"/>
        <rFont val="Calibri"/>
        <family val="2"/>
        <scheme val="minor"/>
      </rPr>
      <t>amandes</t>
    </r>
    <r>
      <rPr>
        <sz val="12"/>
        <color theme="1"/>
        <rFont val="Calibri"/>
        <family val="2"/>
        <scheme val="minor"/>
      </rPr>
      <t xml:space="preserve"> </t>
    </r>
    <r>
      <rPr>
        <b/>
        <sz val="12"/>
        <color theme="1"/>
        <rFont val="Calibri"/>
        <family val="2"/>
        <scheme val="minor"/>
      </rPr>
      <t>effilées</t>
    </r>
    <r>
      <rPr>
        <sz val="12"/>
        <color theme="1"/>
        <rFont val="Calibri"/>
        <family val="2"/>
        <scheme val="minor"/>
      </rPr>
      <t>*, extrait de cannelle* 0,5%. *Issu de l'agriculture biologique.</t>
    </r>
  </si>
  <si>
    <t xml:space="preserve">Starlight </t>
  </si>
  <si>
    <t>Orange - Spices</t>
  </si>
  <si>
    <t>Aim for the stars with this luminous blend, born from the union of the sunny flavours of rooibos and the gourmand notes of a constellation of fruits and spices. A warm, comforting composition that evokes the pleasurable feeling of having your feet on the ground and your head in the stars.</t>
  </si>
  <si>
    <t>24345NRV5</t>
  </si>
  <si>
    <t xml:space="preserve">Ingredients: black tea *, spices (ginger*, cinnamon*, cardamom*, cloves*, black pepper*) 39%. *From organic farming. </t>
  </si>
  <si>
    <r>
      <t xml:space="preserve">Ingredient: green mate* </t>
    </r>
    <r>
      <rPr>
        <i/>
        <sz val="12"/>
        <color theme="1"/>
        <rFont val="Calibri"/>
        <family val="2"/>
        <scheme val="minor"/>
      </rPr>
      <t>(Ilex paraguariensis)</t>
    </r>
    <r>
      <rPr>
        <sz val="11"/>
        <color theme="1"/>
        <rFont val="Calibri"/>
        <family val="2"/>
        <scheme val="minor"/>
      </rPr>
      <t xml:space="preserve">. *From organic farming. </t>
    </r>
  </si>
  <si>
    <t>Vanilla</t>
  </si>
  <si>
    <t>This recipe for black tea with spices and flowers has been created around the most beautiful of feelings: Love. Take the time to savour the harmonies distilled by this original composition, and the result will be beautiful moments of plenitude.</t>
  </si>
  <si>
    <t>Spices - Flowers</t>
  </si>
  <si>
    <t xml:space="preserve">Ingredients: black tea*, spices (cinnamon*, ginger*, cloves*, black pepper*, cardamom*) 17%, flower petals (rose*, mallow*, cornflower*, marigold*) 4%. *From organic farming. </t>
  </si>
  <si>
    <t>TYPE DE THE EN</t>
  </si>
  <si>
    <t>TEXTE ASSOCIATION LES ENGAGES</t>
  </si>
  <si>
    <t>Code étiquette EXPORT</t>
  </si>
  <si>
    <t>Code contre-étiquette EXPORT</t>
  </si>
  <si>
    <t>Hojicha is a roasted green tea made from stems and leaves, whose infusion releases an amber brew with a warm, toasty aroma and a slightly sweet, nutty flavour. This everyday tea reputed to be low in theine is particularly appreciated in Japan together with a meal.</t>
  </si>
  <si>
    <t xml:space="preserve">Organic Roasted Green Tea </t>
  </si>
  <si>
    <t>Mango - Ginger</t>
  </si>
  <si>
    <t>Ingredients: green tea*, natural (mango* 4%, peach*) flavourings, ginger pieces* 4%, mango pieces* 3%, guarana*, orange peels*, white ginseng*, lemon essential oil*. *From organic farming.</t>
  </si>
  <si>
    <t>Communicative and festive, this green tea-based recipe is just like the association for which it was created! With an explosive base of ginger, guarana and ginseng, it unfurls a beautiful palette of warm, lively and deliciously fruity aromas. Let the party begin!</t>
  </si>
  <si>
    <t>TEXTE PRESENTATION JDG</t>
  </si>
  <si>
    <t>Sunshine in the snow</t>
  </si>
  <si>
    <t>ETVN649V5EN</t>
  </si>
  <si>
    <t>ETCVN6492V5EN</t>
  </si>
  <si>
    <t>Moon bird</t>
  </si>
  <si>
    <t>ETVA616V5EN</t>
  </si>
  <si>
    <t>ETCVA6162V5EN</t>
  </si>
  <si>
    <t>ETVA675V5EN</t>
  </si>
  <si>
    <t>ETCVA6752V5EN</t>
  </si>
  <si>
    <t>ETVA682V5EN</t>
  </si>
  <si>
    <t>ETCVA6822V5EN</t>
  </si>
  <si>
    <t>ETVA692V5EN</t>
  </si>
  <si>
    <t>ETCVA6922V5EN</t>
  </si>
  <si>
    <t>Ginger - Verbena</t>
  </si>
  <si>
    <t>ETVM201V5EN</t>
  </si>
  <si>
    <t>ETCVM2012V5EN</t>
  </si>
  <si>
    <t>ETVM693V5EN</t>
  </si>
  <si>
    <t>ETCVM6932V5EN</t>
  </si>
  <si>
    <t>Raspberry - Vanilla flavour</t>
  </si>
  <si>
    <t>ETOA902V5EN</t>
  </si>
  <si>
    <t>ETCOA9026V5EN</t>
  </si>
  <si>
    <t>ETNN229V5EN</t>
  </si>
  <si>
    <t>ETCNN2292V5EN</t>
  </si>
  <si>
    <t>ETNN403V5EN</t>
  </si>
  <si>
    <t>ETCNN4032V5EN</t>
  </si>
  <si>
    <t>ETNM734V5EN</t>
  </si>
  <si>
    <t>ECNM7342V5EN</t>
  </si>
  <si>
    <t>Rendezvous</t>
  </si>
  <si>
    <t>ETTM166V5EN</t>
  </si>
  <si>
    <t>ETCTM1662V5EN</t>
  </si>
  <si>
    <t>ETMT302V5EN</t>
  </si>
  <si>
    <t>ETCMT3022V5EN</t>
  </si>
  <si>
    <t>ETMT100V5EN</t>
  </si>
  <si>
    <t>ETCMT1002V5EN</t>
  </si>
  <si>
    <t>Blushy Fruit</t>
  </si>
  <si>
    <t>ETFA122V5EN</t>
  </si>
  <si>
    <t>ETCFA1222V5EN</t>
  </si>
  <si>
    <t>ETHN522V5EN</t>
  </si>
  <si>
    <t>ETCHN5226V5EN</t>
  </si>
  <si>
    <t>ETRA209V5EN</t>
  </si>
  <si>
    <t>ETCRA2092V5EN</t>
  </si>
  <si>
    <t>Sachet format volumineux</t>
  </si>
  <si>
    <t>Revitalizing</t>
  </si>
  <si>
    <t>ETTH150V5EN</t>
  </si>
  <si>
    <t>ETCTH1502V5EN</t>
  </si>
  <si>
    <t>ETTH063V5EN</t>
  </si>
  <si>
    <t>ETCTH0632V5EN</t>
  </si>
  <si>
    <t>Honey flavour - Fig - Thyme</t>
  </si>
  <si>
    <t>Sachet format GC SA9205</t>
  </si>
  <si>
    <t>CODE PF EXPORT ANGLAIS</t>
  </si>
  <si>
    <t>EXPORT
ANGLAIS</t>
  </si>
  <si>
    <t>SOUS DES DE</t>
  </si>
  <si>
    <t>LISTE INGREDIENTS DE</t>
  </si>
  <si>
    <t>SOUS DES IT</t>
  </si>
  <si>
    <t>LISTE INGREDIENTS IT</t>
  </si>
  <si>
    <t>SOUS DES NL</t>
  </si>
  <si>
    <t>LISTE D'INGREDIENTS NL</t>
  </si>
  <si>
    <t>POIDS NET oz</t>
  </si>
  <si>
    <t>South Africa - Western Cape</t>
  </si>
  <si>
    <t>A shrub endemic to South Africa, honeybush, a cousin of rooibos, follows a similar production process. Its golden-coloured infusion is characterized by intense floral aromas and complex, sweet mountain honey flavours. A treat for the taste buds!</t>
  </si>
  <si>
    <t>Ingredient: honeybush*. *From organic farming.</t>
  </si>
  <si>
    <t>Honeybush - Cardamom</t>
  </si>
  <si>
    <t>A comforting break after a walk, this herbal tea with its honeyed, lemony flavours, accompanied by notes of cardamom and anise, has the softness of a caress... Dedicated to everyday adventurers, it makes the pleasure of returning to one's cocoon irresistible.</t>
  </si>
  <si>
    <t>Japan - Kagoshima</t>
  </si>
  <si>
    <t>Brazil</t>
  </si>
  <si>
    <t>Spicy mate</t>
  </si>
  <si>
    <t>This infusion of mate, mint and spices with sweet aniseed notes makes a particularly original and fresh drink. Stimulating, easily digested and cleansing, it makes it easy to control your weight and keep your energy up throughout the day.</t>
  </si>
  <si>
    <r>
      <t>Ingredients: green mate* (</t>
    </r>
    <r>
      <rPr>
        <i/>
        <sz val="11"/>
        <color theme="1"/>
        <rFont val="Calibri"/>
        <family val="2"/>
        <scheme val="minor"/>
      </rPr>
      <t>Ilex paraguariensis</t>
    </r>
    <r>
      <rPr>
        <sz val="11"/>
        <color theme="1"/>
        <rFont val="Calibri"/>
        <family val="2"/>
        <scheme val="minor"/>
      </rPr>
      <t>), spices (caraway*, fennel*, anise*, peppermint*, coriander*) 48%. *From organic farming.</t>
    </r>
  </si>
  <si>
    <t>Fruity mate</t>
  </si>
  <si>
    <t>Stimulating &amp; Cleansing 
Citrus Flavour</t>
  </si>
  <si>
    <t>The combination of the fresh, herbaceous notes of mate with the tangy flavours of a "fruit basket" creates a particularly intense, gourmet infusion. This invigorating, cleansing drink promises tasty moments while keeping fatigue and excess weight at bay...</t>
  </si>
  <si>
    <r>
      <t>Ingredients: green mate* (</t>
    </r>
    <r>
      <rPr>
        <i/>
        <sz val="11"/>
        <color theme="1"/>
        <rFont val="Calibri"/>
        <family val="2"/>
        <scheme val="minor"/>
      </rPr>
      <t>Ilex paraguariensis</t>
    </r>
    <r>
      <rPr>
        <sz val="11"/>
        <color theme="1"/>
        <rFont val="Calibri"/>
        <family val="2"/>
        <scheme val="minor"/>
      </rPr>
      <t>) 76%, apple pieces*, orange peels* 5%, rosehip*, essential oils (lemon*, sweet orange*, mandarin*) 5%.*From organic farming.</t>
    </r>
  </si>
  <si>
    <t>Redberries Mate</t>
  </si>
  <si>
    <t>Stimulating &amp; Cleansing Strawberry - Raspberry - Blueberry flavour</t>
  </si>
  <si>
    <t>The sweet marriage of the herbaceous, slightly bitter flavours of mate with those of a "basket" of red berries make this fresh, fruity infusion so charming. Tonic and cleansing, it's ideal for warding off fatigue while staying fit. Enjoy hot or iced.</t>
  </si>
  <si>
    <r>
      <t>Ingredients: green mate* (</t>
    </r>
    <r>
      <rPr>
        <i/>
        <sz val="11"/>
        <color theme="1"/>
        <rFont val="Calibri"/>
        <family val="2"/>
        <scheme val="minor"/>
      </rPr>
      <t>Ilex paraguariensis</t>
    </r>
    <r>
      <rPr>
        <sz val="11"/>
        <color theme="1"/>
        <rFont val="Calibri"/>
        <family val="2"/>
        <scheme val="minor"/>
      </rPr>
      <t>) 87%, natural (raspberry* 3%, blackcurrent*, blueberry* 2%, strawberry* 1%, blackberry*) flavourings, fruits pieces (strawberry*, raspberry*) 2%, aronia*, amaranth*. *From organic farming.</t>
    </r>
  </si>
  <si>
    <t>Mate digest</t>
  </si>
  <si>
    <t>Digestion Mint</t>
  </si>
  <si>
    <t>India</t>
  </si>
  <si>
    <t>Ingredients: white tea*, natural (raspberry* 7%, elderflower*) flavourings, raspberry pieces* 3%, flower petals (rose*, mallow*, lavender*, marigold*, sunflower*, cornflower*) , lemon peels* 1%, lemon essential oil* 0,3%. * From organic farming.</t>
  </si>
  <si>
    <t>Tonka bean - Citrus essential oils</t>
  </si>
  <si>
    <t>Ingredients: white tea*, tonka bean* 13%, mandarin peels* 6%, pink berries*, rose petals*, vanilla extract*, citrus essential oils (orange*, bergamot*) 3%, marigold petals*, amaranth petals*. *From organic farming.</t>
  </si>
  <si>
    <t>Christmas apple / Star apple</t>
  </si>
  <si>
    <t>Festive and original, this green tea-based mouth-watering composition honours the red apple that traditionally decorated Christmas trees. Its round, slightly tart flavours match perfectly with the warm, aniseed notes of star anise.</t>
  </si>
  <si>
    <t>The hedgehog's walk</t>
  </si>
  <si>
    <r>
      <rPr>
        <b/>
        <sz val="11"/>
        <color theme="1"/>
        <rFont val="Calibri"/>
        <family val="2"/>
        <scheme val="minor"/>
      </rPr>
      <t>Hazelnut</t>
    </r>
    <r>
      <rPr>
        <sz val="11"/>
        <color theme="1"/>
        <rFont val="Calibri"/>
        <family val="2"/>
        <scheme val="minor"/>
      </rPr>
      <t xml:space="preserve"> - Blackberry flavour</t>
    </r>
  </si>
  <si>
    <t>India - China - Vietnam</t>
  </si>
  <si>
    <t>This recipe, based on green and black teas, invites your taste buds to travel through the wild and fruity lands that our little hedgehog friends love. The combination of tart blackberry and slightly sweet hazelnut flavours is as delicious as it is irresistible..</t>
  </si>
  <si>
    <r>
      <t xml:space="preserve">Ingredients: blend of teas 79% (green tea*, black tea*), natural (blackberry*, </t>
    </r>
    <r>
      <rPr>
        <b/>
        <sz val="11"/>
        <color theme="1"/>
        <rFont val="Calibri"/>
        <family val="2"/>
        <scheme val="minor"/>
      </rPr>
      <t>hazelnut</t>
    </r>
    <r>
      <rPr>
        <sz val="11"/>
        <color theme="1"/>
        <rFont val="Calibri"/>
        <family val="2"/>
        <scheme val="minor"/>
      </rPr>
      <t>*) flavourings 9%, carrot chips*, crushed</t>
    </r>
    <r>
      <rPr>
        <b/>
        <sz val="11"/>
        <color theme="1"/>
        <rFont val="Calibri"/>
        <family val="2"/>
        <scheme val="minor"/>
      </rPr>
      <t xml:space="preserve"> hazelnuts</t>
    </r>
    <r>
      <rPr>
        <sz val="11"/>
        <color theme="1"/>
        <rFont val="Calibri"/>
        <family val="2"/>
        <scheme val="minor"/>
      </rPr>
      <t>* 5%, poppy petals*. *From organic farming.</t>
    </r>
  </si>
  <si>
    <t>Pear and elderflower flavours</t>
  </si>
  <si>
    <t>Ingredients: green tea*, natural (pear*, elderflower*) flavourings 7%, vanilla extract*, sunflower petals*. *From organic farming.</t>
  </si>
  <si>
    <t>Hummingbird reverie</t>
  </si>
  <si>
    <t>Lemon essential oil - Basil</t>
  </si>
  <si>
    <t>This unexpectedly invigorating recipe combines the freshness of green tea from ancient Vietnamese tea bushes with the fresh, tangy, spicy notes of a delicious lemon-basil duo. An exciting and delicious combination, ideal for taking off and daring to bring the hummingbird's reverie to life.</t>
  </si>
  <si>
    <t xml:space="preserve">Ingredients: green tea*, basil* 12%, marigold petals*, lemon essential oil* 2%. *From organic farming. </t>
  </si>
  <si>
    <t>The flute player</t>
  </si>
  <si>
    <t>Bergamot - vanilla flavours</t>
  </si>
  <si>
    <t>The harmony of this recipe, based on green tea from ancient Vietnamese tea bushes, makes it irresistible to follow in the footsteps of Kokopelli, the charming Native American flute-playing sower. The tartness of bergamot is deliciously rounded out by vanilla. A feast for the senses!</t>
  </si>
  <si>
    <t>Ingredients: green tea*, vanilla extract* 2%, flower petals (marigold*, cornflower*, lavender*), bergamot essential oil* 1%. From organic farming.</t>
  </si>
  <si>
    <t>India - China</t>
  </si>
  <si>
    <t>Moonlit garden</t>
  </si>
  <si>
    <t>Tulsi - Cardamom</t>
  </si>
  <si>
    <t>This green tea is a nod to the moon, whose subtle influence has always been fascinating. The spicy aromas of holy basil, underlined by delicious notes of mandarin and cardamom characterize this blend. A recipe that reminds us that taking care of the planet means taking care of ourselves.</t>
  </si>
  <si>
    <t>The Biodynamie Recherche association aims at promoting respect and protection of the environment through biodynamic agriculture. biodynamie-recherche.org</t>
  </si>
  <si>
    <r>
      <t xml:space="preserve">Ingredients: green tea**, mandarin peels*, tulsi* 10%, cardamom* 9%, amaranth*. *From organic farming. **From organic and biodynamic farming. </t>
    </r>
    <r>
      <rPr>
        <b/>
        <i/>
        <sz val="11"/>
        <color theme="1"/>
        <rFont val="Calibri"/>
        <family val="2"/>
        <scheme val="minor"/>
      </rPr>
      <t xml:space="preserve">demeter </t>
    </r>
    <r>
      <rPr>
        <sz val="11"/>
        <color theme="1"/>
        <rFont val="Calibri"/>
        <family val="2"/>
        <scheme val="minor"/>
      </rPr>
      <t>is the brand for products from biodynamic agriculture.</t>
    </r>
  </si>
  <si>
    <t>The breath of the seas</t>
  </si>
  <si>
    <t>Passion fruit - pomegranate - cardamom</t>
  </si>
  <si>
    <t>Ingredients: green tea*, pomegranate peels* 20%, natural (pomegranate* 6%, passion fruit* 4%) flavourings, cardamom* 5%, lemongrass*, passion flower* 3%. *From organic farming.</t>
  </si>
  <si>
    <t>Blissful moments</t>
  </si>
  <si>
    <r>
      <t xml:space="preserve">Fig and </t>
    </r>
    <r>
      <rPr>
        <b/>
        <sz val="11"/>
        <color theme="1"/>
        <rFont val="Calibri"/>
        <family val="2"/>
        <scheme val="minor"/>
      </rPr>
      <t>almond</t>
    </r>
    <r>
      <rPr>
        <sz val="11"/>
        <color theme="1"/>
        <rFont val="Calibri"/>
        <family val="2"/>
        <scheme val="minor"/>
      </rPr>
      <t xml:space="preserve"> flavours</t>
    </r>
  </si>
  <si>
    <t xml:space="preserve">Like a gift from faraway lands, this green tea is a divine treat to share. The generous combination of sweet fig, almond and orange is accompanied by a lightly acidic note. For divine moments of relaxation and escape. </t>
  </si>
  <si>
    <r>
      <t xml:space="preserve">Ingredients: green tea*, grape pomace*, ginger*, cinnamon leaves*, orange peels*, natural (fig, </t>
    </r>
    <r>
      <rPr>
        <b/>
        <sz val="11"/>
        <color theme="1"/>
        <rFont val="Calibri"/>
        <family val="2"/>
        <scheme val="minor"/>
      </rPr>
      <t>almond</t>
    </r>
    <r>
      <rPr>
        <sz val="11"/>
        <color theme="1"/>
        <rFont val="Calibri"/>
        <family val="2"/>
        <scheme val="minor"/>
      </rPr>
      <t xml:space="preserve">*) flavourings 7%, orange essential oil*, cornflower petals*. *From organic farming. </t>
    </r>
  </si>
  <si>
    <t>China - Vietnam</t>
  </si>
  <si>
    <t>Lychee and pear flavours</t>
  </si>
  <si>
    <t>Ingredients: green tea*, natural (pear*, lychee) flavourings 11%, rose petals*. *From organic farming.</t>
  </si>
  <si>
    <t>Peach - Apricot</t>
  </si>
  <si>
    <t>This recipe, which combines the freshness of green tea with the smooth, tender flavours of peach and apricot, has a taste of summer. It evokes delicious moments shared over a good fruit salad on a sunny day...</t>
  </si>
  <si>
    <t>Ingredients: green tea*, natural (peach*, apricot*) flavourings 8%, fruit pieces (peach*, apricot*) 2%, marigold petals*. *From organic farming.</t>
  </si>
  <si>
    <t>Peach Melba</t>
  </si>
  <si>
    <t>Peach - Raspberry - Vanilla flavor</t>
  </si>
  <si>
    <t>This epicurean nod to the famous dessert combines the freshness of green tea, the velvety smoothness of peach, the tangy notes of raspberry and the sweetness of vanilla. A recipe with an intense, long-lasting flavour, to be enjoyed hot or iced. Irresistible!</t>
  </si>
  <si>
    <t>Ingredients: green tea*, natural (peach* 4%, raspberry* 2%, strawberry*) flavourings, fruit pieces (peach*, raspberry*) 3%, vanilla extract* 2%. *From organic farming.</t>
  </si>
  <si>
    <t>Taste of paradise</t>
  </si>
  <si>
    <t>Mandarin - Vanilla flavour</t>
  </si>
  <si>
    <t xml:space="preserve">Ingredients: green tea*, vanilla extract* 3%, mandarin peels* 2%, mandarin essential oil* 2%, sunflower petals*. *From organic farming. </t>
  </si>
  <si>
    <t>Lizar'Tea</t>
  </si>
  <si>
    <t>Green tea - Maté tonic blend</t>
  </si>
  <si>
    <t>China - Japan</t>
  </si>
  <si>
    <t>This marriage of Japanese green teas with the tonic trio "mate-guarana-ginger" seduces with its fruity, lemony flavours and pleasant tonic effect! Like a lizard recharging its batteries in the sun, it's a great way to fill up on energy at any time of day!</t>
  </si>
  <si>
    <t xml:space="preserve">Ingredients: green tea* 65%, mate* 11%, lemongrass*, guarana*, ginger*, verbena*, peach pieces*, natural peach  flavouring*. *From organic farming. </t>
  </si>
  <si>
    <t>Oriental Light</t>
  </si>
  <si>
    <t>Citrus essential oils - Cinnamon</t>
  </si>
  <si>
    <t xml:space="preserve">Adorned with orange peel and sunflower blossoms, this green tea-based recipe distills luminous, warm notes of mandarin and cinnamon. Pleasantly evocative of the magic of the Oriental Light, it is the perfect companion to your winter evenings. </t>
  </si>
  <si>
    <t xml:space="preserve">Ingredients: green tea*, orange peels*, citrus essential oils (sweet orange*, lemon*, mandarin*) 1%, cinnamon pieces* 1%, cinnamon extract* 0.5%, sunflower petals*. *From organic farming.  </t>
  </si>
  <si>
    <t>Sea buckthorn - Citrus essential oils</t>
  </si>
  <si>
    <t>Bursting with pep and flavour, this recipe with green tea and citrus fruits, combined with the small orange berries of sea buckthorn, offers a drink with fruity aromas, punctuated by a fresh lemony note. A little treat to instantly restore your motivation!</t>
  </si>
  <si>
    <t xml:space="preserve">Ingredients: green tea*, sea buckthorn* 5%, citrus essential oils (sweet orange, lemon*, blood orange*, grapefruit*, mandarin*) 2%. *From organic farming. </t>
  </si>
  <si>
    <t>Wild moments</t>
  </si>
  <si>
    <r>
      <t xml:space="preserve">Cocoa - </t>
    </r>
    <r>
      <rPr>
        <b/>
        <sz val="11"/>
        <color theme="1"/>
        <rFont val="Calibri"/>
        <family val="2"/>
        <scheme val="minor"/>
      </rPr>
      <t>Hazelnut</t>
    </r>
  </si>
  <si>
    <t>This original recipe based on black tea and honeybush combines honeyed flavours with the slight bitterness of cocoa and the sweetness of hazelnut. Enhanced with a hint of guarana, this tea promises moments that are both tasty and deliciously wild.</t>
  </si>
  <si>
    <r>
      <t xml:space="preserve">Ingredients: black tea*, honeybush*, cocoa barks* 10%, crushed </t>
    </r>
    <r>
      <rPr>
        <b/>
        <sz val="11"/>
        <color theme="1"/>
        <rFont val="Calibri"/>
        <family val="2"/>
        <scheme val="minor"/>
      </rPr>
      <t>hazelnuts</t>
    </r>
    <r>
      <rPr>
        <sz val="11"/>
        <color theme="1"/>
        <rFont val="Calibri"/>
        <family val="2"/>
        <scheme val="minor"/>
      </rPr>
      <t xml:space="preserve">* 5%, natural </t>
    </r>
    <r>
      <rPr>
        <b/>
        <sz val="11"/>
        <color theme="1"/>
        <rFont val="Calibri"/>
        <family val="2"/>
        <scheme val="minor"/>
      </rPr>
      <t>hazelnut</t>
    </r>
    <r>
      <rPr>
        <sz val="11"/>
        <color theme="1"/>
        <rFont val="Calibri"/>
        <family val="2"/>
        <scheme val="minor"/>
      </rPr>
      <t xml:space="preserve"> flavouring* 5%, guarana*, osmanthus flowers*. *From organic farming.</t>
    </r>
  </si>
  <si>
    <t>Caramel Break</t>
  </si>
  <si>
    <t>Let yourself be tempted by this Caramel break born of the meeting of the round, fruity flavours of Indian black tea with the smooth, sweet notes of caramel. An irresistible temptation to enjoy and share guilt-free throughout the day…</t>
  </si>
  <si>
    <t>Ingredients: black tea*, natural (caramel* 7%, vanilla*) flavourings, caramel pieces* 5 % (cane sugar*, glucose syrup*, cocoa butter*, coconut milk powder*, pea protein*, dextrose*, salt (fleur de sel), natural Bourbon vanilla flavouring*, sunflower lecithins powder*). *From organic farming.
Nutritional information per 100 ml: energy 3kJ/1kcal. This infusion contains negligible amounts of fat such as saturated fat, and of carbohydrates including sugars, proteins and salt.</t>
  </si>
  <si>
    <t>Vietnam - China - India</t>
  </si>
  <si>
    <t>Golden Hour</t>
  </si>
  <si>
    <t xml:space="preserve">Ingredients: black tea*, essential oils (sweet orange*, blood orange*) 2%, orange peels* 2%. *From organic farming. </t>
  </si>
  <si>
    <t>Sweet Beauty</t>
  </si>
  <si>
    <t>Cinnamon black tea</t>
  </si>
  <si>
    <t xml:space="preserve">Ingredients: black tea*, cinnamon* 24%, cinnamon leaves*. *From organic farming. </t>
  </si>
  <si>
    <t>Softly smoked - Bergamot essential oil</t>
  </si>
  <si>
    <t>The union of the fruity, sunny flavours of bergamot and subtly smoked black tea, on a bed of rose petals, is an invitation to dream, of the eternal Persia of the great poets. A tea born to celebrate love and the beauty of words to describe it.</t>
  </si>
  <si>
    <t xml:space="preserve">Ingredients: smoked black tea*, rose petals*, lavender*, bergamot essential oil* 2%. *From organic farming. </t>
  </si>
  <si>
    <t>Chimps'tea</t>
  </si>
  <si>
    <t>Based on an excellent Ugandan black tea, this gentle black tea recipe is dedicated to our clever and endearing "cousins". Its flavours of thyme and honey pleasantly surprise the palate, before giving way to delicious notes of fig, which chimpanzees love...</t>
  </si>
  <si>
    <t>Perfume of Resistance</t>
  </si>
  <si>
    <t>The Odyssey</t>
  </si>
  <si>
    <t>Caramel flavour - banana - buckwheat</t>
  </si>
  <si>
    <t xml:space="preserve">At the end of its Odyssey, this black tea which crossed the ocean is adorned with a veil of gourmandise to better charm us. The caramelized notes of roasted buckwheat blend harmoniously with the tea's woody flavours, providing an aromatic backdrop for irresistible flavours of stewed bananas. </t>
  </si>
  <si>
    <t>The Flower Power</t>
  </si>
  <si>
    <t>India - Dooars</t>
  </si>
  <si>
    <t>China - Hunan</t>
  </si>
  <si>
    <t>Original scented white tea</t>
  </si>
  <si>
    <t>Ingredient: jasmine white tea*. *From organic farming.</t>
  </si>
  <si>
    <t>Lady Raspberry</t>
  </si>
  <si>
    <t>Raspberry</t>
  </si>
  <si>
    <t>When someone whispers in her ear that she's as pretty as a picture and the star of this pretty pink fruit infusion, Mademoiselle Framboise can't stop blushing... It's impossible to resist its delicate fragrance and tangy flavour, which delightfully awaken the taste buds.</t>
  </si>
  <si>
    <t>CLEANSING  Hibiscus, rooibos, blueberry and strawberry flavours</t>
  </si>
  <si>
    <r>
      <t>Ingredient: hibiscus* (</t>
    </r>
    <r>
      <rPr>
        <i/>
        <sz val="11"/>
        <color theme="1"/>
        <rFont val="Calibri"/>
        <family val="2"/>
        <scheme val="minor"/>
      </rPr>
      <t>Hibiscus sabdariffa</t>
    </r>
    <r>
      <rPr>
        <sz val="11"/>
        <color theme="1"/>
        <rFont val="Calibri"/>
        <family val="2"/>
        <scheme val="minor"/>
      </rPr>
      <t>). *From organic farming.</t>
    </r>
  </si>
  <si>
    <t>Common nettle</t>
  </si>
  <si>
    <t>Cleansing</t>
  </si>
  <si>
    <t>Mint</t>
  </si>
  <si>
    <t>Mint infusion, much appreciated in the Orient and often combined with green tea, is distinguished by its fresh, invigorating flavours. In cooking, it is often used to flavour a sauce or fruit salad. A delicious herbal tea, hot or iced, with or without sugar!</t>
  </si>
  <si>
    <r>
      <t>Ingredient: mint* (</t>
    </r>
    <r>
      <rPr>
        <i/>
        <sz val="11"/>
        <color theme="1"/>
        <rFont val="Calibri"/>
        <family val="2"/>
        <scheme val="minor"/>
      </rPr>
      <t>Mentha rotundifolia</t>
    </r>
    <r>
      <rPr>
        <sz val="11"/>
        <color theme="1"/>
        <rFont val="Calibri"/>
        <family val="2"/>
        <scheme val="minor"/>
      </rPr>
      <t>). *From organic farming.</t>
    </r>
  </si>
  <si>
    <t>Lemon balm</t>
  </si>
  <si>
    <t xml:space="preserve">Relaxing &amp; Digestive  </t>
  </si>
  <si>
    <t>A source of well-being since ancient times, lemon balm is a perennial plant with highly fragrant leaves, whose infusion helps you relax and regain your balance, while improving digestive functions. Its sweet, lemony flavours are also highly appreciated in cooking.</t>
  </si>
  <si>
    <t>Ingredient: lemon balm* (Melissa officinalis). *From organic farming.</t>
  </si>
  <si>
    <t>Peppermint</t>
  </si>
  <si>
    <t xml:space="preserve">Peppermint infusion, with its tonic and slightly spicy flavours, is a concentrate of benefits. Particularly indicated at the end of meals for its stimulating effects on the digestive system, it is also an antispasmodic and soothing agent, helping to maintain general nervous balance. </t>
  </si>
  <si>
    <t>Ingredient: peppermint* (Mentha piperita). *From organic farming.</t>
  </si>
  <si>
    <t>Bright and sparkling, lemongrass, also known as Indian verbena, is a real ray of sunshine in infusion! Its intense lemony flavours, with a hint of exoticism, are best enjoyed iced as soon as the thermometer starts to climb. Refreshment guaranteed!</t>
  </si>
  <si>
    <t>Digestion Vanilla Flavour Cinnamon - Coriander - Lemon balm - Fennel</t>
  </si>
  <si>
    <t>Combine flavour and well-being with this colourful herbal tea! Fruity and spicy, it immediately seduces the taste buds as much as it improves digestion. Ideal at the end of a meal, it makes you feel light and chewy!</t>
  </si>
  <si>
    <t xml:space="preserve">Ingredients: orange peels* (Citrus sinensis), Ceylon cinnamon* 18% (Cinnamomum zeylanicum), coriander* 18% (Coriandrum sativum), lemon balm* 12% (Melissa officinalis), ginger* (Zingiber officinale), fennel* 12% (Foeniculum vulgare), mugwort* (Artemisia vulgaris), rosebuds* (Rosa damascena), vanilla extract* 0.5%. *From organic farming. </t>
  </si>
  <si>
    <t>Mulberry leaves - peppermint - raspberry leaves</t>
  </si>
  <si>
    <t>This infusion is the ideal companion for a healthy, balanced breakfast! Its fresh, slightly mentholated notes are the key to waking up gently and starting the day on the right foot.</t>
  </si>
  <si>
    <r>
      <t>Ingredients: blackberry leaves* 30% (</t>
    </r>
    <r>
      <rPr>
        <i/>
        <sz val="11"/>
        <color theme="1"/>
        <rFont val="Calibri"/>
        <family val="2"/>
        <scheme val="minor"/>
      </rPr>
      <t>Rubus fruticosus</t>
    </r>
    <r>
      <rPr>
        <sz val="11"/>
        <color theme="1"/>
        <rFont val="Calibri"/>
        <family val="2"/>
        <scheme val="minor"/>
      </rPr>
      <t>), peppermint* 30% (</t>
    </r>
    <r>
      <rPr>
        <i/>
        <sz val="11"/>
        <color theme="1"/>
        <rFont val="Calibri"/>
        <family val="2"/>
        <scheme val="minor"/>
      </rPr>
      <t>Mentha piperita</t>
    </r>
    <r>
      <rPr>
        <sz val="11"/>
        <color theme="1"/>
        <rFont val="Calibri"/>
        <family val="2"/>
        <scheme val="minor"/>
      </rPr>
      <t>), raspberry leaves* 20% (</t>
    </r>
    <r>
      <rPr>
        <i/>
        <sz val="11"/>
        <color theme="1"/>
        <rFont val="Calibri"/>
        <family val="2"/>
        <scheme val="minor"/>
      </rPr>
      <t>Rubus idaeus</t>
    </r>
    <r>
      <rPr>
        <sz val="11"/>
        <color theme="1"/>
        <rFont val="Calibri"/>
        <family val="2"/>
        <scheme val="minor"/>
      </rPr>
      <t>), strawberry leaves* (</t>
    </r>
    <r>
      <rPr>
        <i/>
        <sz val="11"/>
        <color theme="1"/>
        <rFont val="Calibri"/>
        <family val="2"/>
        <scheme val="minor"/>
      </rPr>
      <t>Fragaria vescae</t>
    </r>
    <r>
      <rPr>
        <sz val="11"/>
        <color theme="1"/>
        <rFont val="Calibri"/>
        <family val="2"/>
        <scheme val="minor"/>
      </rPr>
      <t>), marigold petals* (</t>
    </r>
    <r>
      <rPr>
        <i/>
        <sz val="11"/>
        <color theme="1"/>
        <rFont val="Calibri"/>
        <family val="2"/>
        <scheme val="minor"/>
      </rPr>
      <t>Calendula officinalis</t>
    </r>
    <r>
      <rPr>
        <sz val="11"/>
        <color theme="1"/>
        <rFont val="Calibri"/>
        <family val="2"/>
        <scheme val="minor"/>
      </rPr>
      <t>), cornflower petals* (</t>
    </r>
    <r>
      <rPr>
        <i/>
        <sz val="11"/>
        <color theme="1"/>
        <rFont val="Calibri"/>
        <family val="2"/>
        <scheme val="minor"/>
      </rPr>
      <t>Centaurea cyanus</t>
    </r>
    <r>
      <rPr>
        <sz val="11"/>
        <color theme="1"/>
        <rFont val="Calibri"/>
        <family val="2"/>
        <scheme val="minor"/>
      </rPr>
      <t>). *From organic farming.</t>
    </r>
  </si>
  <si>
    <t>Melusine's Fairy Potion</t>
  </si>
  <si>
    <t>Hemp leaves - verbena - sweet mint</t>
  </si>
  <si>
    <t>This mysterious herbal tea is inspired by the legend of Mélusine, the bewitching "snake woman" of legendary beauty. You'll immediately fall under the spell of its sweet, slightly spicy notes. A fairy delight!</t>
  </si>
  <si>
    <r>
      <t>Ingredients: hemp leaves* 30% (</t>
    </r>
    <r>
      <rPr>
        <i/>
        <sz val="11"/>
        <color theme="1"/>
        <rFont val="Calibri"/>
        <family val="2"/>
        <scheme val="minor"/>
      </rPr>
      <t>Cannabis sativa</t>
    </r>
    <r>
      <rPr>
        <sz val="11"/>
        <color theme="1"/>
        <rFont val="Calibri"/>
        <family val="2"/>
        <scheme val="minor"/>
      </rPr>
      <t>), verbena* 25% (</t>
    </r>
    <r>
      <rPr>
        <i/>
        <sz val="11"/>
        <color theme="1"/>
        <rFont val="Calibri"/>
        <family val="2"/>
        <scheme val="minor"/>
      </rPr>
      <t>Aloysia citrodora</t>
    </r>
    <r>
      <rPr>
        <sz val="11"/>
        <color theme="1"/>
        <rFont val="Calibri"/>
        <family val="2"/>
        <scheme val="minor"/>
      </rPr>
      <t>), apple mint* 24% (</t>
    </r>
    <r>
      <rPr>
        <i/>
        <sz val="11"/>
        <color theme="1"/>
        <rFont val="Calibri"/>
        <family val="2"/>
        <scheme val="minor"/>
      </rPr>
      <t>Mentha spicata</t>
    </r>
    <r>
      <rPr>
        <sz val="11"/>
        <color theme="1"/>
        <rFont val="Calibri"/>
        <family val="2"/>
        <scheme val="minor"/>
      </rPr>
      <t>), marigold petals* (</t>
    </r>
    <r>
      <rPr>
        <i/>
        <sz val="11"/>
        <color theme="1"/>
        <rFont val="Calibri"/>
        <family val="2"/>
        <scheme val="minor"/>
      </rPr>
      <t>Calendula officinalis</t>
    </r>
    <r>
      <rPr>
        <sz val="11"/>
        <color theme="1"/>
        <rFont val="Calibri"/>
        <family val="2"/>
        <scheme val="minor"/>
      </rPr>
      <t>), ribwort plantain* (</t>
    </r>
    <r>
      <rPr>
        <i/>
        <sz val="11"/>
        <color theme="1"/>
        <rFont val="Calibri"/>
        <family val="2"/>
        <scheme val="minor"/>
      </rPr>
      <t>Plantago lanceolata</t>
    </r>
    <r>
      <rPr>
        <sz val="11"/>
        <color theme="1"/>
        <rFont val="Calibri"/>
        <family val="2"/>
        <scheme val="minor"/>
      </rPr>
      <t>), rosebuds* (</t>
    </r>
    <r>
      <rPr>
        <i/>
        <sz val="11"/>
        <color theme="1"/>
        <rFont val="Calibri"/>
        <family val="2"/>
        <scheme val="minor"/>
      </rPr>
      <t>Rosa damascena</t>
    </r>
    <r>
      <rPr>
        <sz val="11"/>
        <color theme="1"/>
        <rFont val="Calibri"/>
        <family val="2"/>
        <scheme val="minor"/>
      </rPr>
      <t>). *From organic farming.</t>
    </r>
  </si>
  <si>
    <t>Granny's Herbal Tea</t>
  </si>
  <si>
    <t>Digestive Peppermint</t>
  </si>
  <si>
    <t>Passed down from generation to generation, this digestive herbal tea is a delight for the whole family, with its fruity flavours and menthol notes. Light, generous and as fresh as a hug from Grandma!</t>
  </si>
  <si>
    <t>Ingredients: peppermint* 50% (Mentha piperita), blackberry bush leaves* (Rubus fruticosus), wild rose barks* (Rosa caninaa - Fructus), apple pieces* (Malus domestica). *From organic farming.</t>
  </si>
  <si>
    <t>Christmas herbal tea</t>
  </si>
  <si>
    <t>Cinnamon - Lemon balm</t>
  </si>
  <si>
    <t>Steeped in Alsatian tradition, this particularly colourful and festive Christmas herbal tea is a delicious combination of cinnamon and lemon balm. A drink for the whole family that deliciously celebrates the spirit of Christmas!</t>
  </si>
  <si>
    <t>Anytime Tea</t>
  </si>
  <si>
    <t>Fortifying Peppermint - Fennel - Lavender</t>
  </si>
  <si>
    <t>Whatever the weather, you can count on this fortifying herbal tea. Its lightly spiced infusion, with notes of mint, fennel and lavender, makes the end of meals easier, allowing you to relax and recuperate, and to cope with daily changes more serenely.</t>
  </si>
  <si>
    <t>When Nature awakes</t>
  </si>
  <si>
    <t>Apple pieces - lemon balm - rose petals</t>
  </si>
  <si>
    <t>Like the breath of nature awakening, this cheerful, colourful herbal tea leaves a festive impression on the palate. Its array of fruity, floral and herbaceous flavours concludes with a finish that evokes floral honey and lingers on the palate. To be shared without moderation!</t>
  </si>
  <si>
    <r>
      <t>Ingredients: apple pieces* 24% (</t>
    </r>
    <r>
      <rPr>
        <i/>
        <sz val="11"/>
        <color theme="1"/>
        <rFont val="Calibri"/>
        <family val="2"/>
        <scheme val="minor"/>
      </rPr>
      <t>Malus domestica</t>
    </r>
    <r>
      <rPr>
        <sz val="11"/>
        <color theme="1"/>
        <rFont val="Calibri"/>
        <family val="2"/>
        <scheme val="minor"/>
      </rPr>
      <t>), lemon balm* 21% (</t>
    </r>
    <r>
      <rPr>
        <i/>
        <sz val="11"/>
        <color theme="1"/>
        <rFont val="Calibri"/>
        <family val="2"/>
        <scheme val="minor"/>
      </rPr>
      <t>Melissa officinalis</t>
    </r>
    <r>
      <rPr>
        <sz val="11"/>
        <color theme="1"/>
        <rFont val="Calibri"/>
        <family val="2"/>
        <scheme val="minor"/>
      </rPr>
      <t xml:space="preserve">), green </t>
    </r>
    <r>
      <rPr>
        <b/>
        <sz val="11"/>
        <color theme="1"/>
        <rFont val="Calibri"/>
        <family val="2"/>
        <scheme val="minor"/>
      </rPr>
      <t>oat</t>
    </r>
    <r>
      <rPr>
        <sz val="11"/>
        <color theme="1"/>
        <rFont val="Calibri"/>
        <family val="2"/>
        <scheme val="minor"/>
      </rPr>
      <t>* (</t>
    </r>
    <r>
      <rPr>
        <i/>
        <sz val="11"/>
        <color theme="1"/>
        <rFont val="Calibri"/>
        <family val="2"/>
        <scheme val="minor"/>
      </rPr>
      <t>Avena sativa</t>
    </r>
    <r>
      <rPr>
        <sz val="11"/>
        <color theme="1"/>
        <rFont val="Calibri"/>
        <family val="2"/>
        <scheme val="minor"/>
      </rPr>
      <t>), rose petals* 8% (</t>
    </r>
    <r>
      <rPr>
        <i/>
        <sz val="11"/>
        <color theme="1"/>
        <rFont val="Calibri"/>
        <family val="2"/>
        <scheme val="minor"/>
      </rPr>
      <t>Rosa damescena</t>
    </r>
    <r>
      <rPr>
        <sz val="11"/>
        <color theme="1"/>
        <rFont val="Calibri"/>
        <family val="2"/>
        <scheme val="minor"/>
      </rPr>
      <t>), marigold* (</t>
    </r>
    <r>
      <rPr>
        <i/>
        <sz val="11"/>
        <color theme="1"/>
        <rFont val="Calibri"/>
        <family val="2"/>
        <scheme val="minor"/>
      </rPr>
      <t>Calendula officinalis</t>
    </r>
    <r>
      <rPr>
        <sz val="11"/>
        <color theme="1"/>
        <rFont val="Calibri"/>
        <family val="2"/>
        <scheme val="minor"/>
      </rPr>
      <t>), cranberry* (</t>
    </r>
    <r>
      <rPr>
        <i/>
        <sz val="11"/>
        <color theme="1"/>
        <rFont val="Calibri"/>
        <family val="2"/>
        <scheme val="minor"/>
      </rPr>
      <t>Vaccinium macrocarpon</t>
    </r>
    <r>
      <rPr>
        <sz val="11"/>
        <color theme="1"/>
        <rFont val="Calibri"/>
        <family val="2"/>
        <scheme val="minor"/>
      </rPr>
      <t>), lavender* (</t>
    </r>
    <r>
      <rPr>
        <i/>
        <sz val="11"/>
        <color theme="1"/>
        <rFont val="Calibri"/>
        <family val="2"/>
        <scheme val="minor"/>
      </rPr>
      <t>Lavandula angustifolia</t>
    </r>
    <r>
      <rPr>
        <sz val="11"/>
        <color theme="1"/>
        <rFont val="Calibri"/>
        <family val="2"/>
        <scheme val="minor"/>
      </rPr>
      <t>), linden flowers* (</t>
    </r>
    <r>
      <rPr>
        <i/>
        <sz val="11"/>
        <color theme="1"/>
        <rFont val="Calibri"/>
        <family val="2"/>
        <scheme val="minor"/>
      </rPr>
      <t>Tiliae flos</t>
    </r>
    <r>
      <rPr>
        <sz val="11"/>
        <color theme="1"/>
        <rFont val="Calibri"/>
        <family val="2"/>
        <scheme val="minor"/>
      </rPr>
      <t>), verbena* (</t>
    </r>
    <r>
      <rPr>
        <i/>
        <sz val="11"/>
        <color theme="1"/>
        <rFont val="Calibri"/>
        <family val="2"/>
        <scheme val="minor"/>
      </rPr>
      <t>Lippia citriodora</t>
    </r>
    <r>
      <rPr>
        <sz val="11"/>
        <color theme="1"/>
        <rFont val="Calibri"/>
        <family val="2"/>
        <scheme val="minor"/>
      </rPr>
      <t>), chamomile* (</t>
    </r>
    <r>
      <rPr>
        <i/>
        <sz val="11"/>
        <color theme="1"/>
        <rFont val="Calibri"/>
        <family val="2"/>
        <scheme val="minor"/>
      </rPr>
      <t>Matricaria chamomilla</t>
    </r>
    <r>
      <rPr>
        <sz val="11"/>
        <color theme="1"/>
        <rFont val="Calibri"/>
        <family val="2"/>
        <scheme val="minor"/>
      </rPr>
      <t>), cornflower petals* (</t>
    </r>
    <r>
      <rPr>
        <i/>
        <sz val="11"/>
        <color theme="1"/>
        <rFont val="Calibri"/>
        <family val="2"/>
        <scheme val="minor"/>
      </rPr>
      <t>Centaurea cyanus</t>
    </r>
    <r>
      <rPr>
        <sz val="11"/>
        <color theme="1"/>
        <rFont val="Calibri"/>
        <family val="2"/>
        <scheme val="minor"/>
      </rPr>
      <t>), mallow petals* (</t>
    </r>
    <r>
      <rPr>
        <i/>
        <sz val="11"/>
        <color theme="1"/>
        <rFont val="Calibri"/>
        <family val="2"/>
        <scheme val="minor"/>
      </rPr>
      <t>Malva sylvestris</t>
    </r>
    <r>
      <rPr>
        <sz val="11"/>
        <color theme="1"/>
        <rFont val="Calibri"/>
        <family val="2"/>
        <scheme val="minor"/>
      </rPr>
      <t>). *From organic farming.</t>
    </r>
  </si>
  <si>
    <t>Happy Belly</t>
  </si>
  <si>
    <t>This pretty digestive herbal tea, with its round, fruity, aniseed taste, is a little daily trick to tame rebellious tummies and make them happy! Feel free and light as air.</t>
  </si>
  <si>
    <t>Spring salsa</t>
  </si>
  <si>
    <t>Lemongrass - peppermint - raspberry leaves</t>
  </si>
  <si>
    <t>Cheerful and sparkling, this herbal tea is an ode to the first beautiful days of the year. Its fresh and invigorating zesty flavours, enhanced by pleasant spicy notes, will transport you to the effervescence of spring!</t>
  </si>
  <si>
    <r>
      <t>Ingredients: lemongrass* (</t>
    </r>
    <r>
      <rPr>
        <i/>
        <sz val="11"/>
        <color theme="1"/>
        <rFont val="Calibri"/>
        <family val="2"/>
        <scheme val="minor"/>
      </rPr>
      <t>Cymbopogon citratus</t>
    </r>
    <r>
      <rPr>
        <sz val="11"/>
        <color theme="1"/>
        <rFont val="Calibri"/>
        <family val="2"/>
        <scheme val="minor"/>
      </rPr>
      <t>) 42%, peppermint* (</t>
    </r>
    <r>
      <rPr>
        <i/>
        <sz val="11"/>
        <color theme="1"/>
        <rFont val="Calibri"/>
        <family val="2"/>
        <scheme val="minor"/>
      </rPr>
      <t>Mentha piperita</t>
    </r>
    <r>
      <rPr>
        <sz val="11"/>
        <color theme="1"/>
        <rFont val="Calibri"/>
        <family val="2"/>
        <scheme val="minor"/>
      </rPr>
      <t>) 27%, raspberry leaves* (</t>
    </r>
    <r>
      <rPr>
        <i/>
        <sz val="11"/>
        <color theme="1"/>
        <rFont val="Calibri"/>
        <family val="2"/>
        <scheme val="minor"/>
      </rPr>
      <t>Rubus idaeus</t>
    </r>
    <r>
      <rPr>
        <sz val="11"/>
        <color theme="1"/>
        <rFont val="Calibri"/>
        <family val="2"/>
        <scheme val="minor"/>
      </rPr>
      <t>) 10%, cardamom* (</t>
    </r>
    <r>
      <rPr>
        <i/>
        <sz val="11"/>
        <color theme="1"/>
        <rFont val="Calibri"/>
        <family val="2"/>
        <scheme val="minor"/>
      </rPr>
      <t>Elettaria cardamomum</t>
    </r>
    <r>
      <rPr>
        <sz val="11"/>
        <color theme="1"/>
        <rFont val="Calibri"/>
        <family val="2"/>
        <scheme val="minor"/>
      </rPr>
      <t>), liquorice* 7% (</t>
    </r>
    <r>
      <rPr>
        <i/>
        <sz val="11"/>
        <color theme="1"/>
        <rFont val="Calibri"/>
        <family val="2"/>
        <scheme val="minor"/>
      </rPr>
      <t>Glycyrrhiza glabra</t>
    </r>
    <r>
      <rPr>
        <sz val="11"/>
        <color theme="1"/>
        <rFont val="Calibri"/>
        <family val="2"/>
        <scheme val="minor"/>
      </rPr>
      <t>), cornflower petals* (</t>
    </r>
    <r>
      <rPr>
        <i/>
        <sz val="11"/>
        <color theme="1"/>
        <rFont val="Calibri"/>
        <family val="2"/>
        <scheme val="minor"/>
      </rPr>
      <t>Centaurea cyanus</t>
    </r>
    <r>
      <rPr>
        <sz val="11"/>
        <color theme="1"/>
        <rFont val="Calibri"/>
        <family val="2"/>
        <scheme val="minor"/>
      </rPr>
      <t>), rosebuds* (</t>
    </r>
    <r>
      <rPr>
        <i/>
        <sz val="11"/>
        <color theme="1"/>
        <rFont val="Calibri"/>
        <family val="2"/>
        <scheme val="minor"/>
      </rPr>
      <t>Rosa damascena</t>
    </r>
    <r>
      <rPr>
        <sz val="11"/>
        <color theme="1"/>
        <rFont val="Calibri"/>
        <family val="2"/>
        <scheme val="minor"/>
      </rPr>
      <t>). *From organic farming. Contains liquorice: people suffering from hypertension should avoid excessive consumption.</t>
    </r>
  </si>
  <si>
    <t>Ingredient: Japanese green tea*. *From organic farming.</t>
  </si>
  <si>
    <t>Samurai tea</t>
  </si>
  <si>
    <t>Let yourself be surprised by this explosive blend of Japanese green tea, ginger and verbena, inspired by the fiery spirit of the Samurai. Its lemony, slightly spicy notes combine perfectly with the fresh, mild, herbal flavours of steamed green tea. Delicious hot or iced!</t>
  </si>
  <si>
    <t>Ingredients: Japanese green tea*, ginger* 12%, verbena* 8%. *From organic farming.</t>
  </si>
  <si>
    <t>Roasted green tea</t>
  </si>
  <si>
    <t>Japan - Shizuoka</t>
  </si>
  <si>
    <t>Very popular in Japan, kuki hojicha is a roasted green tea that has the particularity of being composed of twigs and leaf stems. Its toasted bread and hazelnut flavours, accompanied by vegetal and fruity notes, are perfect with a meal.</t>
  </si>
  <si>
    <t>Citrus lapacho</t>
  </si>
  <si>
    <t>Antioxidant &amp; Immune Defense</t>
  </si>
  <si>
    <t>Lapacho sapwood decoction is ideal during the changing seasons for its antioxidant and immune-boosting properties. In this recipe, its natural vanilla and woody flavours blend happily with bright citrus notes.</t>
  </si>
  <si>
    <t>Ingredients: lapacho* (Tabebuia impetiginosa), orange peels* 15%, essential oils (sweet orange*, blood orange*, grapefruit*, lemon*) 3%. *From organic farming.</t>
  </si>
  <si>
    <t>Flying Home</t>
  </si>
  <si>
    <t xml:space="preserve">Eucalyptus - Cloves </t>
  </si>
  <si>
    <t>The grace of a wild flight is the source of inspiration for this herbal infusion. With flavours of lemon balm and lime blossom, between strength and sweetness, this recipe unfurls its spicy, fresh, camphorated and lemony notes. For an airy, contemplative pause looking up to the sky...</t>
  </si>
  <si>
    <t>Ingredients: lime blossom*, eucalyptus* 22%, apple pieces*, lemon balm*, myrtle*, meadowsweet*, cloves* 4%, marigold petals*, cornflower petals*. *From organic farming.</t>
  </si>
  <si>
    <t>Sweet interlude</t>
  </si>
  <si>
    <t>Cocoa barks and botanicals</t>
  </si>
  <si>
    <t>The creaminess and warmth of cocoa combined with the aromatic richness of spices work wonders in this infusion. An original recipe that's so mouth-watering it gives you a delicious sensation of euphoria from the very first sip.</t>
  </si>
  <si>
    <t>Slimming Perspective</t>
  </si>
  <si>
    <t xml:space="preserve">Cleansing Peppermint - Yerba mate - Tea - Nettle </t>
  </si>
  <si>
    <t xml:space="preserve">This cleansing infusion with its fresh, pleasant flavours, dominated by a menthol note, is ideal for gently stimulating weight loss. Indulge yourself while shedding unwanted pounds... </t>
  </si>
  <si>
    <t>Ingredients: peppermint* 25%, honeybush*, mate* 17%, nettle* 13%, green tea* 12%, pu'er dark tea* 8%. *From organic farming.</t>
  </si>
  <si>
    <t>Around the medina</t>
  </si>
  <si>
    <t>This mint green tea is ideal for sharing a moment of conviviality. Rediscover the unique atmosphere of the medinas as you savour the charms of this typical North African beverage.</t>
  </si>
  <si>
    <t xml:space="preserve">Ingredients: green tea*, spearmint* 30%. *From organic farming. </t>
  </si>
  <si>
    <t>Honeybush - Tonka bean - Chilli</t>
  </si>
  <si>
    <t>India - Kerala</t>
  </si>
  <si>
    <t xml:space="preserve">Like an irresistible spark, this deliciously spicy black tea recipe is an invitation to awaken all dormant ardors. Let yourself be carried away by its indulgent flavours with honeyed, spicy and lemony notes, opening the door to unsuspected pleasures... </t>
  </si>
  <si>
    <t>Ingredients: black tea*, honeybush* 16%, ginger*, tonka bean* 7%, turmeric*, mandarin peels*, chili pepper* 4%, pink berries*, poppy petals*. *From organic farming.</t>
  </si>
  <si>
    <t>Single origin black tea</t>
  </si>
  <si>
    <t>China - Hubei</t>
  </si>
  <si>
    <t xml:space="preserve">Ingredient: black tea*. *From organic farming. </t>
  </si>
  <si>
    <t>It's a new day</t>
  </si>
  <si>
    <t>India - Assam</t>
  </si>
  <si>
    <r>
      <t xml:space="preserve">Ingredient: black tea**. **From organic and biodynamic farming. </t>
    </r>
    <r>
      <rPr>
        <b/>
        <i/>
        <sz val="11"/>
        <color theme="1"/>
        <rFont val="Calibri"/>
        <family val="2"/>
        <scheme val="minor"/>
      </rPr>
      <t>demeter</t>
    </r>
    <r>
      <rPr>
        <sz val="11"/>
        <color theme="1"/>
        <rFont val="Calibri"/>
        <family val="2"/>
        <scheme val="minor"/>
      </rPr>
      <t xml:space="preserve"> is the brand for products from biodynamic agriculture. </t>
    </r>
  </si>
  <si>
    <t>The large, even leaves of this summer-harvested, biodynamically-produced black tea offer a coppery cup with fruity flavours underlined by a lovely spicy note reminiscent of Assam teas. A tea with a generous character that tolerates a little milk.</t>
  </si>
  <si>
    <t xml:space="preserve">Himalayan snows </t>
  </si>
  <si>
    <t>FTGFOP1 FF Top Quality Spring crop</t>
  </si>
  <si>
    <t>This Darjeeling black tea is the fruit of a blend of several spring harvests, expressing their vivacity and magical fragrances. Let yourself be charmed by its luminous cup, with refined, fresh and complex flavours evocative of red fruit and hazelnut.</t>
  </si>
  <si>
    <t>This excellent crop of Keemun black tea, very popular in China for its indulgent taste, offers a long-lasting, mellow and flavourful infusion. It has a subtle, slightly sweet orchid fragrance and deep flavours with typical spice and dark chocolate notes.</t>
  </si>
  <si>
    <t>Originating in Vietnam, this black tea from ancient tea bushes is the fruit of the labor of members of the local Dao ethnic minority. Its dark, twisted leaves offer a sweet, malty cup with lovely notes of roasted chestnuts and flowers. A treat in the morning with a cloud of milk...</t>
  </si>
  <si>
    <t>Golden buds</t>
  </si>
  <si>
    <t>Nepal - Panchthar</t>
  </si>
  <si>
    <t>The fruit of a summer harvest in the Himalayan highlands, this black tea has a high concentration of buds. Floral and sweet on the nose, its particularly dense liquor releases delicious notes of brown sugar and honey. An ideal tea for discovering the originality of Nepalese black teas.</t>
  </si>
  <si>
    <t>Memory of Everest</t>
  </si>
  <si>
    <t>This black tea, harvested in summer from small, high-altitude plots, is a gourmet delight. Its leaves release a surprisingly powerful cocoa aroma. On the palate, vegetal notes of licorice wood give way to delicious aromas reminiscent of milk chocolate and vanilla.</t>
  </si>
  <si>
    <t>Original scented black tea</t>
  </si>
  <si>
    <t>Ingredient: jasmine black tea*. *From organic farming.</t>
  </si>
  <si>
    <t>China - Anhui</t>
  </si>
  <si>
    <t>This great Qimen black tea, produced in the southwest of the famous Yellow Mountain, is a classic Chinese grand cru. Its smooth-textured red infusion blends typical chocolate and malty notes with light woody and fruity accents. A heavenly tea with perfect balance.</t>
  </si>
  <si>
    <t>Grown on land traditionally dedicated to spices, this black tea from smallholder gardens is a great success. Its supple chestnut-colored cup, with notes of ginger and sweet pepper, pleasantly reflects the richness of its terroir.</t>
  </si>
  <si>
    <t>Bearing the signature of Ceylon's high mountain teas, this broken-leaf tea from the UVA province offers an intense infusion with a beautiful, bright copper hue. Tasty and full-bodied, it is ideal for breakfast, and can be sweetened with a splash of milk or cream.</t>
  </si>
  <si>
    <t>Produced in the Phongsaly province in northern Laos, this black tea from ancient tea bushes features large leaves glazed with golden buds. Its supple, aromatic amber cup offers chocolate and vanilla flavours nicely punctuated by fruity citrus notes.</t>
  </si>
  <si>
    <t>Pearls of Laos</t>
  </si>
  <si>
    <t>With its many beautifully hemmed golden buds, this chocolate-flavoured black tea from Laos is a real delicacy. Its dense, coppery liquor deliciously envelops the palate with notes of cooked fruit, wildflower honey, cinnamon and vanilla crème brûlée... Intoxicating!</t>
  </si>
  <si>
    <t>New Zealand - Waikato</t>
  </si>
  <si>
    <t>The water way</t>
  </si>
  <si>
    <t>The four heavenly doors</t>
  </si>
  <si>
    <t>China - Zhejiang</t>
  </si>
  <si>
    <t xml:space="preserve">Island Fragrance </t>
  </si>
  <si>
    <t>This warm, indulgent blend of rooibos and vanilla is an invitation to set sail and dream of faraway islands and sweet, sunny moments... With no caffeine, it's perfect for sharing with the whole family. Ideally enjoyed to the tune of a ukulele!</t>
  </si>
  <si>
    <t xml:space="preserve">Ingredients: rooibos*, vanilla extract* 4%, vanilla pieces* 2%, marigold petals*. *From organic farming. </t>
  </si>
  <si>
    <t>Woodland Magic</t>
  </si>
  <si>
    <t>Blueberry - raspberry flavours</t>
  </si>
  <si>
    <t>This rooibos, beautifully embellished with cornflower petals and fruity blueberry and raspberry flavours, evokes the magic of the woods. A delicious full-flavoured stroll awaits you, to be enjoyed with the whole family, hot or iced!</t>
  </si>
  <si>
    <t>Ingredients: rooibos*, natural (blueberry*, raspberry*) flavourings 13%, aronia*, cornflower petals*. *From organic farming.</t>
  </si>
  <si>
    <t>The Milky Way</t>
  </si>
  <si>
    <t xml:space="preserve">The vanilla and woody notes of rooibos blend deliciously with the creamy, milky flavours of caramel. A gourmet recipe that can be enjoyed at any time of the day. </t>
  </si>
  <si>
    <t>Ingredients: rooibos*, natural (caramel* 7%, vanilla*) flavourings, caramel pieces* 6 % (cane sugar*, glucose syrup*, cocoa butter*, coconut milk powder*, pea protein*, dextrose*, salt (fleur de sel), natural Bourbon vanilla flavouring*, sunflower lecithins powder*), white cornflower petals*. *From organic farming.
Nutritional information per 100 ml: energy 3kJ/1kcal. This infusion contains negligible amounts of fat such as saturated fat, and of carbohydrates including sugars, proteins and salt.</t>
  </si>
  <si>
    <t>Sunshine in a cup</t>
  </si>
  <si>
    <t>Apricot - Peach</t>
  </si>
  <si>
    <t xml:space="preserve">Like a scent of sunshine, this rooibos combines the warmth of its origins with the smoothness of peach and the tangy notes of apricot. For a fruity break that evokes the sweetness of fine weather with every sip. </t>
  </si>
  <si>
    <t>Orange - Cinnamon</t>
  </si>
  <si>
    <t>With its warm, gourmet flavours, both spicy and fruity, this rooibos will enchant you from the very first sip! The combination of the fruity notes of orange with the sweetness of cinnamon and the woody, vanilla background of rooibos is simply irresistible...</t>
  </si>
  <si>
    <t>Ingredients: rooibos*, carrot pieces*, cinnamon pieces* 4%, orange essential oil* 2%, orange peels* 2%, cinnamon extract* 0.5%, marigold petals*. *From organic farming.</t>
  </si>
  <si>
    <t>A nod to the warm, plaintive sound of Archie Shepp's saxophone, this tasty rooibos-based recipe has been created to send shivers of pleasure down your spine. The delicate rose and vanilla notes of the emblematic South African beverage form a harmonious, bewitching and heavenly harmony...</t>
  </si>
  <si>
    <r>
      <t>Ingredients: rooibos**, rose extract* 9%, rose petals** 3%. *From organic farming. **From organic and biodynamic farming.</t>
    </r>
    <r>
      <rPr>
        <b/>
        <i/>
        <sz val="11"/>
        <color theme="1"/>
        <rFont val="Calibri"/>
        <family val="2"/>
        <scheme val="minor"/>
      </rPr>
      <t xml:space="preserve"> demeter</t>
    </r>
    <r>
      <rPr>
        <sz val="11"/>
        <color theme="1"/>
        <rFont val="Calibri"/>
        <family val="2"/>
        <scheme val="minor"/>
      </rPr>
      <t xml:space="preserve"> is the brand for products from biodynamic agriculture.</t>
    </r>
  </si>
  <si>
    <t>The African</t>
  </si>
  <si>
    <t>Pineapple - Coconut</t>
  </si>
  <si>
    <t xml:space="preserve">Let yourself be carried away by the beauty and power of the African continent with this sun-drenched rooibos! The marriage of pineapple and coconut against the vanilla background of rooibos is an invitation to a deliciously fruity journey, as exotic as it is delicious... </t>
  </si>
  <si>
    <t>Pear and cocoa flavors</t>
  </si>
  <si>
    <r>
      <t xml:space="preserve">This sun-drenched rooibos, which highlights the deliciousness and obviousness of the pear-cocoa pairing, openly refers to the delicious sensations of tasting a poached pears </t>
    </r>
    <r>
      <rPr>
        <i/>
        <sz val="12"/>
        <color theme="1"/>
        <rFont val="Calibri"/>
        <family val="2"/>
        <scheme val="minor"/>
      </rPr>
      <t>Belle-Hélène</t>
    </r>
    <r>
      <rPr>
        <sz val="12"/>
        <color theme="1"/>
        <rFont val="Calibri"/>
        <family val="2"/>
        <scheme val="minor"/>
      </rPr>
      <t>. A nod to the famous dessert that will delight young and old alike!</t>
    </r>
  </si>
  <si>
    <t>Compressed Pu'er</t>
  </si>
  <si>
    <t>These mini tuocha, the result of compressing pu'er leaves from ancient tea bushes, are particularly practical and easy to live with. Slip them into your pocket or bag, and enjoy their woody, slightly sweet flavours at the office or on a hike to the other side of the world.</t>
  </si>
  <si>
    <t xml:space="preserve">Ingredient: pu'er dark tea* compressed into a nest. *From organic farming. </t>
  </si>
  <si>
    <t>This fine mountain green tea is a classic among Chinese teas, renowned for its beautiful downy buds reminiscent of a bird's down. It is appreciated for its fresh, vegetal and mineral flavours, accompanied by pleasant floral and sweet notes.</t>
  </si>
  <si>
    <t>Composed of small, twisted leaves and silver buds with the appearance of downy tips, this famous Chinese green tea offers a particularly seductive cup. Its fresh, spring-like bouquet and delicate, fruity, sweet, herbal flavours make it a delight to drink.</t>
  </si>
  <si>
    <t>South Korean Kukicha</t>
  </si>
  <si>
    <t>Grown and processed according to Japanese traditions, this South Korean green tea from Jeju Island is made from carefully selected fine leaves and stems. Its bright, well-balanced cup offers pleasant mineral and herbaceous flavours that are both sweet and refreshing.</t>
  </si>
  <si>
    <t xml:space="preserve">This green tea from ancient tea bushes was born in the heart of the mountains of northeast Vietnam. Its leaves, with their many shades of green, release a peach-coloured infusion with vegetal and floral notes. Smooth and fresh, this tea leaves a pleasant fruity imprint on the palate. </t>
  </si>
  <si>
    <t>Harvested once a year in spring after a period in the shade, gyokuro, literally "jade dew", is Japan's finest green tea. Its fine, emerald-coloured leaves have an intense, fresh fragrance and produce a soft yellow infusion with a smooth, deliciously sweet taste.</t>
  </si>
  <si>
    <t>Dragon's Well</t>
  </si>
  <si>
    <t>The smooth, flat leaves in the shape of a sparrow's tongue are distinctive of this Long Jing or "Dragon's Well", a classic among Chinese green teas. Its mellow brew is reminiscent of chestnuts, with characteristic roasted notes.</t>
  </si>
  <si>
    <t>A true aromatic concentrate and the fruit of unique know-how, gyokuro is a shaded green tea of unrivalled finesse that is the pride of Japanese producers. Its fine, emerald-coloured leaves offer a silky infusion with intense milky, fruity and vegetal notes.</t>
  </si>
  <si>
    <t>This top-quality "gunpowder" green tea comes in the form of regular beads that release a bright yellow infusion with a round, sweet, slightly malty taste. Highly aromatic and long on the palate, it is ideal as a base for mint tea.</t>
  </si>
  <si>
    <t>Pema's dream</t>
  </si>
  <si>
    <t>This Nepalese green tea was born in small, high-altitude plots surrounded by a rich and beautiful diversity of plants, which it seems to have absorbed. Its small leaves produce a golden brew with vegetal, slightly acidic and spicy notes, and an airy quality that invites you to daydream.</t>
  </si>
  <si>
    <t>Organic black tea</t>
  </si>
  <si>
    <t>Organic flavoured black tea</t>
  </si>
  <si>
    <t>Organic black tea &amp; botanicals</t>
  </si>
  <si>
    <t>Organic black tea &amp; spices</t>
  </si>
  <si>
    <t>Organic botanicals</t>
  </si>
  <si>
    <t>Organic flavoured botanicals</t>
  </si>
  <si>
    <t>Organic flavoured fruit tea</t>
  </si>
  <si>
    <t>Organic flavoured green tea</t>
  </si>
  <si>
    <t>Organic flavoured Rooibos</t>
  </si>
  <si>
    <t>Organic flavoured tea blend</t>
  </si>
  <si>
    <t>Organic flavoured white tea</t>
  </si>
  <si>
    <t>Organic green tea &amp; botanicals</t>
  </si>
  <si>
    <t xml:space="preserve">Organic compressed pu'er dark tea </t>
  </si>
  <si>
    <t>Organic botanicals and spices</t>
  </si>
  <si>
    <t>Organic single origin black tea</t>
  </si>
  <si>
    <t>Organic single origin green tea</t>
  </si>
  <si>
    <t>Organic spice infusion</t>
  </si>
  <si>
    <t>ECOCERT EN</t>
  </si>
  <si>
    <t>This green tea with sweet flavours of elderflower and pear and sprinkled with sunflower petals supports the protection of the Eurasian curlew, the emblematic bird of the Alsatian Ried, whose curved beak is reminiscent of the moon. May its magical song accompany our tastings for many years to come!</t>
  </si>
  <si>
    <t xml:space="preserve">Born of the original meeting of the woody notes of wulong tea with the freshness of green tea and the floral and fruity flavours of elderberry and raspberry, this recipe is an ode to spring and the uplifting power of flowers. Enjoy this delightful drink that evokes the magic of the season. </t>
  </si>
  <si>
    <t>Fresh and fruity, this green tea, with its delicate lychee flavour and hints of pear, transports us to the romance between Lady Yang and Emperor Xuanzong. Unlike their passionate and tragic relationship, this beverage will transport you on a cloud of sweetness.</t>
  </si>
  <si>
    <t>Since 1999, the Kokopelli association has been campaigning for the liberation of seeds and against the patenting of living organisms. www.kokopelli-semences.fr</t>
  </si>
  <si>
    <t>LPO Birdlife France has been working to protect birds and safeguard biodiversity since 1912. lpo.fr</t>
  </si>
  <si>
    <t>The association Projet pour la Conservation des Grands Singes (PCGS) works to protect wild chimpanzees and their tropical forest habitats. helloasso.com/associations/projet-pour-la-conservation-des-grands-singes</t>
  </si>
  <si>
    <t>Non-EU agriculture</t>
  </si>
  <si>
    <t>EU-Non EU agriculture</t>
  </si>
  <si>
    <t>China agriculture</t>
  </si>
  <si>
    <t>India agriculture</t>
  </si>
  <si>
    <t>Texte TUBE</t>
  </si>
  <si>
    <t>CONDITIONNEMENT EXPORT</t>
  </si>
  <si>
    <r>
      <t xml:space="preserve">Ingredients: rooibos*, spices (cinnamon*, ginger*, pepper*, cloves*) 14,5%, fruit (orange peels* 2,5%, apple*, rosehips*), sweet orange essential oil* 2%, natural (apple*, </t>
    </r>
    <r>
      <rPr>
        <b/>
        <sz val="11"/>
        <color theme="1"/>
        <rFont val="Calibri"/>
        <family val="2"/>
        <scheme val="minor"/>
      </rPr>
      <t>almond</t>
    </r>
    <r>
      <rPr>
        <sz val="11"/>
        <color theme="1"/>
        <rFont val="Calibri"/>
        <family val="2"/>
        <scheme val="minor"/>
      </rPr>
      <t xml:space="preserve">*, strawberry*) flavourings, hibiscus*, flaked </t>
    </r>
    <r>
      <rPr>
        <b/>
        <sz val="11"/>
        <color theme="1"/>
        <rFont val="Calibri"/>
        <family val="2"/>
        <scheme val="minor"/>
      </rPr>
      <t>almonds</t>
    </r>
    <r>
      <rPr>
        <sz val="11"/>
        <color theme="1"/>
        <rFont val="Calibri"/>
        <family val="2"/>
        <scheme val="minor"/>
      </rPr>
      <t>*, cinnamon extract* 0,5%. *From organic farming.</t>
    </r>
  </si>
  <si>
    <t>TV6492EN</t>
  </si>
  <si>
    <t>TH1502EN</t>
  </si>
  <si>
    <t>TN4032EN</t>
  </si>
  <si>
    <t>TA6822EN</t>
  </si>
  <si>
    <t>TH0632EN</t>
  </si>
  <si>
    <t>TH5226EN</t>
  </si>
  <si>
    <t>TA6752EN</t>
  </si>
  <si>
    <t>This recipe, based on a green tea sailed from Vietnam, carries with it the inspiring breath of the seas. Like an exotic voyage, its tasting is lulled by intensely fruity flavours of pomegranate and passion fruit on a deliciously spicy cardamom background.</t>
  </si>
  <si>
    <t>Sailing all the way from its native Vietnam, this black tea follows the water way, foreshadowing a new future. With the help of the wind and its never-ending energy, we can peacefully enjoy a tea from small producers with pleasant woody scents and malty flavours full of sweetness.</t>
  </si>
  <si>
    <t>TF1222EN</t>
  </si>
  <si>
    <t>TN2292EN</t>
  </si>
  <si>
    <t>TA9026EN</t>
  </si>
  <si>
    <t>TJ2012EN</t>
  </si>
  <si>
    <t>TR2092EN</t>
  </si>
  <si>
    <t>TM1662EN</t>
  </si>
  <si>
    <t>TA7342EN</t>
  </si>
  <si>
    <t>MT3022EN</t>
  </si>
  <si>
    <t>MT1002EN</t>
  </si>
  <si>
    <t>Inspired by the enchantment of immaculate snow at the first light of a sunny day, this colourful white tea-based recipe is as appealing to the eye as it is to the palate. Notes of tonka bean, citrus and vanilla unfold their deliciousness, inviting you to melt with pleasure!</t>
  </si>
  <si>
    <t>TA6922EN</t>
  </si>
  <si>
    <t>TA6162EN</t>
  </si>
  <si>
    <t>TM6932EN</t>
  </si>
  <si>
    <t>TA7452EN</t>
  </si>
  <si>
    <t>ANTI-INFLAMMATORY
Blackcurrant leaves - Turmeric - Meadowsweet - Ginger</t>
  </si>
  <si>
    <t>Priorité</t>
  </si>
  <si>
    <t>The Secret of the muses</t>
  </si>
  <si>
    <t xml:space="preserve">Raspberry - Lemon </t>
  </si>
  <si>
    <t>Like a secret of the muses, the leaves of this beautiful, fragrant white tea reveal themselves when they meet pure water. The result is an inspired cup with delicious raspberry and elderberry flavours. Let yourself be seduced by this delectable secret.</t>
  </si>
  <si>
    <t>24345NR</t>
  </si>
  <si>
    <t>Botanicals</t>
  </si>
  <si>
    <t xml:space="preserve">Forever Summer </t>
  </si>
  <si>
    <t>24352NR</t>
  </si>
  <si>
    <t>25010NR</t>
  </si>
  <si>
    <t>Ingredients: rooibos*, natural (peach*, apricot*) flavourings 8%, fruit pieces (apricot*, peach*) 1%, marigold petals*. *From organic farming.</t>
  </si>
  <si>
    <t>ORIGINE EN</t>
  </si>
  <si>
    <t>Single origin wulong tea</t>
  </si>
  <si>
    <t>Ingredient: wulong tea*. *From organic farming.</t>
  </si>
  <si>
    <t>Phongsaly black OP</t>
  </si>
  <si>
    <t>25003NR</t>
  </si>
  <si>
    <t>25017NR</t>
  </si>
  <si>
    <t>250006NR</t>
  </si>
  <si>
    <t>orange</t>
  </si>
  <si>
    <t>This recipe, based on a selection of black tea vintages, combines the deep, tannic flavours of tea with the bright, fruity notes of citrus. A voluptuous recipe that invites you to take a break and enjoy the moment, the only moment that counts…</t>
  </si>
  <si>
    <t>Ingredients: wulong tea*, green tea*, natural (raspberry* 3%, elderflower*) flavourings, vanilla extract* 3%, flower petals (marigold*, rose*), raspberry pieces* 1%, mallow* leaves and flowers, elderflowers*. *From organic farming.</t>
  </si>
  <si>
    <t>TA6262EN</t>
  </si>
  <si>
    <t>TN5512EN</t>
  </si>
  <si>
    <t>TA7462EN</t>
  </si>
  <si>
    <t>Elégant thé noir façonné à la manière du légendaire Bi Luo Chun. Saveurs gourmandes de prunes compotées, d’orange et de moka.</t>
  </si>
  <si>
    <t xml:space="preserve">Délicatement façonné à la manière des légendaires "Bi Luo Chun", ce thé noir est un grand séducteur. Sa liqueur ambrée, douce et d'une belle plénitude libère des arômes fruités de prunes compotées et d’orange délicieusement accompagnée d'une pointe de moka. Un thé aussi élégant que gourmand.
</t>
  </si>
  <si>
    <t>Perles de bourgeons de thé noir parfumées traditionnellement. Notes florales de jasmin, de caramel et de cacao.</t>
  </si>
  <si>
    <t xml:space="preserve">Parfumé de manière traditionnelle avec des fleurs fraîchement cueillies, ce thé noir au jasmin singulier se présente sous forme d’élégantes perles tigrées couleur taupe et or. Son infusion douce et veloutée offre des arômes floraux profonds accompagnés de notes chaudes de caramel et de cacao. Superbe !
</t>
  </si>
  <si>
    <t>Perles de thé blanc de montagne parfumées avec des fleurs fraîches de jasmin, selon la méthode traditionnelle. Suave et frais.</t>
  </si>
  <si>
    <t xml:space="preserve">Ce thé blanc au jasmin de montagne dont les bourgeons ont été façonnés en de précieuses perles a été parfumé de manière traditionnelle avec des fleurs fraîchement cueillies. Son infusion offre une tasse veloutée, suave et fraîche aux arômes floraux d’une profondeur incomparable. Divin !
</t>
  </si>
  <si>
    <t>Célèbre primeur aux feuilles en forme de langue de moineau. Notes : châtaigne, légumes printaniers cuits.</t>
  </si>
  <si>
    <t xml:space="preserve">Récolté au printemps, ce thé vert célébré par les poètes fait partie des thés verts de Chine les plus prisés. Son infusion d’une belle densité en bouche imprègne longuement le palais par ses saveurs typiques de châtaigne, de légumes printaniers cuits accompagnées d’une pointe d’amertume.
</t>
  </si>
  <si>
    <t>Thé noir du Laos riche en bourgeons. Notes gourmandes de fruits cuits, de miel de fleurs sauvages, de cannelle et de crème brûlée vanillée.</t>
  </si>
  <si>
    <t>Le vent comme énergie de transport permet de réduire largement les émissions de gaz à effet de serre et d'atténuer les impacts sur la biodiversité. Ensemble, changeons de cap!</t>
  </si>
  <si>
    <t>Wind as an energy for transportation significantly reduces greenhouse gas emissions and mitigates impacts on biodiversity. Together, let's change course!</t>
  </si>
  <si>
    <t>TEXTE COMMERCIAL EN COURT</t>
  </si>
  <si>
    <t>Black tea from Laos, rich in buds. Indulgent notes of cooked fruits, wildflower honey, cinnamon, and vanilla crème brûlée.</t>
  </si>
  <si>
    <t>25014NR</t>
  </si>
  <si>
    <r>
      <t xml:space="preserve">Ingrédients : thé noir </t>
    </r>
    <r>
      <rPr>
        <sz val="12"/>
        <rFont val="Calibri"/>
        <family val="2"/>
        <scheme val="minor"/>
      </rPr>
      <t>fumé</t>
    </r>
    <r>
      <rPr>
        <sz val="11"/>
        <rFont val="Calibri"/>
        <family val="2"/>
        <scheme val="minor"/>
      </rPr>
      <t xml:space="preserve">*, pétales de rose*, lavande*, huile essentielle de bergamote* 2%. *Issu de l'agriculture biologique. </t>
    </r>
  </si>
  <si>
    <t>As an independent, family-run French company, we have been committed to organic farming and fair trade since our creation.
Infusing for the world.
Les Jardins de Gaïa, a generous company since 1994</t>
  </si>
  <si>
    <t>As an independent, family-run French company, we have been committed to organic farming and fair trade since our creation. Certified member of the World Fair Trade Organization: www.wfto.com
Infusing for the world.
Les Jardins de Gaïa, a generous company since 1994</t>
  </si>
  <si>
    <t>Aromatisé</t>
  </si>
  <si>
    <t>Récolte estivale de thé noir népalais riche en bourgeons dorés. Agréable senteur florale et sucrée. Liqueur dense aux notes gourmandes de cassonade et de miel.</t>
  </si>
  <si>
    <t>Summer harvest of Nepalese black tea rich in golden buds. Pleasant floral and sweet scent. Dense liquor with gourmet notes of brown sugar and honey.</t>
  </si>
  <si>
    <t>COMMENTAIRES</t>
  </si>
  <si>
    <r>
      <t xml:space="preserve">Lapacho </t>
    </r>
    <r>
      <rPr>
        <sz val="11"/>
        <color rgb="FFFF0000"/>
        <rFont val="Calibri"/>
        <family val="2"/>
        <scheme val="minor"/>
      </rPr>
      <t>sapwood</t>
    </r>
    <r>
      <rPr>
        <sz val="11"/>
        <color theme="1"/>
        <rFont val="Calibri"/>
        <family val="2"/>
        <scheme val="minor"/>
      </rPr>
      <t xml:space="preserve"> is central to the pharmacopoeia of the Kallawayas, the famous Amerindian healers. Its lightly woody, vanilla-flavored decoction is renowned for boosting the immune system, improving blood circulation and for its draining and antioxidant effects.</t>
    </r>
  </si>
  <si>
    <r>
      <t xml:space="preserve">L’aubier du lapacho </t>
    </r>
    <r>
      <rPr>
        <sz val="12"/>
        <rFont val="Calibri"/>
        <family val="2"/>
        <scheme val="minor"/>
      </rPr>
      <t>est au centre de la pharmacopée des Kallawayas, célèbre peuple de guérisseurs amérindiens. Sa décoction aux saveurs vanillées et légèrement boisées est reconnue pour renforcer le système immunitaire, améliorer la circulation sanguine et pour ses effets drainants et antioxydants.</t>
    </r>
  </si>
  <si>
    <r>
      <t xml:space="preserve">le mot </t>
    </r>
    <r>
      <rPr>
        <b/>
        <sz val="11"/>
        <color rgb="FFFF0000"/>
        <rFont val="Calibri"/>
        <family val="2"/>
        <scheme val="minor"/>
      </rPr>
      <t>aubier</t>
    </r>
    <r>
      <rPr>
        <sz val="11"/>
        <color theme="1"/>
        <rFont val="Calibri"/>
        <family val="2"/>
        <scheme val="minor"/>
      </rPr>
      <t xml:space="preserve"> a été ajouté à la description du produit 29/01/2025, à prendre en compte  pour une</t>
    </r>
    <r>
      <rPr>
        <b/>
        <sz val="11"/>
        <color rgb="FFFF0000"/>
        <rFont val="Calibri"/>
        <family val="2"/>
        <scheme val="minor"/>
      </rPr>
      <t xml:space="preserve"> version V6</t>
    </r>
  </si>
  <si>
    <t xml:space="preserve">Le maté fait partie du régime alimentaire traditionnel et de la culture sud-américaine. On l'apprécie pour son effet stimulant, drainant et son action positive sur le contrôle du poids. Avec ses saveurs fraîches et toniques, c'est un régal chaud ou glacé. </t>
  </si>
  <si>
    <t>Unlike classic mate, green mate has not been refined, giving it less bitter flavours. Fresh and mild, it is an excellent introduction to the world of yerba mate. It is appreciated for its stimulating, cleansing effect and its a positive effect on weight control.</t>
  </si>
  <si>
    <t>25015NR</t>
  </si>
  <si>
    <r>
      <t xml:space="preserve">This charming Indian wulong tea with its supple, smooth </t>
    </r>
    <r>
      <rPr>
        <sz val="12"/>
        <color theme="4"/>
        <rFont val="Calibri"/>
        <family val="2"/>
        <scheme val="minor"/>
      </rPr>
      <t>brew</t>
    </r>
    <r>
      <rPr>
        <sz val="12"/>
        <color theme="1"/>
        <rFont val="Calibri"/>
        <family val="2"/>
        <scheme val="minor"/>
      </rPr>
      <t xml:space="preserve"> delivers a beautiful palette of malty, woody and fruity notes. Tasting offers gourmet, exotic flavours of vanilla, milk chocolate and sandalwood, ending with a beautiful mineral, pyrogenic finish. </t>
    </r>
  </si>
  <si>
    <t>Organic single origin wulong tea</t>
  </si>
  <si>
    <t>24020NR</t>
  </si>
  <si>
    <t>NOUVEAU TEXTE COMMERCIAL COURT POUR ETIQUETTES GRANDS CRUS</t>
  </si>
  <si>
    <t>BIOCOOP</t>
  </si>
  <si>
    <r>
      <t>Ingredients: honeybush* 48% (</t>
    </r>
    <r>
      <rPr>
        <i/>
        <sz val="11"/>
        <color theme="1"/>
        <rFont val="Calibri"/>
        <family val="2"/>
        <scheme val="minor"/>
      </rPr>
      <t>Cyclopia subternata</t>
    </r>
    <r>
      <rPr>
        <sz val="11"/>
        <color theme="1"/>
        <rFont val="Calibri"/>
        <family val="2"/>
        <scheme val="minor"/>
      </rPr>
      <t>), anise* (</t>
    </r>
    <r>
      <rPr>
        <i/>
        <sz val="11"/>
        <color theme="1"/>
        <rFont val="Calibri"/>
        <family val="2"/>
        <scheme val="minor"/>
      </rPr>
      <t>Pimpinella anisum</t>
    </r>
    <r>
      <rPr>
        <sz val="11"/>
        <color theme="1"/>
        <rFont val="Calibri"/>
        <family val="2"/>
        <scheme val="minor"/>
      </rPr>
      <t>), ginger* (</t>
    </r>
    <r>
      <rPr>
        <i/>
        <sz val="11"/>
        <color theme="1"/>
        <rFont val="Calibri"/>
        <family val="2"/>
        <scheme val="minor"/>
      </rPr>
      <t>Zingiber officinale</t>
    </r>
    <r>
      <rPr>
        <sz val="11"/>
        <color theme="1"/>
        <rFont val="Calibri"/>
        <family val="2"/>
        <scheme val="minor"/>
      </rPr>
      <t>), apple pieces* (</t>
    </r>
    <r>
      <rPr>
        <i/>
        <sz val="11"/>
        <color theme="1"/>
        <rFont val="Calibri"/>
        <family val="2"/>
        <scheme val="minor"/>
      </rPr>
      <t>Malus domestica</t>
    </r>
    <r>
      <rPr>
        <sz val="11"/>
        <color theme="1"/>
        <rFont val="Calibri"/>
        <family val="2"/>
        <scheme val="minor"/>
      </rPr>
      <t>), cardamom* 7% (</t>
    </r>
    <r>
      <rPr>
        <i/>
        <sz val="11"/>
        <color theme="1"/>
        <rFont val="Calibri"/>
        <family val="2"/>
        <scheme val="minor"/>
      </rPr>
      <t>Elettaria cardamomum</t>
    </r>
    <r>
      <rPr>
        <sz val="11"/>
        <color theme="1"/>
        <rFont val="Calibri"/>
        <family val="2"/>
        <scheme val="minor"/>
      </rPr>
      <t>), cinnamon* (</t>
    </r>
    <r>
      <rPr>
        <i/>
        <sz val="11"/>
        <color theme="1"/>
        <rFont val="Calibri"/>
        <family val="2"/>
        <scheme val="minor"/>
      </rPr>
      <t>Cinnamomum zeylanicum</t>
    </r>
    <r>
      <rPr>
        <sz val="11"/>
        <color theme="1"/>
        <rFont val="Calibri"/>
        <family val="2"/>
        <scheme val="minor"/>
      </rPr>
      <t>), verbena* (</t>
    </r>
    <r>
      <rPr>
        <i/>
        <sz val="11"/>
        <color theme="1"/>
        <rFont val="Calibri"/>
        <family val="2"/>
        <scheme val="minor"/>
      </rPr>
      <t>Aloysia triphylla</t>
    </r>
    <r>
      <rPr>
        <sz val="11"/>
        <color theme="1"/>
        <rFont val="Calibri"/>
        <family val="2"/>
        <scheme val="minor"/>
      </rPr>
      <t>), violet flowers* (</t>
    </r>
    <r>
      <rPr>
        <i/>
        <sz val="11"/>
        <color theme="1"/>
        <rFont val="Calibri"/>
        <family val="2"/>
        <scheme val="minor"/>
      </rPr>
      <t>Viola odorata</t>
    </r>
    <r>
      <rPr>
        <sz val="11"/>
        <color theme="1"/>
        <rFont val="Calibri"/>
        <family val="2"/>
        <scheme val="minor"/>
      </rPr>
      <t>), cornflower petals* (</t>
    </r>
    <r>
      <rPr>
        <i/>
        <sz val="11"/>
        <color theme="1"/>
        <rFont val="Calibri"/>
        <family val="2"/>
        <scheme val="minor"/>
      </rPr>
      <t>Centaurea cyanus</t>
    </r>
    <r>
      <rPr>
        <sz val="11"/>
        <color theme="1"/>
        <rFont val="Calibri"/>
        <family val="2"/>
        <scheme val="minor"/>
      </rPr>
      <t>). *From organic farming.</t>
    </r>
  </si>
  <si>
    <t>25027NR</t>
  </si>
  <si>
    <t>Sometimes disliked for its slightly "pungent" character, nettle makes a very pleasant infusion, with its smoothness and lovely milky, sweet and herbaceous notes. Its cleansing qualities make it a precious ally for supporting kidney functions. A plant to rediscover...</t>
  </si>
  <si>
    <r>
      <t>Ingredient: common nettle* (</t>
    </r>
    <r>
      <rPr>
        <i/>
        <sz val="11"/>
        <color theme="1"/>
        <rFont val="Calibri"/>
        <family val="2"/>
        <scheme val="minor"/>
      </rPr>
      <t xml:space="preserve">Urtica dioica </t>
    </r>
    <r>
      <rPr>
        <sz val="11"/>
        <color theme="1"/>
        <rFont val="Calibri"/>
        <family val="2"/>
        <scheme val="minor"/>
      </rPr>
      <t>L.). *From organic farming.</t>
    </r>
  </si>
  <si>
    <r>
      <t xml:space="preserve">The large, rolled leaves of this </t>
    </r>
    <r>
      <rPr>
        <sz val="12"/>
        <color theme="4"/>
        <rFont val="Calibri"/>
        <family val="2"/>
        <scheme val="minor"/>
      </rPr>
      <t>wulong</t>
    </r>
    <r>
      <rPr>
        <sz val="12"/>
        <color theme="1"/>
        <rFont val="Calibri"/>
        <family val="2"/>
        <scheme val="minor"/>
      </rPr>
      <t xml:space="preserve"> from the Hubei mountains release a bright yellow </t>
    </r>
    <r>
      <rPr>
        <sz val="12"/>
        <color theme="4"/>
        <rFont val="Calibri"/>
        <family val="2"/>
        <scheme val="minor"/>
      </rPr>
      <t>brew</t>
    </r>
    <r>
      <rPr>
        <sz val="12"/>
        <color theme="1"/>
        <rFont val="Calibri"/>
        <family val="2"/>
        <scheme val="minor"/>
      </rPr>
      <t xml:space="preserve"> with an intense floral fragrance. Its name "Jade" comes from its low oxidation, which makes it similar to a green tea and gives it pleasant fruity, vegetal flavours. </t>
    </r>
  </si>
  <si>
    <r>
      <t xml:space="preserve">Ingredients : green tea*, cinnamon*, ginger*, star anise* </t>
    </r>
    <r>
      <rPr>
        <b/>
        <sz val="11"/>
        <color rgb="FFFF0000"/>
        <rFont val="Calibri"/>
        <family val="2"/>
        <scheme val="minor"/>
      </rPr>
      <t>5</t>
    </r>
    <r>
      <rPr>
        <sz val="11"/>
        <color theme="1"/>
        <rFont val="Calibri"/>
        <family val="2"/>
        <scheme val="minor"/>
      </rPr>
      <t xml:space="preserve">%, natural apple flavouring* </t>
    </r>
    <r>
      <rPr>
        <b/>
        <sz val="11"/>
        <color rgb="FFFF0000"/>
        <rFont val="Calibri"/>
        <family val="2"/>
        <scheme val="minor"/>
      </rPr>
      <t>5</t>
    </r>
    <r>
      <rPr>
        <sz val="11"/>
        <color theme="1"/>
        <rFont val="Calibri"/>
        <family val="2"/>
        <scheme val="minor"/>
      </rPr>
      <t>%, apple pieces* 3%, pink berries*. *From organic farming.</t>
    </r>
  </si>
  <si>
    <t>badiane - pomme</t>
  </si>
  <si>
    <r>
      <t>ingrédients : thé vert*, cannelle*, gingembre*, badiane*</t>
    </r>
    <r>
      <rPr>
        <b/>
        <sz val="11"/>
        <color rgb="FFFF0000"/>
        <rFont val="Calibri"/>
        <family val="2"/>
        <scheme val="minor"/>
      </rPr>
      <t xml:space="preserve"> 5</t>
    </r>
    <r>
      <rPr>
        <sz val="11"/>
        <color theme="1"/>
        <rFont val="Calibri"/>
        <family val="2"/>
        <scheme val="minor"/>
      </rPr>
      <t xml:space="preserve">%, arôme naturel de pomme* </t>
    </r>
    <r>
      <rPr>
        <b/>
        <sz val="11"/>
        <color rgb="FFFF0000"/>
        <rFont val="Calibri"/>
        <family val="2"/>
        <scheme val="minor"/>
      </rPr>
      <t>5</t>
    </r>
    <r>
      <rPr>
        <sz val="11"/>
        <color theme="1"/>
        <rFont val="Calibri"/>
        <family val="2"/>
        <scheme val="minor"/>
      </rPr>
      <t>%, morceaux de pomme* 3%, baies roses*. *Issu de l’agriculture biologique.</t>
    </r>
  </si>
  <si>
    <t xml:space="preserve">Star anise - Apple </t>
  </si>
  <si>
    <t xml:space="preserve">Traditionally scented with freshly plucked flowers, this singular jasmine black tea comes in elegant taupe and gold tiger pearls. Its smooth, velvety infusion offers deep floral aromas accompanied by warm notes of caramel and cocoa. </t>
  </si>
  <si>
    <t>Traditionally scented black tea bud pearls. Floral notes of jasmine, caramel and cocoa.</t>
  </si>
  <si>
    <r>
      <t>Ingrédients : thé blanc*, fève tonka* 13%, écorces de mandarine* 6%, baies roses*, pétales de rose*, extrait de vanille*, huiles essentielles</t>
    </r>
    <r>
      <rPr>
        <sz val="11"/>
        <rFont val="Calibri"/>
        <family val="2"/>
        <scheme val="minor"/>
      </rPr>
      <t xml:space="preserve"> </t>
    </r>
    <r>
      <rPr>
        <sz val="12"/>
        <rFont val="Calibri"/>
        <family val="2"/>
        <scheme val="minor"/>
      </rPr>
      <t>d'agrumes</t>
    </r>
    <r>
      <rPr>
        <sz val="11"/>
        <color theme="1"/>
        <rFont val="Calibri"/>
        <family val="2"/>
        <scheme val="minor"/>
      </rPr>
      <t xml:space="preserve"> (orange*, bergamote*) </t>
    </r>
    <r>
      <rPr>
        <sz val="12"/>
        <rFont val="Calibri"/>
        <family val="2"/>
        <scheme val="minor"/>
      </rPr>
      <t>3%</t>
    </r>
    <r>
      <rPr>
        <sz val="11"/>
        <rFont val="Calibri"/>
        <family val="2"/>
        <scheme val="minor"/>
      </rPr>
      <t xml:space="preserve">, </t>
    </r>
    <r>
      <rPr>
        <sz val="11"/>
        <color theme="1"/>
        <rFont val="Calibri"/>
        <family val="2"/>
        <scheme val="minor"/>
      </rPr>
      <t xml:space="preserve">pétales de soucis*, </t>
    </r>
    <r>
      <rPr>
        <sz val="11"/>
        <color rgb="FFFF0000"/>
        <rFont val="Calibri"/>
        <family val="2"/>
        <scheme val="minor"/>
      </rPr>
      <t>d'amarante*</t>
    </r>
    <r>
      <rPr>
        <sz val="11"/>
        <color theme="1"/>
        <rFont val="Calibri"/>
        <family val="2"/>
        <scheme val="minor"/>
      </rPr>
      <t>. *Issu de l’agriculture biologique.</t>
    </r>
  </si>
  <si>
    <t>Ingrédients : thé blanc*, fève tonka* 13%, écorces de mandarine* 6%, baies roses*, pétales de rose*, extrait de vanille*, huiles essentielles d'agrumes (orange*, bergamote*) 3%, pétales de soucis*, fleurs de violette*. *Issu de l’agriculture biologique.</t>
  </si>
  <si>
    <t>changement de recette à épuisement du semi avec la violette</t>
  </si>
  <si>
    <t>Ingrédients : thé blanc*, fève tonka* 13%, écorces de mandarine* 6%, baies roses*, pétales de rose*, extrait de vanille*, huiles essentielles d'agrumes (orange*, bergamote*) 3%, pétales de soucis*, d'amarante*. *Issu de l’agriculture biologique.</t>
  </si>
  <si>
    <t>25029NR</t>
  </si>
  <si>
    <t>honeybush - fève tonka -  piment</t>
  </si>
  <si>
    <t>Ingredients: black tea*, honeybush*, fig pieces* 19%, natural (fig 5%, honey* 4%) flavourings, thyme* 1%, marigold petals*. *From organic farming.</t>
  </si>
  <si>
    <t>25030NR</t>
  </si>
  <si>
    <t>25034NR</t>
  </si>
  <si>
    <t>25037NR</t>
  </si>
  <si>
    <t xml:space="preserve">Ingrédients : thé vert*, argousier* 5%, huiles essentielles d'agrumes (orange douce*, citron*, orange sanguine*, pamplemousse*, mandarine*) 2%. *Issu de l’agriculture biologique. </t>
  </si>
  <si>
    <r>
      <t>ETCLN1002V</t>
    </r>
    <r>
      <rPr>
        <b/>
        <sz val="16"/>
        <color rgb="FFFF0000"/>
        <rFont val="Calibri"/>
        <family val="2"/>
        <scheme val="minor"/>
      </rPr>
      <t>6</t>
    </r>
  </si>
  <si>
    <r>
      <t>ETLN100V</t>
    </r>
    <r>
      <rPr>
        <b/>
        <sz val="16"/>
        <color rgb="FFFF0000"/>
        <rFont val="Calibri"/>
        <family val="2"/>
        <scheme val="minor"/>
      </rPr>
      <t>6</t>
    </r>
  </si>
  <si>
    <t>Ingredients: black tea*, toasted buckwheat* 17%, natural (banana* 6%, caramel* 3%, vanilla*) flavourings, strawberry leaves*, banana pieces* 1%. *From organic farming.</t>
  </si>
  <si>
    <t>This marriage of fresh green tea with velvety vanilla and the delicate, sweet aroma of mandarin has a foretaste of paradise. Close your eyes and let yourself be transported to heavenly lands where all is flavour, luxury, calm and pleasure…</t>
  </si>
  <si>
    <r>
      <t>Ingrédients : menthe odorante* (</t>
    </r>
    <r>
      <rPr>
        <i/>
        <sz val="11"/>
        <color rgb="FFFF0000"/>
        <rFont val="Calibri"/>
        <family val="2"/>
        <scheme val="minor"/>
      </rPr>
      <t>Mentha rotundifolia</t>
    </r>
    <r>
      <rPr>
        <sz val="11"/>
        <color rgb="FFFF0000"/>
        <rFont val="Calibri"/>
        <family val="2"/>
        <scheme val="minor"/>
      </rPr>
      <t>) 35%, feuille de tournesol* (</t>
    </r>
    <r>
      <rPr>
        <i/>
        <sz val="11"/>
        <color rgb="FFFF0000"/>
        <rFont val="Calibri"/>
        <family val="2"/>
        <scheme val="minor"/>
      </rPr>
      <t>Helianthus annuus</t>
    </r>
    <r>
      <rPr>
        <sz val="11"/>
        <color rgb="FFFF0000"/>
        <rFont val="Calibri"/>
        <family val="2"/>
        <scheme val="minor"/>
      </rPr>
      <t>) 25%, pétales de souci* (</t>
    </r>
    <r>
      <rPr>
        <i/>
        <sz val="11"/>
        <color rgb="FFFF0000"/>
        <rFont val="Calibri"/>
        <family val="2"/>
        <scheme val="minor"/>
      </rPr>
      <t>Calendula officinalis</t>
    </r>
    <r>
      <rPr>
        <sz val="11"/>
        <color rgb="FFFF0000"/>
        <rFont val="Calibri"/>
        <family val="2"/>
        <scheme val="minor"/>
      </rPr>
      <t>) 13%, pétales de tournesol* (</t>
    </r>
    <r>
      <rPr>
        <i/>
        <sz val="11"/>
        <color rgb="FFFF0000"/>
        <rFont val="Calibri"/>
        <family val="2"/>
        <scheme val="minor"/>
      </rPr>
      <t>Helianthus annuus</t>
    </r>
    <r>
      <rPr>
        <sz val="11"/>
        <color rgb="FFFF0000"/>
        <rFont val="Calibri"/>
        <family val="2"/>
        <scheme val="minor"/>
      </rPr>
      <t>), origan* (</t>
    </r>
    <r>
      <rPr>
        <i/>
        <sz val="11"/>
        <color rgb="FFFF0000"/>
        <rFont val="Calibri"/>
        <family val="2"/>
        <scheme val="minor"/>
      </rPr>
      <t>Origanum vulgare</t>
    </r>
    <r>
      <rPr>
        <sz val="11"/>
        <color rgb="FFFF0000"/>
        <rFont val="Calibri"/>
        <family val="2"/>
        <scheme val="minor"/>
      </rPr>
      <t>), camomille* (</t>
    </r>
    <r>
      <rPr>
        <i/>
        <sz val="11"/>
        <color rgb="FFFF0000"/>
        <rFont val="Calibri"/>
        <family val="2"/>
        <scheme val="minor"/>
      </rPr>
      <t>Matricaria chamomilla</t>
    </r>
    <r>
      <rPr>
        <sz val="11"/>
        <color rgb="FFFF0000"/>
        <rFont val="Calibri"/>
        <family val="2"/>
        <scheme val="minor"/>
      </rPr>
      <t>), pétales de bleuet* (</t>
    </r>
    <r>
      <rPr>
        <i/>
        <sz val="11"/>
        <color rgb="FFFF0000"/>
        <rFont val="Calibri"/>
        <family val="2"/>
        <scheme val="minor"/>
      </rPr>
      <t>Centaurea cyanus</t>
    </r>
    <r>
      <rPr>
        <sz val="11"/>
        <color rgb="FFFF0000"/>
        <rFont val="Calibri"/>
        <family val="2"/>
        <scheme val="minor"/>
      </rPr>
      <t>), pétales de rose* (</t>
    </r>
    <r>
      <rPr>
        <i/>
        <sz val="11"/>
        <color rgb="FFFF0000"/>
        <rFont val="Calibri"/>
        <family val="2"/>
        <scheme val="minor"/>
      </rPr>
      <t>Rosa damascena</t>
    </r>
    <r>
      <rPr>
        <sz val="11"/>
        <color rgb="FFFF0000"/>
        <rFont val="Calibri"/>
        <family val="2"/>
        <scheme val="minor"/>
      </rPr>
      <t>), fleurs de lilas* (</t>
    </r>
    <r>
      <rPr>
        <i/>
        <sz val="11"/>
        <color rgb="FFFF0000"/>
        <rFont val="Calibri"/>
        <family val="2"/>
        <scheme val="minor"/>
      </rPr>
      <t>Syringa vulgaris</t>
    </r>
    <r>
      <rPr>
        <sz val="11"/>
        <color rgb="FFFF0000"/>
        <rFont val="Calibri"/>
        <family val="2"/>
        <scheme val="minor"/>
      </rPr>
      <t xml:space="preserve">). *Issu de l'agriculture biologique. </t>
    </r>
  </si>
  <si>
    <r>
      <t>ETHN5110V</t>
    </r>
    <r>
      <rPr>
        <b/>
        <sz val="16"/>
        <color rgb="FFFF0000"/>
        <rFont val="Calibri"/>
        <family val="2"/>
        <scheme val="minor"/>
      </rPr>
      <t>6</t>
    </r>
  </si>
  <si>
    <r>
      <rPr>
        <b/>
        <sz val="11"/>
        <color rgb="FFFF0000"/>
        <rFont val="Calibri"/>
        <family val="2"/>
        <scheme val="minor"/>
      </rPr>
      <t>nelle recette V6</t>
    </r>
    <r>
      <rPr>
        <sz val="11"/>
        <color rgb="FFFF0000"/>
        <rFont val="Calibri"/>
        <family val="2"/>
        <scheme val="minor"/>
      </rPr>
      <t xml:space="preserve">
Ingrédients : menthe odorante* (Mentha rotundifolia) 40%, pétales de souci* (Calendula officinalis) 15%, feuille de framboisier* (Rubus idaeus) 15%, pétales de tournesol* (Helianthus annuus) 11%, feuille de noisetier* (Corylus avellana) 6%, origan* (Origanum vulgare) 4%, camomille* (Matricaria chamomilla) 4%, pétales de bleuet* (Centaurea cyanus) 4%, pétales de rose* (Rosa damascena) 1%. *Issu de l'agriculture biologique</t>
    </r>
  </si>
  <si>
    <t>ETHM0182V5</t>
  </si>
  <si>
    <t>ETCHM0182V5</t>
  </si>
  <si>
    <r>
      <rPr>
        <sz val="11"/>
        <color theme="4"/>
        <rFont val="Calibri"/>
        <family val="2"/>
        <scheme val="minor"/>
      </rPr>
      <t>Scented</t>
    </r>
    <r>
      <rPr>
        <sz val="11"/>
        <color theme="1"/>
        <rFont val="Calibri"/>
        <family val="2"/>
        <scheme val="minor"/>
      </rPr>
      <t xml:space="preserve"> wulong tea</t>
    </r>
  </si>
  <si>
    <t>Ingredients: wulong tea**, amaranth flowers* 4%. *From organic farming. **From organic and biodynamic farming. demeter is the brand for products from biodynamic agriculture.</t>
  </si>
  <si>
    <r>
      <t xml:space="preserve">The downy buds of this </t>
    </r>
    <r>
      <rPr>
        <sz val="12"/>
        <color theme="4"/>
        <rFont val="Calibri"/>
        <family val="2"/>
        <scheme val="minor"/>
      </rPr>
      <t>wulong</t>
    </r>
    <r>
      <rPr>
        <sz val="12"/>
        <color theme="1"/>
        <rFont val="Calibri"/>
        <family val="2"/>
        <scheme val="minor"/>
      </rPr>
      <t xml:space="preserve"> tea have been skilfully shaped to allow the graceful flower they conceal to blossom slowly. The result is a clear, silky infusion with the sweet taste of wild flowers. A moment of poetry to savour…</t>
    </r>
  </si>
  <si>
    <t>ETTUTO3542</t>
  </si>
  <si>
    <t>25056NR</t>
  </si>
  <si>
    <r>
      <t>ETHN2600V</t>
    </r>
    <r>
      <rPr>
        <b/>
        <sz val="16"/>
        <color rgb="FFFF0000"/>
        <rFont val="Calibri"/>
        <family val="2"/>
        <scheme val="minor"/>
      </rPr>
      <t>6</t>
    </r>
  </si>
  <si>
    <r>
      <t>ETHN2600V</t>
    </r>
    <r>
      <rPr>
        <sz val="11"/>
        <rFont val="Calibri"/>
        <family val="2"/>
        <scheme val="minor"/>
      </rPr>
      <t>5</t>
    </r>
  </si>
  <si>
    <r>
      <t>Ingrédients: rooibos*, arôme</t>
    </r>
    <r>
      <rPr>
        <sz val="11"/>
        <rFont val="Calibri"/>
        <family val="2"/>
        <scheme val="minor"/>
      </rPr>
      <t>s naturels de (ananas* 5%, noix de coco* 4%, banane*), morceaux de fruits (ananas* 1%, banane*), copeaux de noix de coco* 1%. *Issu de l'agriculture bi</t>
    </r>
    <r>
      <rPr>
        <sz val="11"/>
        <color theme="1"/>
        <rFont val="Calibri"/>
        <family val="2"/>
        <scheme val="minor"/>
      </rPr>
      <t>ologique.</t>
    </r>
  </si>
  <si>
    <t>Ingredients: rooibos*, natural (pineapple* 5% coconut* 4%, banana*) flavourings, fruit pieces (pineapple pieces* 1%, banana pieces*), coconut flakes* 1%. *From organic farming.</t>
  </si>
  <si>
    <t>Thé wulong dont les feuilles ont été cuites avec une maîtrise parfaite. Liqueur gourmande aux notes d’abricot, de raisin de Corinthe, de pain grillé et de fruits à coque.</t>
  </si>
  <si>
    <t>This characterful wulong tea reflects the exceptional richness of the unspoilt Waikato region in northern New Zealand. Its long-fired leaves produce a rich, dense brew with irresistible notes of apricot, currant, toast and nuts.</t>
  </si>
  <si>
    <t>Oolong tea whose leaves have been roasted with perfect mastery. A gourmet liquor with notes of apricot, currants, toasted bread, and nuts.</t>
  </si>
  <si>
    <t>This black tea is astonishingly rich in aroma and sweetness. Its intense orange brew develops magnificent confectionery flavours on a malty, slightly woody background, evoking marshmallows, apricots and raisins. Ideal for a savoury sunrise!</t>
  </si>
  <si>
    <t>This marriage of the herbal flavours of green tea with the fruity, slightly acidic flavours of a citrus combination leaves no one indifferent. A true sea of freshness for the taste buds, to be enjoyed either as a hot or iced infusion.</t>
  </si>
  <si>
    <t>Masala chaï, a popular preparation based on black tea and spices, takes you to the heart of India and its traditions. You'll appreciate its warm, rich flavours. A treat for lovers of authenticity, who traditionally add some milk and sugar.</t>
  </si>
  <si>
    <t>25070NR</t>
  </si>
  <si>
    <t>tube</t>
  </si>
  <si>
    <t>Pomme de Noël</t>
  </si>
  <si>
    <t>TA6092</t>
  </si>
  <si>
    <t>ETVA609V5</t>
  </si>
  <si>
    <t>ETCVA609V5</t>
  </si>
  <si>
    <t>SAVA6092V5</t>
  </si>
  <si>
    <t>TR2482</t>
  </si>
  <si>
    <t>SARA2482V5</t>
  </si>
  <si>
    <t>ETRA248V5</t>
  </si>
  <si>
    <t>ETCRA2482V5</t>
  </si>
  <si>
    <t>TH5296</t>
  </si>
  <si>
    <t>SAHN5296V5</t>
  </si>
  <si>
    <t>ETHN529V5</t>
  </si>
  <si>
    <t>ETCHN5296V5</t>
  </si>
  <si>
    <t>Harvested by small-scale African growers, these hibiscus flowers are the source of the famous "bissap", a garnet-red infusion that concentrates all its benefits. Thirst-quenching, revitalizing and cleansing, it can be enjoyed hot or iced, and makes delicious cocktails!</t>
  </si>
  <si>
    <t xml:space="preserve">Ingrédients : thé noir*, honeybush*, morceaux de figue* 19%, arôme naturel de (figue 5%, miel* 4%), thym* 1%, pétales de souci*. *Issu de l’agriculture biologique. </t>
  </si>
  <si>
    <r>
      <t xml:space="preserve">Ingrédients : thé noir*, réglisse* 13%, </t>
    </r>
    <r>
      <rPr>
        <sz val="11"/>
        <color rgb="FFFF0000"/>
        <rFont val="Calibri"/>
        <family val="2"/>
        <scheme val="minor"/>
      </rPr>
      <t>écorces de</t>
    </r>
    <r>
      <rPr>
        <sz val="11"/>
        <color theme="1"/>
        <rFont val="Calibri"/>
        <family val="2"/>
        <scheme val="minor"/>
      </rPr>
      <t xml:space="preserve"> cacao* 9%, huile essentielle d'orange* 3%, chips de carottes*. *Issu de l'agriculture biologique. </t>
    </r>
    <r>
      <rPr>
        <i/>
        <sz val="12"/>
        <color theme="1"/>
        <rFont val="Calibri"/>
        <family val="2"/>
        <scheme val="minor"/>
      </rPr>
      <t>Contient de la réglisse, les personnes souffrant d'hypertension doivent éviter toute consommation excessive.</t>
    </r>
  </si>
  <si>
    <r>
      <t xml:space="preserve">Ingrédient : thé noir**. **Issu de l'agriculture biologique et biodynamique. </t>
    </r>
    <r>
      <rPr>
        <b/>
        <i/>
        <sz val="12"/>
        <rFont val="Calibri"/>
        <family val="2"/>
        <scheme val="minor"/>
      </rPr>
      <t>demeter</t>
    </r>
    <r>
      <rPr>
        <sz val="11"/>
        <rFont val="Calibri"/>
        <family val="2"/>
        <scheme val="minor"/>
      </rPr>
      <t xml:space="preserve"> est le label des produits issus de l'agriculture biodynamique.</t>
    </r>
  </si>
  <si>
    <t>Ingrédients : cannelle*, gingembre*, poivre noir*, clous de girofle*, cardamome*. *Issu de l'agriculture biologique.</t>
  </si>
  <si>
    <t>ETTUTR2092V5</t>
  </si>
  <si>
    <r>
      <t xml:space="preserve">Ingrédients : cannelle* 44%, mélisse* 21%, feuilles de mûrier*, écorces d'orange*, morceaux de pomme*, réglisse*, clous de girofle*, pétales de fleurs (souci*, bleuet*). *Issu de l'agriculture biologique. </t>
    </r>
    <r>
      <rPr>
        <i/>
        <sz val="12"/>
        <color theme="1"/>
        <rFont val="Calibri"/>
        <family val="2"/>
        <scheme val="minor"/>
      </rPr>
      <t>Contient de la réglisse, les personnes souffrant d'hypertension doivent éviter toute consommation excessive.</t>
    </r>
    <r>
      <rPr>
        <sz val="11"/>
        <color theme="1"/>
        <rFont val="Calibri"/>
        <family val="2"/>
        <scheme val="minor"/>
      </rPr>
      <t xml:space="preserve"> </t>
    </r>
  </si>
  <si>
    <t>TU5226</t>
  </si>
  <si>
    <t>ETTUHN5226V5</t>
  </si>
  <si>
    <t xml:space="preserve">Une boisson pour toute la famille qui célèbre délicieusement l’esprit de Noël ! Empreinte des traditions alsaciennes, cette Tisane de Noël particulièrement colorée et festive associe avec gourmandise les saveurs de la cannelle et de la mélisse. </t>
  </si>
  <si>
    <t>TU2092</t>
  </si>
  <si>
    <t>agrumes et ingrédients</t>
  </si>
  <si>
    <t>SAOA9026V5</t>
  </si>
  <si>
    <t>SANA7462V5</t>
  </si>
  <si>
    <t>SANN5512V5</t>
  </si>
  <si>
    <t>SARA2092V6</t>
  </si>
  <si>
    <t>SAVA6262V5</t>
  </si>
  <si>
    <t>SAVA6842V5</t>
  </si>
  <si>
    <t>SAVA6922V5</t>
  </si>
  <si>
    <t>SAEM3022V5</t>
  </si>
  <si>
    <r>
      <t xml:space="preserve">The many nuances of Oriental Beauty's twisted leaves give this famous </t>
    </r>
    <r>
      <rPr>
        <sz val="12"/>
        <rFont val="Calibri"/>
        <family val="2"/>
        <scheme val="minor"/>
      </rPr>
      <t>wulong</t>
    </r>
    <r>
      <rPr>
        <sz val="12"/>
        <color theme="1"/>
        <rFont val="Calibri"/>
        <family val="2"/>
        <scheme val="minor"/>
      </rPr>
      <t xml:space="preserve"> tea, with its pronounced oxidation, its rare elegance. Highly aromatic, it offers a supple liquor with honeyed, fruity flavours and a hint of cocoa. A beautiful tea!</t>
    </r>
  </si>
  <si>
    <t>Mo Li Jin Zhu Cha 茉莉绣球</t>
  </si>
  <si>
    <t>SANM7342V6</t>
  </si>
  <si>
    <t>SAVA6752V5</t>
  </si>
  <si>
    <t>SAVA6912V5</t>
  </si>
  <si>
    <t>SAVN6492V5</t>
  </si>
  <si>
    <t>SAVM6932V5</t>
  </si>
  <si>
    <t xml:space="preserve">Ingredients: cinnamon* 44%, lemon balm* 21%, mulberry leaves*, orange peels*, apple pieces*, liquorice*, cloves*, flower petals (marigold*, cornflower*). *From organic farming. Contains liquorice, people suffering from hypertension should avoid excessive consumption. </t>
  </si>
  <si>
    <t>Ingredients: rooibos* 27%, apple pieces*, hibiscus* 18%, natural (blueberry* 7%, strawberry* 3%, raspberry*, blackberry*, blackcurrant*) flavourings, aronia*, rosehip peels*, liquorice*, strawberry pieces* 2%, elderberries*, elderflowers*. *From organic farming. Contains liquorice: people suffering from hypertension should avoid excessive consumption.</t>
  </si>
  <si>
    <t>The combination of red berries and hibiscus flowers, with their slightly acid notes, and the sweet, fruity sweetness of rooibos, apple and liquorice, give this infusion its charm... A gourmet recipe with cleansing properties, meant to make you blush with pleasure...</t>
  </si>
  <si>
    <t>Ingredients: fruit (apple*, raspberry* 4%), natural (raspberry* 14%, strawberry*, blackcurrant*) flavourings, beetroot pieces*, rosehip peels*, hibiscus*, liquorice* 5%, orange peels*, redcurrants*, mulberry leaves*, lemon essential oil*. *From organic farming. Contains liquorice, people suffering from hypertension should avoid excessive consumption.</t>
  </si>
  <si>
    <t>In this digestive herbal tea, the combination of mint and liquorice gives South America's most popular drink a zest of freshness and roundness. The digestive qualities of mint and the cleansing properties of mate are particularly welcome at the end of a meal. Enjoy hot or iced.</t>
  </si>
  <si>
    <t>Ingredients: green mate* (Ilex paraguariensis), spearmint* 18%, liquorice* 15%. *From organic farming. Contains liquorice: people suffering from hypertension should avoid excessive consumption.</t>
  </si>
  <si>
    <t>Ingredients: cocoa barks (72%)*(Theobroma cacao), fennel* (Foeniculum vulgare), liquorice* (Glycyrrhizza glabra),  tonka beans*  (Dipterix odorata), marigold petals* (Calendula officinalis). *From organic farming. Contains liquorice: people suffering from hypertension should avoid excessive consumption.</t>
  </si>
  <si>
    <t>Orange essential oil - liquorice - Cocoa</t>
  </si>
  <si>
    <t>There's something of the perfume of resistance in the farandole of flavours that surround this black tea from ancient tea bushes. Cocoa, liquorice and orange, this drink is as much a feast for the taste buds as it is a source of inspiration and motivation to always act with respect for the life around us.</t>
  </si>
  <si>
    <t>Ingredients: black tea*, liquorice* 13%, cocoa* 9%, orange essential oil* 3%, carrot chips*. *From organic farming. Contains liquorice, people suffering from hypertension should avoid excessive consumption.</t>
  </si>
  <si>
    <r>
      <t xml:space="preserve">Ingredients: peppermint* 40% (Mentha piperita), raspberry leaves* (Rubus idaeus), oregano* (Origanum vulgare), </t>
    </r>
    <r>
      <rPr>
        <b/>
        <sz val="11"/>
        <color theme="1"/>
        <rFont val="Calibri"/>
        <family val="2"/>
        <scheme val="minor"/>
      </rPr>
      <t>hazel tree leaves</t>
    </r>
    <r>
      <rPr>
        <sz val="11"/>
        <color theme="1"/>
        <rFont val="Calibri"/>
        <family val="2"/>
        <scheme val="minor"/>
      </rPr>
      <t>* (Corylus avellana), fennel* 10% (Foeniculum vulgare), lavender* 5% (Lavandula angustifolia). *From organic farming.</t>
    </r>
  </si>
  <si>
    <t>hemp leaves - catmint - verbena</t>
  </si>
  <si>
    <r>
      <t>Ingredients: mallow petals* 25% (</t>
    </r>
    <r>
      <rPr>
        <i/>
        <sz val="11"/>
        <color theme="1"/>
        <rFont val="Calibri"/>
        <family val="2"/>
        <scheme val="minor"/>
      </rPr>
      <t>Malva sylvestris</t>
    </r>
    <r>
      <rPr>
        <sz val="11"/>
        <color theme="1"/>
        <rFont val="Calibri"/>
        <family val="2"/>
        <scheme val="minor"/>
      </rPr>
      <t>), lemon balm* (</t>
    </r>
    <r>
      <rPr>
        <i/>
        <sz val="11"/>
        <color theme="1"/>
        <rFont val="Calibri"/>
        <family val="2"/>
        <scheme val="minor"/>
      </rPr>
      <t>Melissa officinalis</t>
    </r>
    <r>
      <rPr>
        <sz val="11"/>
        <color theme="1"/>
        <rFont val="Calibri"/>
        <family val="2"/>
        <scheme val="minor"/>
      </rPr>
      <t>), spearmint* 20% (</t>
    </r>
    <r>
      <rPr>
        <i/>
        <sz val="11"/>
        <color theme="1"/>
        <rFont val="Calibri"/>
        <family val="2"/>
        <scheme val="minor"/>
      </rPr>
      <t>Mentha spicata</t>
    </r>
    <r>
      <rPr>
        <sz val="11"/>
        <color theme="1"/>
        <rFont val="Calibri"/>
        <family val="2"/>
        <scheme val="minor"/>
      </rPr>
      <t>), ironwort* (</t>
    </r>
    <r>
      <rPr>
        <i/>
        <sz val="11"/>
        <color theme="1"/>
        <rFont val="Calibri"/>
        <family val="2"/>
        <scheme val="minor"/>
      </rPr>
      <t>Sideritis scardica</t>
    </r>
    <r>
      <rPr>
        <sz val="11"/>
        <color theme="1"/>
        <rFont val="Calibri"/>
        <family val="2"/>
        <scheme val="minor"/>
      </rPr>
      <t>), yarrow* (</t>
    </r>
    <r>
      <rPr>
        <i/>
        <sz val="11"/>
        <color theme="1"/>
        <rFont val="Calibri"/>
        <family val="2"/>
        <scheme val="minor"/>
      </rPr>
      <t>Achillea millefolium</t>
    </r>
    <r>
      <rPr>
        <sz val="11"/>
        <color theme="1"/>
        <rFont val="Calibri"/>
        <family val="2"/>
        <scheme val="minor"/>
      </rPr>
      <t>), marigold petals* (</t>
    </r>
    <r>
      <rPr>
        <i/>
        <sz val="11"/>
        <color theme="1"/>
        <rFont val="Calibri"/>
        <family val="2"/>
        <scheme val="minor"/>
      </rPr>
      <t>Calendula officinalis</t>
    </r>
    <r>
      <rPr>
        <sz val="11"/>
        <color theme="1"/>
        <rFont val="Calibri"/>
        <family val="2"/>
        <scheme val="minor"/>
      </rPr>
      <t>). *From organic farming.</t>
    </r>
  </si>
  <si>
    <t>Digestive Mallow - Spearmint</t>
  </si>
  <si>
    <t>note : TB7209 est dédié au coffret</t>
  </si>
  <si>
    <r>
      <t xml:space="preserve">Ingrédients : thé vert*, marc de raisin*, gingembre*, feuilles de cannelier*, écorces d'orange*, arômes naturels de (figue, </t>
    </r>
    <r>
      <rPr>
        <b/>
        <sz val="12"/>
        <color rgb="FFFF0000"/>
        <rFont val="Calibri"/>
        <family val="2"/>
        <scheme val="minor"/>
      </rPr>
      <t>amande</t>
    </r>
    <r>
      <rPr>
        <sz val="12"/>
        <color rgb="FFFF0000"/>
        <rFont val="Calibri"/>
        <family val="2"/>
        <scheme val="minor"/>
      </rPr>
      <t>*) 7% ,</t>
    </r>
    <r>
      <rPr>
        <sz val="12"/>
        <rFont val="Calibri"/>
        <family val="2"/>
        <scheme val="minor"/>
      </rPr>
      <t xml:space="preserve"> huile essentielle d'orange*, pétales de bleuet*. *Issu de l'agriculture biologique.</t>
    </r>
  </si>
  <si>
    <r>
      <t>ETHN5400V</t>
    </r>
    <r>
      <rPr>
        <b/>
        <sz val="16"/>
        <color rgb="FFFF0000"/>
        <rFont val="Calibri"/>
        <family val="2"/>
        <scheme val="minor"/>
      </rPr>
      <t>6</t>
    </r>
  </si>
  <si>
    <t>Ce matcha issu de feuilles de tencha moulues et fabriqué de manière traditionnelle au Japon se déguste tel quel, mais peut aussi servir de base à vos créations. Il se distinguera aussi bien au cœur d’un cocktail que dans une recette gourmande avec ses notes végétales intenses et sa couleur vert émeraude.</t>
  </si>
  <si>
    <r>
      <t xml:space="preserve">Matcha </t>
    </r>
    <r>
      <rPr>
        <b/>
        <strike/>
        <sz val="12"/>
        <color theme="1"/>
        <rFont val="Calibri"/>
        <family val="2"/>
        <scheme val="minor"/>
      </rPr>
      <t>pour la cuisine</t>
    </r>
  </si>
  <si>
    <t>This matcha, made from ground tencha leaves in the traditional Japanese way, can be enjoyed on its own, or as a base for your own creations. With its intense herbal notes and emerald green color, it will stand out at the heart of a cocktail or in a gourmet recipe.</t>
  </si>
  <si>
    <t>PRIMEURS 2025</t>
  </si>
  <si>
    <t>The Spirit of the Forest infuses its fascinating universe into this white tea-based recipe dedicated to saving the lynx. On a woody base, the fruity pep of blackcurrant, the freshness of mint and the honeyed notes of sweet chamomile are deliciously revealed. For a magical, inspiring moment...</t>
  </si>
  <si>
    <t xml:space="preserve">L’Esprit de la forêt infuse son univers fascinant dans cette recette à base de thé blanc dédiée à la sauvegarde du lynx. Sur un fond boisé se dévoilent savoureusement le peps fruité du cassis, la fraîcheur de la menthe et les notes miellées de la douce camomille. Pour un moment magique et inspirant… </t>
  </si>
  <si>
    <t>TA5086</t>
  </si>
  <si>
    <t>ETCBA5086V5</t>
  </si>
  <si>
    <t>ETBA508V5</t>
  </si>
  <si>
    <t>L'Esprit de la forêt</t>
  </si>
  <si>
    <t>saveur cassis - menthe - camomille</t>
  </si>
  <si>
    <r>
      <t>Voici une création singulière et exclusive ! Flétris au soleil, tressés en forme de griffes, les bourgeons de ce thé blanc libèrent une liqueur surprenante, à la texture profonde, et d’une belle intensité aromatique. En bouche, ses notes fruitées et sucrées évoquent agréablement des saveurs entre la prune fraîche et les pruneaux au sirop accompagnées de notes épicées de graines de coriandre.</t>
    </r>
    <r>
      <rPr>
        <i/>
        <sz val="12"/>
        <color rgb="FF00B050"/>
        <rFont val="Calibri Light"/>
        <family val="2"/>
      </rPr>
      <t xml:space="preserve"> </t>
    </r>
    <r>
      <rPr>
        <sz val="12"/>
        <color rgb="FF00B050"/>
        <rFont val="Calibri Light"/>
        <family val="2"/>
      </rPr>
      <t xml:space="preserve">Un véritable bijou de gourmandise ! </t>
    </r>
  </si>
  <si>
    <r>
      <t xml:space="preserve">Rares bourgeons de thé blanc tressés en forme de griffes. </t>
    </r>
    <r>
      <rPr>
        <b/>
        <i/>
        <sz val="12"/>
        <color rgb="FF00B050"/>
        <rFont val="Calibri Light"/>
        <family val="2"/>
      </rPr>
      <t>Notes</t>
    </r>
    <r>
      <rPr>
        <i/>
        <sz val="12"/>
        <color rgb="FF00B050"/>
        <rFont val="Calibri Light"/>
        <family val="2"/>
      </rPr>
      <t xml:space="preserve"> : fruitées et intenses entre la prune fraîche et les pruneaux au sirop. Finale épicée (graines de coriandre).</t>
    </r>
  </si>
  <si>
    <t xml:space="preserve">Himalayan Secret
SFTGFOP1 FF </t>
  </si>
  <si>
    <t>Jardin Snowview
cultivar AV5</t>
  </si>
  <si>
    <r>
      <t>jardin de Seeyok
cultivar AV-2</t>
    </r>
    <r>
      <rPr>
        <sz val="11"/>
        <color rgb="FFFF0000"/>
        <rFont val="Calibri"/>
        <family val="2"/>
        <scheme val="minor"/>
      </rPr>
      <t xml:space="preserve">
</t>
    </r>
  </si>
  <si>
    <r>
      <t xml:space="preserve">Inde - Darjeeling - </t>
    </r>
    <r>
      <rPr>
        <sz val="11"/>
        <color rgb="FFFF0000"/>
        <rFont val="Calibri"/>
        <family val="2"/>
        <scheme val="minor"/>
      </rPr>
      <t>Seeyok garden</t>
    </r>
  </si>
  <si>
    <t>Les petites feuilles aux nuances vertes et dorées, agrémentées de pointes duvetées de ce thé noir offrent la vivacité des excellents primeurs du Darjeeling. Sa liqueur veloutée évoque le sirop d’orgeat et les baies de genévrier sur un fond de bois vert. Un secret gourmand qui se dévoile à chaque gorgée…</t>
  </si>
  <si>
    <r>
      <t>Thé primeur fin, complexe et gourmand, fruit d</t>
    </r>
    <r>
      <rPr>
        <i/>
        <sz val="12"/>
        <color rgb="FF00B050"/>
        <rFont val="Arial"/>
        <family val="2"/>
      </rPr>
      <t>’</t>
    </r>
    <r>
      <rPr>
        <i/>
        <sz val="12"/>
        <color rgb="FF00B050"/>
        <rFont val="Calibri Light"/>
        <family val="2"/>
      </rPr>
      <t>une fabrication manuelle.</t>
    </r>
    <r>
      <rPr>
        <b/>
        <i/>
        <sz val="12"/>
        <color rgb="FF00B050"/>
        <rFont val="Calibri Light"/>
        <family val="2"/>
      </rPr>
      <t xml:space="preserve"> Notes :</t>
    </r>
    <r>
      <rPr>
        <i/>
        <sz val="12"/>
        <color rgb="FF00B050"/>
        <rFont val="Calibri Light"/>
        <family val="2"/>
      </rPr>
      <t xml:space="preserve"> sirop d’orgeat, baies de genévrier, fond de bois vert.</t>
    </r>
  </si>
  <si>
    <t>FTGFOP1 FF 
cultivar Mineral Spring China</t>
  </si>
  <si>
    <r>
      <t>Ce thé noir d</t>
    </r>
    <r>
      <rPr>
        <sz val="12"/>
        <color rgb="FF00B050"/>
        <rFont val="Arial"/>
        <family val="2"/>
      </rPr>
      <t>’</t>
    </r>
    <r>
      <rPr>
        <sz val="12"/>
        <color rgb="FF00B050"/>
        <rFont val="Calibri Light"/>
        <family val="2"/>
      </rPr>
      <t>exception de petits producteurs a le parfum frais des Darjeeling de printemps. Sa liqueur fruitée et sucrée offre un festival de saveurs printanières qui s’épanouissent longuement en bouche en évoquant des saveurs d’artichaut, d’herbe coupée, de fleurs sauvages et de fraise. Un enchantement</t>
    </r>
    <r>
      <rPr>
        <b/>
        <sz val="12"/>
        <color rgb="FF00B050"/>
        <rFont val="Calibri Light"/>
        <family val="2"/>
      </rPr>
      <t xml:space="preserve"> </t>
    </r>
    <r>
      <rPr>
        <sz val="12"/>
        <color rgb="FF00B050"/>
        <rFont val="Calibri Light"/>
        <family val="2"/>
      </rPr>
      <t>!</t>
    </r>
  </si>
  <si>
    <r>
      <t xml:space="preserve">Primeur d'exception issu de petits producteurs. </t>
    </r>
    <r>
      <rPr>
        <b/>
        <i/>
        <sz val="12"/>
        <color rgb="FF00B050"/>
        <rFont val="Calibri Light"/>
        <family val="2"/>
      </rPr>
      <t>Notes :</t>
    </r>
    <r>
      <rPr>
        <i/>
        <sz val="12"/>
        <color rgb="FF00B050"/>
        <rFont val="Calibri Light"/>
        <family val="2"/>
      </rPr>
      <t xml:space="preserve"> artichaut, herbe coupée, fleurs sauvages, finale fruitée (fraise).</t>
    </r>
  </si>
  <si>
    <t>PRIMEURS 2025 CHINE</t>
  </si>
  <si>
    <r>
      <t xml:space="preserve">La SFEPM œuvre à la conservation des mammifères sauvages. Parmi eux, le lynx boréal, plus grand félin de la métropole, espèce en danger d'extinction. </t>
    </r>
    <r>
      <rPr>
        <b/>
        <sz val="11"/>
        <color rgb="FF000000"/>
        <rFont val="Calibri"/>
        <family val="2"/>
        <scheme val="minor"/>
      </rPr>
      <t>Sfepm.org</t>
    </r>
  </si>
  <si>
    <t>Rare white tea buds braided in the shape of claws. Notes: fruity and intense between fresh plum and prunes in syrup. Final spicy (coriander seeds).</t>
  </si>
  <si>
    <t>Fine early tea, complex and gourmet, the fruit of manual manufacturing. Notes: orgeat syrup, juniper berries, green wood background.</t>
  </si>
  <si>
    <t>Exceptional primeur from small producers. Notes: artichoke, cut grass, wildflowers, fruity finish (strawberry).</t>
  </si>
  <si>
    <t xml:space="preserve">Ce thé jaune de montagne est uniquement constitué de bourgeons recouverts d'un beau duvet brillant. Fruits d’un délicat et lent processus d’oxydation, ils offrent une liqueur souple en bouche aux notes de cassonade, de paille et de poire verte. Un thé aussi prestigieux que gourmand !
</t>
  </si>
  <si>
    <t>Thé jaune exceptionnel, souple en bouche, issu d’une récolte des premiers jours de printemps. Notes : cassonade, paille, poire verte.</t>
  </si>
  <si>
    <t xml:space="preserve">Ce thé vert primeur transformé à la vapeur est le fruit d'un savoir-faire très ancien, devenu rare en Chine. Ses bourgeons printaniers roulés en fines aiguilles délivrent une liqueur cristalline et dense aux saveurs de fruits exotiques accompagnées de notes beurrées, minérales et zestées.
</t>
  </si>
  <si>
    <t>Prestigieuse récolte de printemps, cuisson à la vapeur. Notes : beurrées, minérales, zestées, 
fruits exotiques.</t>
  </si>
  <si>
    <t xml:space="preserve">Issu des massifs montagneux de l'Hubei, ce beau thé vert, fruit d’une récolte de printemps est composée de bourgeons duveteux très joliment ourlés en forme d'aiguilles. Sa liqueur souple en bouche évoque délicieusement la fraîcheur des courgettes primeurs sur un fond lacté… </t>
  </si>
  <si>
    <t>Fines "aiguilles vertes" printanières. Notes : courgettes primeurs, fond lacté.</t>
  </si>
  <si>
    <t>Prestigious spring harvest, steamed. Notes: buttery, mineral, zesty, exotic fruits.</t>
  </si>
  <si>
    <t>Ingrédients : thé blanc*, camomille* 26%, menthe douce* 16%, arômes naturels de (cassis* 3%, myrtille*), pétales de fleurs* (camomille* 4%, bleuet*, bruyère*). *Issu de l’agriculture biologique.</t>
  </si>
  <si>
    <t>Exceptional yellow tea, supple on the palate, from an early spring harvest. Notes: brown sugar, straw, green pear.</t>
  </si>
  <si>
    <t>Fine springtime “green needles”. Notes: early zucchini, milky base.</t>
  </si>
  <si>
    <t>This yellow mountain tea is made exclusively from buds covered with a beautiful, shiny down. The fruit of a delicate, slow oxidation process, they offer a supple liqueur with notes of brown sugar, straw and green pear. A tea as prestigious as it is delicious!</t>
  </si>
  <si>
    <t>This early steamed green tea is the fruit of ancient know-how that has become rare in China. Its spring buds, rolled into fine needles, deliver a dense, crystalline liquor with exotic fruit flavors and buttery, mineral and zesty notes.</t>
  </si>
  <si>
    <t>From the mountainous Hubei region, this beautiful green tea, the fruit of a spring harvest, is composed of downy buds beautifully hemmed in the shape of needles. Its supple liquor deliciously evokes the freshness of early zucchini on a milky background...</t>
  </si>
  <si>
    <r>
      <t>ETHN5400V</t>
    </r>
    <r>
      <rPr>
        <b/>
        <sz val="16"/>
        <color rgb="FFFF0000"/>
        <rFont val="Calibri"/>
        <family val="2"/>
        <scheme val="minor"/>
      </rPr>
      <t>6</t>
    </r>
    <r>
      <rPr>
        <sz val="11"/>
        <color theme="1"/>
        <rFont val="Calibri"/>
        <family val="2"/>
        <scheme val="minor"/>
      </rPr>
      <t xml:space="preserve">
juin 2025 incident II/25/008</t>
    </r>
  </si>
  <si>
    <t>HISTORIQUE</t>
  </si>
  <si>
    <r>
      <t>Ingredient: lemongrass** (</t>
    </r>
    <r>
      <rPr>
        <i/>
        <sz val="11"/>
        <color theme="1"/>
        <rFont val="Calibri"/>
        <family val="2"/>
        <scheme val="minor"/>
      </rPr>
      <t>Cymbopogon citratus</t>
    </r>
    <r>
      <rPr>
        <sz val="11"/>
        <color theme="1"/>
        <rFont val="Calibri"/>
        <family val="2"/>
        <scheme val="minor"/>
      </rPr>
      <t xml:space="preserve">). **From organic and biodynamic farming. </t>
    </r>
    <r>
      <rPr>
        <b/>
        <i/>
        <sz val="11"/>
        <color theme="1"/>
        <rFont val="Calibri"/>
        <family val="2"/>
        <scheme val="minor"/>
      </rPr>
      <t>demeter</t>
    </r>
    <r>
      <rPr>
        <sz val="11"/>
        <color theme="1"/>
        <rFont val="Calibri"/>
        <family val="2"/>
        <scheme val="minor"/>
      </rPr>
      <t xml:space="preserve"> is the brand for products from biodynamic agriculture. </t>
    </r>
  </si>
  <si>
    <t xml:space="preserve">The Spirit of the Forest </t>
  </si>
  <si>
    <t xml:space="preserve">Ingredients: white tea*, chamomile* 26%, spearmint 16%, natural (blackcurrant* 3%, blueberry*) flavourings, flower petals (chamomile*, cornflower*, heather*). *From organic farming. </t>
  </si>
  <si>
    <t>Blackcurrant flavour - spearmint - chamomile</t>
  </si>
  <si>
    <t>SONNENTOR</t>
  </si>
  <si>
    <t>Egypte, Sénégal</t>
  </si>
  <si>
    <t>ancienne : AT-BIO-302
Agriculture UE
recette en cours d'internalisation mi2025</t>
  </si>
  <si>
    <r>
      <t>ETRA237V</t>
    </r>
    <r>
      <rPr>
        <b/>
        <sz val="16"/>
        <color rgb="FFFF0000"/>
        <rFont val="Calibri"/>
        <family val="2"/>
        <scheme val="minor"/>
      </rPr>
      <t>6</t>
    </r>
  </si>
  <si>
    <r>
      <t>ETCRA2372V</t>
    </r>
    <r>
      <rPr>
        <b/>
        <sz val="16"/>
        <color rgb="FFFF0000"/>
        <rFont val="Calibri"/>
        <family val="2"/>
        <scheme val="minor"/>
      </rPr>
      <t>6</t>
    </r>
  </si>
  <si>
    <r>
      <t>ETRA209V</t>
    </r>
    <r>
      <rPr>
        <b/>
        <sz val="14"/>
        <color rgb="FFFF0000"/>
        <rFont val="Calibri"/>
        <family val="2"/>
        <scheme val="minor"/>
      </rPr>
      <t>6</t>
    </r>
  </si>
  <si>
    <r>
      <t>ETCRA2092V</t>
    </r>
    <r>
      <rPr>
        <b/>
        <sz val="14"/>
        <color rgb="FFFF0000"/>
        <rFont val="Calibri"/>
        <family val="2"/>
        <scheme val="minor"/>
      </rPr>
      <t>6</t>
    </r>
  </si>
  <si>
    <t>nouvelle recette : Ingrédients : thé noir*, huiles essentielles de (orange douce*, orange sanguine*) 4%, écorces d'orange* 1%, écorces de mandarine*, pétales de souci*. *Issu de l'agriculture biologique.</t>
  </si>
  <si>
    <r>
      <rPr>
        <b/>
        <sz val="11"/>
        <color theme="1"/>
        <rFont val="Calibri"/>
        <family val="2"/>
        <scheme val="minor"/>
      </rPr>
      <t>Recommended daily consumption: 3 cups of 25 cl.</t>
    </r>
    <r>
      <rPr>
        <sz val="11"/>
        <color theme="1"/>
        <rFont val="Calibri"/>
        <family val="2"/>
        <scheme val="minor"/>
      </rPr>
      <t xml:space="preserve"> A healthy lifestyle and a varied, balanced diet are recommended to fully benefit from the </t>
    </r>
    <r>
      <rPr>
        <sz val="11"/>
        <color rgb="FFFF0000"/>
        <rFont val="Calibri"/>
        <family val="2"/>
        <scheme val="minor"/>
      </rPr>
      <t>properties</t>
    </r>
    <r>
      <rPr>
        <sz val="11"/>
        <color theme="1"/>
        <rFont val="Calibri"/>
        <family val="2"/>
        <scheme val="minor"/>
      </rPr>
      <t xml:space="preserve"> of this infusion. Average nutritional information per 100 ml: Energy 3 kJ/1 kcal. This herbal tea contains negligible amounts of fats (including saturated fats), carbohydrates (including sugars), proteins and salt.</t>
    </r>
  </si>
  <si>
    <r>
      <rPr>
        <b/>
        <sz val="11"/>
        <color theme="1"/>
        <rFont val="Calibri"/>
        <family val="2"/>
        <scheme val="minor"/>
      </rPr>
      <t xml:space="preserve">Recommended daily consumption: 3 cups of 25 cl. </t>
    </r>
    <r>
      <rPr>
        <sz val="11"/>
        <color theme="1"/>
        <rFont val="Calibri"/>
        <family val="2"/>
        <scheme val="minor"/>
      </rPr>
      <t xml:space="preserve">
A healthy lifestyle and a varied, balanced diet are recommended to fully benefit from the </t>
    </r>
    <r>
      <rPr>
        <sz val="11"/>
        <color rgb="FFFF0000"/>
        <rFont val="Calibri"/>
        <family val="2"/>
        <scheme val="minor"/>
      </rPr>
      <t>properties</t>
    </r>
    <r>
      <rPr>
        <sz val="11"/>
        <color theme="1"/>
        <rFont val="Calibri"/>
        <family val="2"/>
        <scheme val="minor"/>
      </rPr>
      <t xml:space="preserve"> of this infusion. Average nutritional information per 100 ml: Energy 3 kJ/1 kcal. This herbal tea contains negligible amounts of fats (including saturated fats), carbohydrates (including sugars), proteins and salt.</t>
    </r>
  </si>
  <si>
    <r>
      <rPr>
        <b/>
        <sz val="11"/>
        <color theme="1"/>
        <rFont val="Calibri"/>
        <family val="2"/>
        <scheme val="minor"/>
      </rPr>
      <t>Recommended daily consumption: 4 cups of 25 cl.</t>
    </r>
    <r>
      <rPr>
        <sz val="11"/>
        <color theme="1"/>
        <rFont val="Calibri"/>
        <family val="2"/>
        <scheme val="minor"/>
      </rPr>
      <t xml:space="preserve"> A healthy lifestyle and a varied, balanced diet are recommended to fully benefit from the </t>
    </r>
    <r>
      <rPr>
        <sz val="11"/>
        <color rgb="FFFF0000"/>
        <rFont val="Calibri"/>
        <family val="2"/>
        <scheme val="minor"/>
      </rPr>
      <t>properties</t>
    </r>
    <r>
      <rPr>
        <sz val="11"/>
        <color theme="1"/>
        <rFont val="Calibri"/>
        <family val="2"/>
        <scheme val="minor"/>
      </rPr>
      <t xml:space="preserve"> of this infusion. Average nutritional information per 100 ml: Energy 3 kJ/1 kcal. This herbal tea contains negligible amounts of fats (including saturated fats), carbohydrates (including sugars), proteins and salt.</t>
    </r>
  </si>
  <si>
    <r>
      <rPr>
        <b/>
        <sz val="11"/>
        <color theme="1"/>
        <rFont val="Calibri"/>
        <family val="2"/>
        <scheme val="minor"/>
      </rPr>
      <t>Recommended daily consumption: 3 cups of 25 cl</t>
    </r>
    <r>
      <rPr>
        <sz val="11"/>
        <color theme="1"/>
        <rFont val="Calibri"/>
        <family val="2"/>
        <scheme val="minor"/>
      </rPr>
      <t xml:space="preserve">. 
A healthy lifestyle and a varied, balanced diet are recommended to fully benefit from the </t>
    </r>
    <r>
      <rPr>
        <sz val="11"/>
        <color rgb="FFFF0000"/>
        <rFont val="Calibri"/>
        <family val="2"/>
        <scheme val="minor"/>
      </rPr>
      <t>properties</t>
    </r>
    <r>
      <rPr>
        <sz val="11"/>
        <color theme="1"/>
        <rFont val="Calibri"/>
        <family val="2"/>
        <scheme val="minor"/>
      </rPr>
      <t xml:space="preserve"> of this infusion. Average nutritional information per 100 ml: Energy 3 kJ/1 kcal. This herbal tea contains negligible amounts of fats (including saturated fats), carbohydrates (including sugars), proteins and salt.</t>
    </r>
  </si>
  <si>
    <r>
      <rPr>
        <b/>
        <sz val="11"/>
        <color theme="1"/>
        <rFont val="Calibri"/>
        <family val="2"/>
        <scheme val="minor"/>
      </rPr>
      <t xml:space="preserve">Recommended daily consumption: 3 cups of 25 cl. </t>
    </r>
    <r>
      <rPr>
        <sz val="11"/>
        <color theme="1"/>
        <rFont val="Calibri"/>
        <family val="2"/>
        <scheme val="minor"/>
      </rPr>
      <t xml:space="preserve">A healthy lifestyle and a varied, balanced diet are recommended to fully benefit from the </t>
    </r>
    <r>
      <rPr>
        <sz val="11"/>
        <color rgb="FFFF0000"/>
        <rFont val="Calibri"/>
        <family val="2"/>
        <scheme val="minor"/>
      </rPr>
      <t>properties</t>
    </r>
    <r>
      <rPr>
        <sz val="11"/>
        <color theme="1"/>
        <rFont val="Calibri"/>
        <family val="2"/>
        <scheme val="minor"/>
      </rPr>
      <t xml:space="preserve"> of this infusion. Average nutritional information per 100 ml: Energy 3 kJ/1 kcal. This herbal tea contains negligible amounts of fats (including saturated fats), carbohydrates (including sugars), proteins and salt.</t>
    </r>
  </si>
  <si>
    <r>
      <rPr>
        <b/>
        <sz val="11"/>
        <color theme="1"/>
        <rFont val="Calibri"/>
        <family val="2"/>
        <scheme val="minor"/>
      </rPr>
      <t>Recommended daily consumption: 4 cups of 25 cl</t>
    </r>
    <r>
      <rPr>
        <sz val="11"/>
        <color theme="1"/>
        <rFont val="Calibri"/>
        <family val="2"/>
        <scheme val="minor"/>
      </rPr>
      <t xml:space="preserve">. A healthy lifestyle and a varied, balanced diet are recommended to fully benefit from the </t>
    </r>
    <r>
      <rPr>
        <sz val="11"/>
        <color rgb="FFFF0000"/>
        <rFont val="Calibri"/>
        <family val="2"/>
        <scheme val="minor"/>
      </rPr>
      <t>properties</t>
    </r>
    <r>
      <rPr>
        <sz val="11"/>
        <color theme="1"/>
        <rFont val="Calibri"/>
        <family val="2"/>
        <scheme val="minor"/>
      </rPr>
      <t xml:space="preserve"> of this infusion. Average nutritional information per 100 ml: Energy 3 kJ/1 kcal. This herbal tea contains negligible amounts of fats (including saturated fats), carbohydrates (including sugars), proteins and salt.</t>
    </r>
  </si>
  <si>
    <r>
      <rPr>
        <b/>
        <sz val="11"/>
        <color theme="1"/>
        <rFont val="Calibri"/>
        <family val="2"/>
        <scheme val="minor"/>
      </rPr>
      <t>Recommended daily consumption: 5 cups of 25 cl</t>
    </r>
    <r>
      <rPr>
        <sz val="11"/>
        <color theme="1"/>
        <rFont val="Calibri"/>
        <family val="2"/>
        <scheme val="minor"/>
      </rPr>
      <t xml:space="preserve">. 
A healthy lifestyle and a varied, balanced diet are recommended to fully benefit from the </t>
    </r>
    <r>
      <rPr>
        <sz val="11"/>
        <color rgb="FFFF0000"/>
        <rFont val="Calibri"/>
        <family val="2"/>
        <scheme val="minor"/>
      </rPr>
      <t>properties</t>
    </r>
    <r>
      <rPr>
        <sz val="11"/>
        <color theme="1"/>
        <rFont val="Calibri"/>
        <family val="2"/>
        <scheme val="minor"/>
      </rPr>
      <t xml:space="preserve"> of this infusion. Average nutritional information per 100 ml: Energy 3 kJ/1 kcal. This herbal tea contains negligible amounts of fats (including saturated fats), carbohydrates (including sugars), proteins and salt.</t>
    </r>
  </si>
  <si>
    <t>Le sens de la fête</t>
  </si>
  <si>
    <r>
      <t>ETFA111V</t>
    </r>
    <r>
      <rPr>
        <b/>
        <sz val="16"/>
        <color rgb="FFFF0000"/>
        <rFont val="Calibri"/>
        <family val="2"/>
        <scheme val="minor"/>
      </rPr>
      <t>6</t>
    </r>
  </si>
  <si>
    <r>
      <t>ETCFA1112V</t>
    </r>
    <r>
      <rPr>
        <b/>
        <sz val="18"/>
        <color rgb="FFFF0000"/>
        <rFont val="Calibri"/>
        <family val="2"/>
        <scheme val="minor"/>
      </rPr>
      <t>6</t>
    </r>
  </si>
  <si>
    <t>changement de couleur de gamme pour les tisanes</t>
  </si>
  <si>
    <r>
      <t>ETFA122V</t>
    </r>
    <r>
      <rPr>
        <b/>
        <sz val="16"/>
        <color rgb="FFFF0000"/>
        <rFont val="Calibri"/>
        <family val="2"/>
        <scheme val="minor"/>
      </rPr>
      <t>6</t>
    </r>
  </si>
  <si>
    <r>
      <t>ETCFA1222V</t>
    </r>
    <r>
      <rPr>
        <b/>
        <sz val="16"/>
        <color rgb="FFFF0000"/>
        <rFont val="Calibri"/>
        <family val="2"/>
        <scheme val="minor"/>
      </rPr>
      <t>6</t>
    </r>
  </si>
  <si>
    <t>Nuit étoilée</t>
  </si>
  <si>
    <t>Inspirée de la douceur d’une nuit passée les yeux dans les étoiles, cette tisane est une constellation de saveurs chaudes et lumineuses. Ses notes miellées et citronnées, accompagnées d’accents de cardamome et d'anis sont irrésistibles à tout moment de la journée.</t>
  </si>
  <si>
    <t>Mango punch</t>
  </si>
  <si>
    <t>Communicative et festive, cette composition à base de thé vert est un élan de bonne humeur et d’exotisme ! Sur une base détonante de gingembre, de guarana et de ginseng, elle offre des saveurs délicieusement fruitées et ensoleillées de mangue. Une recette pleine de punch !</t>
  </si>
  <si>
    <t>Lady Litchi</t>
  </si>
  <si>
    <t>Cette recette inspirée de la romance entre Lady Yang et l’empereur Xuanzong, revisite notre classique « Lady Yang Guifei » avec du thé noir, en mettant en scène un délicieux dialogue du duo litchi-poire. Une infusion aussi légendaire que gourmande !</t>
  </si>
  <si>
    <t>Légèreté</t>
  </si>
  <si>
    <t>Conjuguez saveurs et bien-être en savourant cette tisane colorée ! Avec ses notes fruitées et épicées mises en valeur par la rondeur de la vanille, elle séduit immédiatement les papilles autant qu’elle améliore la digestion. Idéale pour une sortie de table avec un agréable sentiment de légèreté !</t>
  </si>
  <si>
    <t>Les colosses de Putharjhora</t>
  </si>
  <si>
    <t>Récolté en été au milieu des éléphants qui peuplent le Jardin de thé biodynamique de Putharjhora, ce thé noir offre une tasse cuivrée aux saveurs fruitées soulignées par une jolie note épicée qui rappelle celle des thés d’Assam. Un thé au caractère généreux qui supporte un peu de lait.</t>
  </si>
  <si>
    <t>4-4 Nouveau texte comercial FR</t>
  </si>
  <si>
    <t>1-4 Nouveau texte commercial FR</t>
  </si>
  <si>
    <t>2-4 Nouveau texte commercial FR</t>
  </si>
  <si>
    <t>3-4 Nouveau texte commercial FR</t>
  </si>
  <si>
    <t>4-4 Liste d'ingrédients</t>
  </si>
  <si>
    <t>3-4 Liste d'ingrédients</t>
  </si>
  <si>
    <t>2-4 Liste d'ingrédients</t>
  </si>
  <si>
    <t>1-4 Liste d'ingrédients</t>
  </si>
  <si>
    <t>1-4 allégation santé FR</t>
  </si>
  <si>
    <t>2-4 allégation santé FR</t>
  </si>
  <si>
    <t>3-4 allégation santé FR</t>
  </si>
  <si>
    <t>4-4 allégation santé FR</t>
  </si>
  <si>
    <t>1-4 Phrase WFTO FR</t>
  </si>
  <si>
    <t>2-4 Phrase WFTO FR</t>
  </si>
  <si>
    <t>3-4 Phrase WFTO FR</t>
  </si>
  <si>
    <t>4-4 Phrase WFTO FR</t>
  </si>
  <si>
    <t>1-4 Nouveau texte commercial EN</t>
  </si>
  <si>
    <t>2-4 Nouveau texte commercial EN</t>
  </si>
  <si>
    <t>3-4 Nouveau texte commercial EN</t>
  </si>
  <si>
    <t>4-4 Nouveau texte commercial EN</t>
  </si>
  <si>
    <t>1-4 liste d'ingrédients EN</t>
  </si>
  <si>
    <t>2-4 liste d'ingrédients EN</t>
  </si>
  <si>
    <t>3-4 liste d'ingrédients EN</t>
  </si>
  <si>
    <t>4-4 liste d'ingrédients EN</t>
  </si>
  <si>
    <t>1-4 allégation santé EN</t>
  </si>
  <si>
    <t>2-4 allégation santé EN</t>
  </si>
  <si>
    <t>3-4 allégation santé EN</t>
  </si>
  <si>
    <t>4-4 allégation santé EN</t>
  </si>
  <si>
    <r>
      <t>ETHB174V</t>
    </r>
    <r>
      <rPr>
        <b/>
        <sz val="16"/>
        <color rgb="FFFF0000"/>
        <rFont val="Calibri"/>
        <family val="2"/>
        <scheme val="minor"/>
      </rPr>
      <t>6</t>
    </r>
  </si>
  <si>
    <r>
      <t>ETCHB1742V</t>
    </r>
    <r>
      <rPr>
        <b/>
        <sz val="16"/>
        <color rgb="FFFF0000"/>
        <rFont val="Calibri"/>
        <family val="2"/>
        <scheme val="minor"/>
      </rPr>
      <t>6</t>
    </r>
  </si>
  <si>
    <r>
      <t>ETVA672V</t>
    </r>
    <r>
      <rPr>
        <b/>
        <sz val="16"/>
        <color rgb="FFFF0000"/>
        <rFont val="Calibri"/>
        <family val="2"/>
        <scheme val="minor"/>
      </rPr>
      <t>6</t>
    </r>
  </si>
  <si>
    <r>
      <t>ETNA745V</t>
    </r>
    <r>
      <rPr>
        <b/>
        <sz val="16"/>
        <color rgb="FFFF0000"/>
        <rFont val="Calibri"/>
        <family val="2"/>
        <scheme val="minor"/>
      </rPr>
      <t>6</t>
    </r>
  </si>
  <si>
    <r>
      <t>ETCNA7452V</t>
    </r>
    <r>
      <rPr>
        <b/>
        <sz val="16"/>
        <color rgb="FFFF0000"/>
        <rFont val="Calibri"/>
        <family val="2"/>
        <scheme val="minor"/>
      </rPr>
      <t>6</t>
    </r>
  </si>
  <si>
    <r>
      <t>ETHN4400V</t>
    </r>
    <r>
      <rPr>
        <b/>
        <sz val="16"/>
        <color rgb="FFFF0000"/>
        <rFont val="Calibri"/>
        <family val="2"/>
        <scheme val="minor"/>
      </rPr>
      <t>6</t>
    </r>
  </si>
  <si>
    <r>
      <t>ETNN313V</t>
    </r>
    <r>
      <rPr>
        <b/>
        <sz val="16"/>
        <color rgb="FFFF0000"/>
        <rFont val="Calibri"/>
        <family val="2"/>
        <scheme val="minor"/>
      </rPr>
      <t>7</t>
    </r>
  </si>
  <si>
    <r>
      <t>ETCNN3132V</t>
    </r>
    <r>
      <rPr>
        <b/>
        <sz val="16"/>
        <color rgb="FFFF0000"/>
        <rFont val="Calibri"/>
        <family val="2"/>
        <scheme val="minor"/>
      </rPr>
      <t>7</t>
    </r>
  </si>
  <si>
    <t>Ingrédients : thé noir*, arômes naturels de (poire*, litchi*) 13%, pétales de fleurs (mauve*, camomille*), morceaux de pomme*. *Issu de l'agriculture biologique.</t>
  </si>
  <si>
    <r>
      <t xml:space="preserve">Cette infusion à base de maté, de menthe et d'épices aux douces notes anisées offre une boisson particulièrement originale et fraîche. Stimulante, </t>
    </r>
    <r>
      <rPr>
        <sz val="11"/>
        <color rgb="FFFF0000"/>
        <rFont val="Calibri"/>
        <family val="2"/>
        <scheme val="minor"/>
      </rPr>
      <t>digestive</t>
    </r>
    <r>
      <rPr>
        <sz val="11"/>
        <color theme="1"/>
        <rFont val="Calibri"/>
        <family val="2"/>
        <scheme val="minor"/>
      </rPr>
      <t xml:space="preserve"> et drainante, elle permet de contrôler facilement son poids tout en gardant son tonus au cours de la journée.</t>
    </r>
  </si>
  <si>
    <r>
      <t>ETMT262V</t>
    </r>
    <r>
      <rPr>
        <b/>
        <sz val="16"/>
        <color rgb="FFFF0000"/>
        <rFont val="Calibri"/>
        <family val="2"/>
        <scheme val="minor"/>
      </rPr>
      <t>6</t>
    </r>
  </si>
  <si>
    <r>
      <t>ETCMT2622V</t>
    </r>
    <r>
      <rPr>
        <b/>
        <sz val="16"/>
        <color rgb="FFFF0000"/>
        <rFont val="Calibri"/>
        <family val="2"/>
        <scheme val="minor"/>
      </rPr>
      <t>6</t>
    </r>
  </si>
  <si>
    <t>mise à jour du texte</t>
  </si>
  <si>
    <t>Lemongrass - Reine des prés</t>
  </si>
  <si>
    <r>
      <t xml:space="preserve">Ingrédients : lemongrass* 23%, morceaux de pomme*, reine des prés* 16%, menthe poivrée*, églantine*, feuilles de framboisier*, réglisse*, mélange de fleurs* (soucis, rose, bleuet), cardamome*. *Issu de l’agriculture biologique.
</t>
    </r>
    <r>
      <rPr>
        <i/>
        <sz val="11"/>
        <color theme="1"/>
        <rFont val="Calibri"/>
        <family val="2"/>
        <scheme val="minor"/>
      </rPr>
      <t>Contient de la réglisse, les personnes souffrant d'hypertension doivent éviter toute consommation excessive.</t>
    </r>
  </si>
  <si>
    <t>ETTA086V5</t>
  </si>
  <si>
    <t>Les prés où l'on danse</t>
  </si>
  <si>
    <t>Comme on dansait dans les prés des « Tanzmatten », faites savoureusement swinguer vos papilles sur les notes toniques de cette tisane ! Laissez-vous emporter par sa fraîcheur, ses accords harmonieux de notes zestées et d’accents épicés, le tout délicieusement accompagné des saveurs acidulées de la reine des prés.</t>
  </si>
  <si>
    <t>A l'occasion de la célébration de leurs 25 ans, les Tanzmatten s'associent aux Jardins de Gaïa pour célébrer la reine des prés, fleur emblématique de l'Ill*Wald, autour d'une tisane bio originale et savoureuse.
tanzmatten.fr</t>
  </si>
  <si>
    <t>TA0866</t>
  </si>
  <si>
    <t>ETCTA0866V5</t>
  </si>
  <si>
    <t>Maté sportif</t>
  </si>
  <si>
    <t>Papillons blancs</t>
  </si>
  <si>
    <t>Ingrédients : thé blanc*, morceaux de pomme* 11%, poivre vert* 11%, feuilles de murier*, lavande*, arômes naturels de (pomme* 5,5%, poire* 5,5%, vanille*). *Issu de l'agriculture biologique.</t>
  </si>
  <si>
    <t xml:space="preserve">Huile essentielle d’orange sanguine – gingembre - hibiscus
Stimulant et tonique </t>
  </si>
  <si>
    <t>Naturellement stimulante, cette recette à base de maté vous accompagnera avec saveurs lors de vos séances de sport. Au programme : une attaque tonique sur le duo maté-gingembre suivie de jolies notes fruitées d’orange sanguine que vient souligner une longue finale mentholée tout en fraîcheur.</t>
  </si>
  <si>
    <r>
      <rPr>
        <b/>
        <sz val="12"/>
        <rFont val="Calibri"/>
        <family val="2"/>
        <scheme val="minor"/>
      </rPr>
      <t>Consommation journalière conseillée : 3 tasses de 25 cl.</t>
    </r>
    <r>
      <rPr>
        <sz val="11"/>
        <rFont val="Calibri"/>
        <family val="2"/>
        <scheme val="minor"/>
      </rPr>
      <t xml:space="preserve">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t>
    </r>
  </si>
  <si>
    <t>A l’image des parfums enivrants et des couleurs vibrantes qui émaillent les rues indiennes, cette recette est une fête pour les papilles en quête d’émotions. Après une attaque végétale légèrement camphrée, elle laisse place à des notes d’amande, de cannelle et de rose tout en ferveur et gourmandise.</t>
  </si>
  <si>
    <t>Le Fonds de dotation Les jardins de Gaïa est un organisme de mécénat qui réalise et aide à réaliser des projets d’intérêt général. Il affirme et accroît l’ensemble des engagements de l’entreprise Les Jardins de Gaia envers la Terre et les hommes.
https://www.dotationgaia.com</t>
  </si>
  <si>
    <t xml:space="preserve">Sur sa base de thé blanc tout en légèreté et fraîcheur, cette recette invite à papillonner de saveur en saveur… Dès les premières gorgées, ses notes de poire sur un fond caramélisé aux surprenants accents épicés et floraux séduisent le palais. Pour des moments intenses et gourmands…
</t>
  </si>
  <si>
    <t>L’Adapei Papillons Blancs d’Alsace œuvre pour un monde plus solidaire en valorisant la citoyenneté des personnes en situation de handicap.
https://adapeipapillonsblancs.alsace/</t>
  </si>
  <si>
    <t>TA5106</t>
  </si>
  <si>
    <t xml:space="preserve">ETBA510V5 </t>
  </si>
  <si>
    <t>ETCBA5106V5</t>
  </si>
  <si>
    <t>TA6022</t>
  </si>
  <si>
    <t xml:space="preserve">ETVA602V5 </t>
  </si>
  <si>
    <t>ETCVA6022V5</t>
  </si>
  <si>
    <t>MT2652</t>
  </si>
  <si>
    <t>ETMT265V5</t>
  </si>
  <si>
    <t>ETCMT2652V5</t>
  </si>
  <si>
    <r>
      <t xml:space="preserve">rose – </t>
    </r>
    <r>
      <rPr>
        <b/>
        <sz val="12"/>
        <color theme="1"/>
        <rFont val="Calibri"/>
        <family val="2"/>
        <scheme val="minor"/>
      </rPr>
      <t>amande</t>
    </r>
    <r>
      <rPr>
        <sz val="11"/>
        <color theme="1"/>
        <rFont val="Calibri"/>
        <family val="2"/>
        <scheme val="minor"/>
      </rPr>
      <t xml:space="preserve"> - </t>
    </r>
    <r>
      <rPr>
        <sz val="11"/>
        <color rgb="FFFF0000"/>
        <rFont val="Calibri"/>
        <family val="2"/>
        <scheme val="minor"/>
      </rPr>
      <t>cannelier</t>
    </r>
  </si>
  <si>
    <t>triman</t>
  </si>
  <si>
    <t>triman ?</t>
  </si>
  <si>
    <r>
      <t>Ingrédients : maté vert*(</t>
    </r>
    <r>
      <rPr>
        <i/>
        <sz val="11"/>
        <rFont val="Calibri"/>
        <family val="2"/>
        <scheme val="minor"/>
      </rPr>
      <t>Ilex paraguariensis</t>
    </r>
    <r>
      <rPr>
        <sz val="11"/>
        <rFont val="Calibri"/>
        <family val="2"/>
        <scheme val="minor"/>
      </rPr>
      <t>) 62%, gingembre* 15,5%, guarana* 6%, hibiscus* 6%, menthe poivrée*, huile essentielle d'orange sanguine* 4%, ginseng* 2%, stevia*. *Issu de l'agriculture biologique.</t>
    </r>
  </si>
  <si>
    <r>
      <t>ancienne recette : Ingrédients : thé vert*, arômes naturels de (</t>
    </r>
    <r>
      <rPr>
        <b/>
        <sz val="11"/>
        <color theme="1"/>
        <rFont val="Calibri"/>
        <family val="2"/>
        <scheme val="minor"/>
      </rPr>
      <t>amande</t>
    </r>
    <r>
      <rPr>
        <sz val="11"/>
        <color theme="1"/>
        <rFont val="Calibri"/>
        <family val="2"/>
        <scheme val="minor"/>
      </rPr>
      <t xml:space="preserve">* 8%, rose* 2%), feuilles de cannelier* 5%, cannelle*, cardamome*, fenouil*, </t>
    </r>
    <r>
      <rPr>
        <b/>
        <sz val="11"/>
        <color theme="1"/>
        <rFont val="Calibri"/>
        <family val="2"/>
        <scheme val="minor"/>
      </rPr>
      <t>amandes</t>
    </r>
    <r>
      <rPr>
        <sz val="11"/>
        <color theme="1"/>
        <rFont val="Calibri"/>
        <family val="2"/>
        <scheme val="minor"/>
      </rPr>
      <t xml:space="preserve"> effilées* 3%, pétales de (rose* 1%, bleuet*, souci*). *Issu de l'agriculture biologique.</t>
    </r>
  </si>
  <si>
    <r>
      <t>Ingrédients : thé vert*, arômes naturels de (</t>
    </r>
    <r>
      <rPr>
        <b/>
        <sz val="11"/>
        <color theme="1"/>
        <rFont val="Calibri"/>
        <family val="2"/>
        <scheme val="minor"/>
      </rPr>
      <t>amande</t>
    </r>
    <r>
      <rPr>
        <sz val="11"/>
        <color theme="1"/>
        <rFont val="Calibri"/>
        <family val="2"/>
        <scheme val="minor"/>
      </rPr>
      <t xml:space="preserve">* 8%, rose* 2%), feuilles de cannelier* 5%, cannelle*, cardamome*, fenouil*, </t>
    </r>
    <r>
      <rPr>
        <b/>
        <sz val="11"/>
        <color theme="1"/>
        <rFont val="Calibri"/>
        <family val="2"/>
        <scheme val="minor"/>
      </rPr>
      <t>amandes</t>
    </r>
    <r>
      <rPr>
        <sz val="11"/>
        <color theme="1"/>
        <rFont val="Calibri"/>
        <family val="2"/>
        <scheme val="minor"/>
      </rPr>
      <t xml:space="preserve"> effilées* 3%, </t>
    </r>
    <r>
      <rPr>
        <sz val="11"/>
        <color rgb="FFFF0000"/>
        <rFont val="Calibri"/>
        <family val="2"/>
        <scheme val="minor"/>
      </rPr>
      <t>pétales de rose* 1%, pétales de fleurs*</t>
    </r>
    <r>
      <rPr>
        <sz val="11"/>
        <color theme="1"/>
        <rFont val="Calibri"/>
        <family val="2"/>
        <scheme val="minor"/>
      </rPr>
      <t>. *Issu de l'agriculture biologique.</t>
    </r>
  </si>
  <si>
    <t>Triunfo do Brasil</t>
  </si>
  <si>
    <t>Jasmine beads  茉莉龙凤珠</t>
  </si>
  <si>
    <t xml:space="preserve">This white mountain jasmine tea, whose buds have been shaped into precious pearls, has been traditionally scented with freshly picked flowers. Its infusion offers a velvety, smooth and fresh cup with floral aromas of incomparable depth. </t>
  </si>
  <si>
    <t>Short text: Mountain white tea pearls scented with fresh jasmine flowers, using the traditional method. Smooth and fresh.</t>
  </si>
  <si>
    <t>Mountain white tea pearls scented with fresh jasmine flowers, using the traditional method. Smooth and fresh.</t>
  </si>
  <si>
    <r>
      <t xml:space="preserve">Ingredients: cinnamon* 44%, lemon balm* 21%, mulberry leaves*, orange peels*, apple pieces*, liquorice*, cloves*, flower petals (marigold*, cornflower*). *From organic farming. </t>
    </r>
    <r>
      <rPr>
        <i/>
        <sz val="11"/>
        <color theme="1"/>
        <rFont val="Calibri"/>
        <family val="2"/>
        <scheme val="minor"/>
      </rPr>
      <t xml:space="preserve">Contains liquorice, people suffering from hypertension should avoid excessive consumption. </t>
    </r>
  </si>
  <si>
    <t>Colonne1</t>
  </si>
  <si>
    <t>Colonne2</t>
  </si>
  <si>
    <t>Colonne3</t>
  </si>
  <si>
    <t>Colonne4</t>
  </si>
  <si>
    <t>Colonne5</t>
  </si>
  <si>
    <t>ALLERGENES</t>
  </si>
  <si>
    <t>White Butterfly</t>
  </si>
  <si>
    <t>Pear flavour - apple - green pepper</t>
  </si>
  <si>
    <t>To the party</t>
  </si>
  <si>
    <r>
      <t xml:space="preserve">Rose - </t>
    </r>
    <r>
      <rPr>
        <b/>
        <sz val="11"/>
        <color theme="1"/>
        <rFont val="Calibri"/>
        <family val="2"/>
        <scheme val="minor"/>
      </rPr>
      <t>almond</t>
    </r>
    <r>
      <rPr>
        <sz val="11"/>
        <color theme="1"/>
        <rFont val="Calibri"/>
        <family val="2"/>
        <scheme val="minor"/>
      </rPr>
      <t xml:space="preserve"> - cinnamon leaves</t>
    </r>
  </si>
  <si>
    <t>Sporty maté</t>
  </si>
  <si>
    <t>Blodd orange essential oil - ginger - hibiscus</t>
  </si>
  <si>
    <t xml:space="preserve">Mango punch </t>
  </si>
  <si>
    <t xml:space="preserve">The giants of Putharjhora </t>
  </si>
  <si>
    <t>Starry night</t>
  </si>
  <si>
    <t>Lightness</t>
  </si>
  <si>
    <r>
      <t xml:space="preserve">Ingrédients : rooibos**, extrait de rose* 9%, pétales de rose** 3%. *Issu de l'agriculture biologique. **Issu de l'agriculture biologique et biodynamique. </t>
    </r>
    <r>
      <rPr>
        <b/>
        <i/>
        <sz val="11"/>
        <color rgb="FFFF0000"/>
        <rFont val="Calibri"/>
        <family val="2"/>
        <scheme val="minor"/>
      </rPr>
      <t>demeter</t>
    </r>
    <r>
      <rPr>
        <sz val="11"/>
        <color rgb="FFFF0000"/>
        <rFont val="Calibri"/>
        <family val="2"/>
        <scheme val="minor"/>
      </rPr>
      <t xml:space="preserve"> est le label des produits issus de l'agriculture biodynamique.</t>
    </r>
  </si>
  <si>
    <r>
      <rPr>
        <sz val="11"/>
        <color rgb="FF00B050"/>
        <rFont val="Calibri"/>
        <family val="2"/>
        <scheme val="minor"/>
      </rPr>
      <t>nouvelle recette oct 2025</t>
    </r>
    <r>
      <rPr>
        <sz val="11"/>
        <color rgb="FFFF0000"/>
        <rFont val="Calibri"/>
        <family val="2"/>
        <scheme val="minor"/>
      </rPr>
      <t xml:space="preserve">
Ingrédients : rooibos**, extrait de rose* 9%, </t>
    </r>
    <r>
      <rPr>
        <sz val="11"/>
        <color rgb="FF00B050"/>
        <rFont val="Calibri"/>
        <family val="2"/>
        <scheme val="minor"/>
      </rPr>
      <t>pétales de rose* 3%</t>
    </r>
    <r>
      <rPr>
        <sz val="11"/>
        <color rgb="FFFF0000"/>
        <rFont val="Calibri"/>
        <family val="2"/>
        <scheme val="minor"/>
      </rPr>
      <t xml:space="preserve">. *Issu de l'agriculture biologique. **Issu de l'agriculture biologique et biodynamique. </t>
    </r>
    <r>
      <rPr>
        <b/>
        <i/>
        <sz val="11"/>
        <color rgb="FFFF0000"/>
        <rFont val="Calibri"/>
        <family val="2"/>
        <scheme val="minor"/>
      </rPr>
      <t>demeter</t>
    </r>
    <r>
      <rPr>
        <sz val="11"/>
        <color rgb="FFFF0000"/>
        <rFont val="Calibri"/>
        <family val="2"/>
        <scheme val="minor"/>
      </rPr>
      <t xml:space="preserve"> est le label des produits issus de l'agriculture biodynamique.</t>
    </r>
  </si>
  <si>
    <r>
      <rPr>
        <sz val="11"/>
        <color rgb="FF00B050"/>
        <rFont val="Calibri"/>
        <family val="2"/>
        <scheme val="minor"/>
      </rPr>
      <t>nouvelle recette oct 2025</t>
    </r>
    <r>
      <rPr>
        <sz val="11"/>
        <color rgb="FFFF0000"/>
        <rFont val="Calibri"/>
        <family val="2"/>
        <scheme val="minor"/>
      </rPr>
      <t xml:space="preserve">
Ingrédients : thé vert**, </t>
    </r>
    <r>
      <rPr>
        <sz val="11"/>
        <color rgb="FF00B050"/>
        <rFont val="Calibri"/>
        <family val="2"/>
        <scheme val="minor"/>
      </rPr>
      <t>écorces de mandarine**</t>
    </r>
    <r>
      <rPr>
        <sz val="11"/>
        <color rgb="FFFF0000"/>
        <rFont val="Calibri"/>
        <family val="2"/>
        <scheme val="minor"/>
      </rPr>
      <t xml:space="preserve">, tulsi* 10%, cardamome* 9%, amarante*. *Issu de l’agriculture biologique. **Issu de l’agriculture biologique et biodynamique. </t>
    </r>
    <r>
      <rPr>
        <b/>
        <i/>
        <sz val="11"/>
        <color rgb="FFFF0000"/>
        <rFont val="Calibri"/>
        <family val="2"/>
        <scheme val="minor"/>
      </rPr>
      <t>demeter</t>
    </r>
    <r>
      <rPr>
        <sz val="11"/>
        <color rgb="FFFF0000"/>
        <rFont val="Calibri"/>
        <family val="2"/>
        <scheme val="minor"/>
      </rPr>
      <t xml:space="preserve"> est le label des produits issus de l'agriculture biodynamique. </t>
    </r>
  </si>
  <si>
    <r>
      <t>ETVA621</t>
    </r>
    <r>
      <rPr>
        <sz val="11"/>
        <rFont val="Calibri"/>
        <family val="2"/>
        <scheme val="minor"/>
      </rPr>
      <t>V</t>
    </r>
    <r>
      <rPr>
        <b/>
        <sz val="16"/>
        <color rgb="FFFF0000"/>
        <rFont val="Calibri"/>
        <family val="2"/>
        <scheme val="minor"/>
      </rPr>
      <t>6</t>
    </r>
    <r>
      <rPr>
        <sz val="11"/>
        <color theme="1"/>
        <rFont val="Calibri"/>
        <family val="2"/>
        <scheme val="minor"/>
      </rPr>
      <t xml:space="preserve">
</t>
    </r>
    <r>
      <rPr>
        <sz val="11"/>
        <color rgb="FFFF0000"/>
        <rFont val="Calibri"/>
        <family val="2"/>
        <scheme val="minor"/>
      </rPr>
      <t>V7 en cours</t>
    </r>
  </si>
  <si>
    <r>
      <t>ETCVA6212</t>
    </r>
    <r>
      <rPr>
        <sz val="11"/>
        <rFont val="Calibri"/>
        <family val="2"/>
        <scheme val="minor"/>
      </rPr>
      <t>V</t>
    </r>
    <r>
      <rPr>
        <b/>
        <sz val="16"/>
        <color rgb="FFFF0000"/>
        <rFont val="Calibri"/>
        <family val="2"/>
        <scheme val="minor"/>
      </rPr>
      <t>6</t>
    </r>
    <r>
      <rPr>
        <sz val="11"/>
        <color theme="1"/>
        <rFont val="Calibri"/>
        <family val="2"/>
        <scheme val="minor"/>
      </rPr>
      <t xml:space="preserve">
</t>
    </r>
    <r>
      <rPr>
        <sz val="11"/>
        <color rgb="FFFF0000"/>
        <rFont val="Calibri"/>
        <family val="2"/>
        <scheme val="minor"/>
      </rPr>
      <t>V7 en cours</t>
    </r>
  </si>
  <si>
    <r>
      <t>ETCRA2272V</t>
    </r>
    <r>
      <rPr>
        <b/>
        <sz val="16"/>
        <color rgb="FFFF0000"/>
        <rFont val="Calibri"/>
        <family val="2"/>
        <scheme val="minor"/>
      </rPr>
      <t>6</t>
    </r>
    <r>
      <rPr>
        <sz val="11"/>
        <color theme="1"/>
        <rFont val="Calibri"/>
        <family val="2"/>
        <scheme val="minor"/>
      </rPr>
      <t xml:space="preserve">
</t>
    </r>
    <r>
      <rPr>
        <sz val="11"/>
        <color rgb="FFFF0000"/>
        <rFont val="Calibri"/>
        <family val="2"/>
        <scheme val="minor"/>
      </rPr>
      <t>V7 en cours</t>
    </r>
  </si>
  <si>
    <r>
      <t>ETRA227V</t>
    </r>
    <r>
      <rPr>
        <b/>
        <sz val="16"/>
        <color rgb="FFFF0000"/>
        <rFont val="Calibri"/>
        <family val="2"/>
        <scheme val="minor"/>
      </rPr>
      <t>6</t>
    </r>
    <r>
      <rPr>
        <sz val="11"/>
        <color theme="1"/>
        <rFont val="Calibri"/>
        <family val="2"/>
        <scheme val="minor"/>
      </rPr>
      <t xml:space="preserve"> 
</t>
    </r>
    <r>
      <rPr>
        <sz val="11"/>
        <color rgb="FFFF0000"/>
        <rFont val="Calibri"/>
        <family val="2"/>
        <scheme val="minor"/>
      </rPr>
      <t>V7 en cours</t>
    </r>
  </si>
  <si>
    <t>This recipe, inspired by the romance between Lady Yang and Emperor Xuanzong, reimagines our classic 'Lady Yang Guifei' with black tea, showcasing a delightful dialogue between lychee and pear. An infusion as legendary as delicious!</t>
  </si>
  <si>
    <t>Keep refrigerated and consume within 6 to 8 months after opening.</t>
  </si>
  <si>
    <t>6 à 8 mois après ouverture.</t>
  </si>
  <si>
    <t>À conserver au réfrigérateur et à consommer 6 à 8 mois après ouverture.</t>
  </si>
  <si>
    <t>V6 ajout de la traduction anglaise</t>
  </si>
  <si>
    <r>
      <t>ETVN2206V</t>
    </r>
    <r>
      <rPr>
        <b/>
        <sz val="16"/>
        <color rgb="FFFF0000"/>
        <rFont val="Calibri"/>
        <family val="2"/>
        <scheme val="minor"/>
      </rPr>
      <t>6</t>
    </r>
  </si>
  <si>
    <r>
      <t>ETVN220</t>
    </r>
    <r>
      <rPr>
        <sz val="11"/>
        <color rgb="FFFF0000"/>
        <rFont val="Calibri"/>
        <family val="2"/>
        <scheme val="minor"/>
      </rPr>
      <t>6</t>
    </r>
    <r>
      <rPr>
        <sz val="11"/>
        <color theme="1"/>
        <rFont val="Calibri"/>
        <family val="2"/>
        <scheme val="minor"/>
      </rPr>
      <t>V</t>
    </r>
    <r>
      <rPr>
        <b/>
        <sz val="16"/>
        <color rgb="FFFF0000"/>
        <rFont val="Calibri"/>
        <family val="2"/>
        <scheme val="minor"/>
      </rPr>
      <t>6</t>
    </r>
  </si>
  <si>
    <r>
      <t>ETVN2202V</t>
    </r>
    <r>
      <rPr>
        <b/>
        <sz val="16"/>
        <color rgb="FFFF0000"/>
        <rFont val="Calibri"/>
        <family val="2"/>
        <scheme val="minor"/>
      </rPr>
      <t>6</t>
    </r>
  </si>
  <si>
    <t>Colorful and festive, this winter herbal tea, steeped in Alsatian traditions, pleasantly combines the warm flavours of cinnamon and lemony lemon balm. Its sweet and bright character immediately makes you want to share it.</t>
  </si>
  <si>
    <t>Née de la rencontre intense d'un thé noir corsé, de la véritable cannelle de Ceylan et des feuilles de cannelier, cette recette offre une liqueur aux saveurs chaudes et pleines de douceur. Une véritable source de plaisir et de récon</t>
  </si>
  <si>
    <t>fort à déguster à tout moment.</t>
  </si>
  <si>
    <t>C’est au cœur du Mont Saint-Odile que cette infusion de plantes vive et colorée puise son inspiration. Les saveurs douces et réconfortantes du tilleul, arbre symbolique que la Sainte chérissait, s’équilibrent délicieusement avec les notes acidulées de la myrtille et de la framboise qui rappellent l’environnement forestier de ce lieu unique en Alsace.</t>
  </si>
  <si>
    <t>Ingrédients : tilleul* 28%, morceaux de fruits (pomme*, carotte*, framboise* 1%), feuilles de framboisier*, arômes naturels de (myrtille* 8%, framboise* 3%), chanvre*, écorce d'églantine*, baies de groseille*, fleurs de mauve*. *Issu de l’agriculture biologique.</t>
  </si>
  <si>
    <t>Tilleul - saveur myrtille - framboise</t>
  </si>
  <si>
    <t xml:space="preserve">LE JARDIN D'ODILE </t>
  </si>
  <si>
    <t>TA0316</t>
  </si>
  <si>
    <t>ETTH031V5</t>
  </si>
  <si>
    <t>ETCTH0316V5</t>
  </si>
  <si>
    <r>
      <t>Ingredients: green tea*, natural (</t>
    </r>
    <r>
      <rPr>
        <b/>
        <sz val="11"/>
        <color theme="1"/>
        <rFont val="Calibri"/>
        <family val="2"/>
        <scheme val="minor"/>
      </rPr>
      <t>almond</t>
    </r>
    <r>
      <rPr>
        <sz val="11"/>
        <color theme="1"/>
        <rFont val="Calibri"/>
        <family val="2"/>
        <scheme val="minor"/>
      </rPr>
      <t xml:space="preserve">* 8%, rose* 2%) flavourings, cinnamon leaves* 5%, cinnamon*, cardamom*, fennel*, flaked </t>
    </r>
    <r>
      <rPr>
        <b/>
        <sz val="11"/>
        <color theme="1"/>
        <rFont val="Calibri"/>
        <family val="2"/>
        <scheme val="minor"/>
      </rPr>
      <t>almonds</t>
    </r>
    <r>
      <rPr>
        <sz val="11"/>
        <color theme="1"/>
        <rFont val="Calibri"/>
        <family val="2"/>
        <scheme val="minor"/>
      </rPr>
      <t xml:space="preserve">* 3%, rose petals* 1%, flower petals*. *From organic farming. </t>
    </r>
  </si>
  <si>
    <t>Ingredients: white tea*, apple pieces* 11%, green pepper* 11%, mulberry leaves*, lavender*, natural (apple* 5.5%, pear* 5.5%, vanilla*) flavourings. *From organic farming.</t>
  </si>
  <si>
    <t>V6 : chgmt nom : putharjhora FTGFOP1 
V7 : intégration du logo EF facing</t>
  </si>
  <si>
    <t>dérogation oct 2025, 
V6 pour passage de marque à label
V7 pour passage des pétales de rose en bio</t>
  </si>
  <si>
    <t>dérogation oct 2025, 
V6 pour passage de marque à label
V7 pour passage de la mandarine en demeter</t>
  </si>
  <si>
    <r>
      <t>ETCVA6722V</t>
    </r>
    <r>
      <rPr>
        <b/>
        <sz val="16"/>
        <color rgb="FFFF0000"/>
        <rFont val="Calibri"/>
        <family val="2"/>
        <scheme val="minor"/>
      </rPr>
      <t>6</t>
    </r>
  </si>
  <si>
    <t xml:space="preserve">changement de dénomination pour 2026 : Comme une caresse
</t>
  </si>
  <si>
    <t>passage de marque à label</t>
  </si>
  <si>
    <t>changement de désignation en janvier 2026 : Zone 51</t>
  </si>
  <si>
    <t>ancienne recette : Ingrédients : thé noir*, arômes naturels de (poire*, litchi) 13%, fleurs (osmanthe*, violette*), pétales de camomille*. *Issu de l'agriculture biologique. 
changement de désignation en janvier 2026 :  RENDEZ-VOUS AMOUREUX</t>
  </si>
  <si>
    <t>changement de désignation en janvier 2026 : le secret de miss bikini</t>
  </si>
  <si>
    <t>Like the intoxicating scents and vibrant colours that adorn Indian streets, this recipe is a feast for taste buds in search of excitement. After a slightly camphorated vegetal attack, it gives way to notes of almond, cinnamon and rose, full of warmth and indulgence.</t>
  </si>
  <si>
    <t>With its light and fresh white tea base, this recipe invites you to flit from flavour to flavour... From the very first sip, its pear notes on a caramelised base with surprising spicy and floral accents delight the palate. For intense, indulgent moments...</t>
  </si>
  <si>
    <t>The Les Jardins de Gaïa Endowment Fund is a philanthropic organization that carries out and supports projects of public interest. It affirms and enhances the full range of commitments of the company Les Jardins de Gaïa towards the Earth and humanity. https://www.dotationgaia.com</t>
  </si>
  <si>
    <t>The Adapei Papillons Blancs d’Alsace works for a more inclusive world by promoting the citizenship and participation of people with disabilities.
https://www.adapeipapillonsblancs.alsace</t>
  </si>
  <si>
    <t>Saveur poire – pomme - poivre vert</t>
  </si>
  <si>
    <r>
      <t xml:space="preserve">ancienne recette : 
Ingrédients : rooibos*, arômes naturels de (poire*, cacao*) 9%, </t>
    </r>
    <r>
      <rPr>
        <b/>
        <sz val="12"/>
        <color rgb="FFFF0000"/>
        <rFont val="Calibri"/>
        <family val="2"/>
        <scheme val="minor"/>
      </rPr>
      <t>amandes</t>
    </r>
    <r>
      <rPr>
        <sz val="11"/>
        <color rgb="FFFF0000"/>
        <rFont val="Calibri"/>
        <family val="2"/>
        <scheme val="minor"/>
      </rPr>
      <t xml:space="preserve"> effilées*, morceaux de pomme*, pétales de souci*. *Issu de l'agriculture biologique.</t>
    </r>
  </si>
  <si>
    <r>
      <t xml:space="preserve">Ingrédients : rooibos vert*, rooibos*, arômes naturels de (poire*, cacao*) 10%, </t>
    </r>
    <r>
      <rPr>
        <b/>
        <sz val="11"/>
        <rFont val="Calibri"/>
        <family val="2"/>
        <scheme val="minor"/>
      </rPr>
      <t>amandes</t>
    </r>
    <r>
      <rPr>
        <sz val="11"/>
        <rFont val="Calibri"/>
        <family val="2"/>
        <scheme val="minor"/>
      </rPr>
      <t xml:space="preserve"> effilées*, morceaux de pomme*, pétales de souci*. *Issu de l'agriculture biologique.</t>
    </r>
  </si>
  <si>
    <r>
      <t xml:space="preserve">Ingredients: green rooibos*, rooibos*, natural (pear*, cocoa*) flavourings* 10%, flaked </t>
    </r>
    <r>
      <rPr>
        <b/>
        <sz val="11"/>
        <color rgb="FFFF0000"/>
        <rFont val="Calibri"/>
        <family val="2"/>
        <scheme val="minor"/>
      </rPr>
      <t>almonds</t>
    </r>
    <r>
      <rPr>
        <sz val="11"/>
        <color rgb="FFFF0000"/>
        <rFont val="Calibri"/>
        <family val="2"/>
        <scheme val="minor"/>
      </rPr>
      <t>*, apple pieces*, marigold petals*. *From organic farming.</t>
    </r>
  </si>
  <si>
    <r>
      <t>ETNA745V</t>
    </r>
    <r>
      <rPr>
        <b/>
        <sz val="14"/>
        <color rgb="FFFF0000"/>
        <rFont val="Calibri"/>
        <family val="2"/>
        <scheme val="minor"/>
      </rPr>
      <t>6</t>
    </r>
    <r>
      <rPr>
        <sz val="11"/>
        <color theme="1"/>
        <rFont val="Calibri"/>
        <family val="2"/>
        <scheme val="minor"/>
      </rPr>
      <t>EN</t>
    </r>
  </si>
  <si>
    <r>
      <t>ETCNA7452V</t>
    </r>
    <r>
      <rPr>
        <b/>
        <sz val="14"/>
        <color rgb="FFFF0000"/>
        <rFont val="Calibri"/>
        <family val="2"/>
        <scheme val="minor"/>
      </rPr>
      <t>6</t>
    </r>
    <r>
      <rPr>
        <sz val="11"/>
        <color theme="1"/>
        <rFont val="Calibri"/>
        <family val="2"/>
        <scheme val="minor"/>
      </rPr>
      <t>EN</t>
    </r>
  </si>
  <si>
    <t xml:space="preserve">Ingredients: black tea*, natural (pear*, lychee) flavourings 13%, flowers petals*, apple pieces*. *From organic farming. </t>
  </si>
  <si>
    <t>Médaille de bronze AVPA 2026</t>
  </si>
  <si>
    <t>TB4017</t>
  </si>
  <si>
    <t>White Monkey</t>
  </si>
  <si>
    <t>Bai Mao Hou</t>
  </si>
  <si>
    <t>Thé blanc d'origine</t>
  </si>
  <si>
    <t>La légende dit que les singes cueillent ces tendres bourgeons sur des branches inaccessibles. Duveteuses aux reflets argentés, les jeunes pousses de ce thé libèrent une infusion brillante, très claire, proche du thé vert. Ronde et équilibrée, dominée par les saveurs végétales, elle laisse en bouche de discrètes notes de romarin et de fruits cuits. Doux comme le miel, sans aucune acidité, ce thé est un délice.</t>
  </si>
  <si>
    <t>La légende raconte que ce beau thé blanc a été délicatement cueilli par des singes sur des branches inaccessibles. Ses tendres bourgeons duveteux aux reflets argentés offrent une liqueur brillante, douce comme le miel, aux notes de romarin et de fruits cuits. Un thé à la fois raffiné et gourmand !</t>
  </si>
  <si>
    <t>Guzhang Gaofeng</t>
  </si>
  <si>
    <t>Organic Original White Tea</t>
  </si>
  <si>
    <t>Legend whispers that this exquisite white tea was gently plucked by monkeys from branches too high for human hands. Its tender, silvery buds yield a radiant brew, honey-sweet on the tongue, laced with hints of rosemary and sun-kissed stewed fruits. A tea as elegant as it is enchanting.</t>
  </si>
  <si>
    <t xml:space="preserve">Ingredient: white tea*. *From organic farming. </t>
  </si>
  <si>
    <t>TB4016</t>
  </si>
  <si>
    <r>
      <t>ETBN401V</t>
    </r>
    <r>
      <rPr>
        <b/>
        <sz val="16"/>
        <color rgb="FFFF0000"/>
        <rFont val="Calibri"/>
        <family val="2"/>
        <scheme val="minor"/>
      </rPr>
      <t>6</t>
    </r>
  </si>
  <si>
    <r>
      <t>ETCBN4016V</t>
    </r>
    <r>
      <rPr>
        <b/>
        <sz val="16"/>
        <color rgb="FFFF0000"/>
        <rFont val="Calibri"/>
        <family val="2"/>
        <scheme val="minor"/>
      </rPr>
      <t>6</t>
    </r>
  </si>
  <si>
    <t>illustration facing à modifier</t>
  </si>
  <si>
    <t>TB4041</t>
  </si>
  <si>
    <t>TB4042</t>
  </si>
  <si>
    <t>TB4046</t>
  </si>
  <si>
    <t>Ché Chun</t>
  </si>
  <si>
    <t>Pivoine blanche</t>
  </si>
  <si>
    <t>Les bourgeons et deux premières feuilles de ce thé blanc issu de théiers anciens du Vietnam ont été travaillés à la manière d’un Bai Mu Dan. Son infusion aux parfums de prairie sauvage et aux saveurs délicatement fruitées est à la fois légère et fraîche. Une boisson idéale pour les beaux jours.</t>
  </si>
  <si>
    <r>
      <t>ETBN4042V</t>
    </r>
    <r>
      <rPr>
        <b/>
        <sz val="16"/>
        <color rgb="FFFF0000"/>
        <rFont val="Calibri"/>
        <family val="2"/>
        <scheme val="minor"/>
      </rPr>
      <t>6</t>
    </r>
  </si>
  <si>
    <r>
      <t>ETCBN4042V</t>
    </r>
    <r>
      <rPr>
        <b/>
        <sz val="16"/>
        <color rgb="FFFF0000"/>
        <rFont val="Calibri"/>
        <family val="2"/>
        <scheme val="minor"/>
      </rPr>
      <t>6</t>
    </r>
  </si>
  <si>
    <r>
      <t>ETBN404V</t>
    </r>
    <r>
      <rPr>
        <b/>
        <sz val="16"/>
        <color rgb="FFFF0000"/>
        <rFont val="Calibri"/>
        <family val="2"/>
        <scheme val="minor"/>
      </rPr>
      <t>6</t>
    </r>
  </si>
  <si>
    <r>
      <t>ETCBN4046V</t>
    </r>
    <r>
      <rPr>
        <b/>
        <sz val="16"/>
        <color rgb="FFFF0000"/>
        <rFont val="Calibri"/>
        <family val="2"/>
        <scheme val="minor"/>
      </rPr>
      <t>6</t>
    </r>
  </si>
  <si>
    <t>White peony</t>
  </si>
  <si>
    <t>Organic single origin white tea</t>
  </si>
  <si>
    <t>The buds and first two leaves of this white tea from ancient Vietnamese tea bushes have been processed in the manner of a Bai Mu Dan. Its infusion, with its wild meadow fragrance and delicately fruity flavours, is both light and fresh. An ideal drink for sunny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</si>
</sst>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font>
      <sz val="11"/>
      <color theme="1"/>
      <name val="Calibri"/>
      <family val="2"/>
      <scheme val="minor"/>
    </font>
    <font>
      <sz val="12"/>
      <color theme="1"/>
      <name val="Calibri"/>
      <family val="2"/>
      <scheme val="minor"/>
    </font>
    <font>
      <sz val="11"/>
      <color rgb="FFFF0000"/>
      <name val="Calibri"/>
      <family val="2"/>
      <scheme val="minor"/>
    </font>
    <font>
      <b/>
      <sz val="11"/>
      <color theme="1"/>
      <name val="Calibri"/>
      <family val="2"/>
      <scheme val="minor"/>
    </font>
    <font>
      <i/>
      <sz val="11"/>
      <color rgb="FFFF0000"/>
      <name val="Calibri"/>
      <family val="2"/>
      <scheme val="minor"/>
    </font>
    <font>
      <b/>
      <sz val="11"/>
      <color rgb="FFFF0000"/>
      <name val="Calibri"/>
      <family val="2"/>
      <scheme val="minor"/>
    </font>
    <font>
      <b/>
      <sz val="12"/>
      <color theme="0"/>
      <name val="Calibri"/>
      <family val="2"/>
      <scheme val="minor"/>
    </font>
    <font>
      <b/>
      <sz val="12"/>
      <color theme="1"/>
      <name val="Calibri"/>
      <family val="2"/>
      <scheme val="minor"/>
    </font>
    <font>
      <sz val="12"/>
      <color theme="1"/>
      <name val="Calibri"/>
      <family val="2"/>
      <scheme val="minor"/>
    </font>
    <font>
      <b/>
      <i/>
      <sz val="12"/>
      <color theme="1"/>
      <name val="Calibri"/>
      <family val="2"/>
      <scheme val="minor"/>
    </font>
    <font>
      <b/>
      <sz val="12"/>
      <color rgb="FFFF0000"/>
      <name val="Calibri"/>
      <family val="2"/>
      <scheme val="minor"/>
    </font>
    <font>
      <b/>
      <sz val="12"/>
      <name val="Calibri"/>
      <family val="2"/>
      <scheme val="minor"/>
    </font>
    <font>
      <sz val="12"/>
      <name val="Calibri"/>
      <family val="2"/>
      <scheme val="minor"/>
    </font>
    <font>
      <i/>
      <sz val="12"/>
      <color theme="1"/>
      <name val="Calibri"/>
      <family val="2"/>
      <scheme val="minor"/>
    </font>
    <font>
      <sz val="12"/>
      <color rgb="FF000000"/>
      <name val="Calibri"/>
      <family val="2"/>
      <scheme val="minor"/>
    </font>
    <font>
      <sz val="11"/>
      <name val="Calibri"/>
      <family val="2"/>
      <scheme val="minor"/>
    </font>
    <font>
      <sz val="12"/>
      <color rgb="FFFF0000"/>
      <name val="Calibri (Corps)"/>
    </font>
    <font>
      <sz val="11"/>
      <name val="Calibri (Corps)"/>
    </font>
    <font>
      <i/>
      <sz val="11"/>
      <color theme="1"/>
      <name val="Calibri"/>
      <family val="2"/>
      <scheme val="minor"/>
    </font>
    <font>
      <i/>
      <sz val="11"/>
      <name val="Calibri"/>
      <family val="2"/>
      <scheme val="minor"/>
    </font>
    <font>
      <sz val="12"/>
      <color rgb="FFFF0000"/>
      <name val="Calibri"/>
      <family val="2"/>
      <scheme val="minor"/>
    </font>
    <font>
      <sz val="11"/>
      <color rgb="FF000000"/>
      <name val="Calibri"/>
      <family val="2"/>
      <scheme val="minor"/>
    </font>
    <font>
      <b/>
      <i/>
      <sz val="11"/>
      <color theme="1"/>
      <name val="Calibri"/>
      <family val="2"/>
      <scheme val="minor"/>
    </font>
    <font>
      <i/>
      <sz val="12"/>
      <name val="Calibri (Corps)"/>
    </font>
    <font>
      <i/>
      <sz val="12"/>
      <color rgb="FFFF0000"/>
      <name val="Calibri (Corps)"/>
    </font>
    <font>
      <sz val="12"/>
      <color theme="1"/>
      <name val="Calibri Light"/>
      <family val="2"/>
    </font>
    <font>
      <sz val="12"/>
      <color rgb="FF000000"/>
      <name val="Calibri"/>
      <family val="2"/>
    </font>
    <font>
      <b/>
      <i/>
      <sz val="11"/>
      <color rgb="FFFF0000"/>
      <name val="Calibri"/>
      <family val="2"/>
      <scheme val="minor"/>
    </font>
    <font>
      <b/>
      <sz val="18"/>
      <color theme="1"/>
      <name val="Calibri"/>
      <family val="2"/>
      <scheme val="minor"/>
    </font>
    <font>
      <sz val="8"/>
      <color theme="1"/>
      <name val="Calibri"/>
      <family val="2"/>
    </font>
    <font>
      <b/>
      <sz val="18"/>
      <color rgb="FFFF0000"/>
      <name val="Calibri"/>
      <family val="2"/>
      <scheme val="minor"/>
    </font>
    <font>
      <sz val="12"/>
      <color theme="4"/>
      <name val="Calibri"/>
      <family val="2"/>
      <scheme val="minor"/>
    </font>
    <font>
      <sz val="11"/>
      <color theme="4"/>
      <name val="Calibri"/>
      <family val="2"/>
      <scheme val="minor"/>
    </font>
    <font>
      <b/>
      <sz val="16"/>
      <color rgb="FFFF0000"/>
      <name val="Calibri"/>
      <family val="2"/>
      <scheme val="minor"/>
    </font>
    <font>
      <sz val="11"/>
      <color theme="1"/>
      <name val="Aptos"/>
      <family val="2"/>
    </font>
    <font>
      <b/>
      <sz val="11"/>
      <name val="Calibri"/>
      <family val="2"/>
      <scheme val="minor"/>
    </font>
    <font>
      <b/>
      <strike/>
      <sz val="12"/>
      <color theme="1"/>
      <name val="Calibri"/>
      <family val="2"/>
      <scheme val="minor"/>
    </font>
    <font>
      <strike/>
      <sz val="11"/>
      <color theme="1"/>
      <name val="Calibri"/>
      <family val="2"/>
      <scheme val="minor"/>
    </font>
    <font>
      <b/>
      <i/>
      <sz val="12"/>
      <name val="Calibri"/>
      <family val="2"/>
      <scheme val="minor"/>
    </font>
    <font>
      <i/>
      <sz val="12"/>
      <color rgb="FF00B050"/>
      <name val="Calibri Light"/>
      <family val="2"/>
    </font>
    <font>
      <b/>
      <i/>
      <sz val="12"/>
      <color rgb="FF00B050"/>
      <name val="Calibri Light"/>
      <family val="2"/>
    </font>
    <font>
      <sz val="12"/>
      <color rgb="FF00B050"/>
      <name val="Calibri Light"/>
      <family val="2"/>
    </font>
    <font>
      <i/>
      <sz val="12"/>
      <color rgb="FF00B050"/>
      <name val="Arial"/>
      <family val="2"/>
    </font>
    <font>
      <sz val="12"/>
      <color rgb="FF00B050"/>
      <name val="Arial"/>
      <family val="2"/>
    </font>
    <font>
      <b/>
      <sz val="12"/>
      <color rgb="FF00B050"/>
      <name val="Calibri Light"/>
      <family val="2"/>
    </font>
    <font>
      <b/>
      <sz val="11"/>
      <color rgb="FF000000"/>
      <name val="Calibri"/>
      <family val="2"/>
      <scheme val="minor"/>
    </font>
    <font>
      <sz val="11"/>
      <color rgb="FF00B050"/>
      <name val="Calibri"/>
      <family val="2"/>
      <scheme val="minor"/>
    </font>
    <font>
      <b/>
      <sz val="14"/>
      <color rgb="FFFF0000"/>
      <name val="Calibri"/>
      <family val="2"/>
      <scheme val="minor"/>
    </font>
    <font>
      <sz val="12"/>
      <color rgb="FFFF0000"/>
      <name val="Calibri Light"/>
      <family val="2"/>
    </font>
    <font>
      <sz val="14"/>
      <color rgb="FFFF0000"/>
      <name val="Calibri"/>
      <family val="2"/>
      <scheme val="minor"/>
    </font>
  </fonts>
  <fills count="17">
    <fill>
      <patternFill patternType="none"/>
    </fill>
    <fill>
      <patternFill patternType="gray125"/>
    </fill>
    <fill>
      <patternFill patternType="solid">
        <fgColor theme="6" tint="-0.499984740745262"/>
        <bgColor indexed="64"/>
      </patternFill>
    </fill>
    <fill>
      <patternFill patternType="solid">
        <fgColor theme="9"/>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0"/>
        <bgColor indexed="64"/>
      </patternFill>
    </fill>
    <fill>
      <patternFill patternType="solid">
        <fgColor rgb="FFFFFF00"/>
        <bgColor indexed="64"/>
      </patternFill>
    </fill>
    <fill>
      <patternFill patternType="solid">
        <fgColor theme="9" tint="0.59999389629810485"/>
        <bgColor indexed="64"/>
      </patternFill>
    </fill>
    <fill>
      <patternFill patternType="solid">
        <fgColor theme="5"/>
        <bgColor indexed="64"/>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79998168889431442"/>
        <bgColor indexed="64"/>
      </patternFill>
    </fill>
    <fill>
      <patternFill patternType="solid">
        <fgColor rgb="FFFC526E"/>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56">
    <xf numFmtId="0" fontId="0" fillId="0" borderId="0" xfId="0"/>
    <xf numFmtId="0" fontId="6" fillId="2"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3" borderId="1" xfId="0" applyFont="1" applyFill="1" applyBorder="1" applyAlignment="1">
      <alignment horizontal="left" vertical="center" wrapText="1"/>
    </xf>
    <xf numFmtId="49" fontId="6" fillId="3" borderId="1" xfId="0" applyNumberFormat="1" applyFont="1" applyFill="1" applyBorder="1" applyAlignment="1">
      <alignment horizontal="center" vertical="center" wrapText="1"/>
    </xf>
    <xf numFmtId="1" fontId="6" fillId="3" borderId="1" xfId="0" applyNumberFormat="1" applyFont="1" applyFill="1" applyBorder="1" applyAlignment="1">
      <alignment horizontal="center" vertical="center" wrapText="1"/>
    </xf>
    <xf numFmtId="0" fontId="7" fillId="0" borderId="0" xfId="0" applyFont="1" applyAlignment="1">
      <alignment horizontal="center" vertical="center" wrapText="1"/>
    </xf>
    <xf numFmtId="0" fontId="0" fillId="0" borderId="0" xfId="0" applyAlignment="1">
      <alignment horizontal="center" vertical="center" wrapText="1"/>
    </xf>
    <xf numFmtId="0" fontId="7" fillId="0" borderId="1" xfId="0" applyFont="1"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49" fontId="0" fillId="0" borderId="1" xfId="0" quotePrefix="1" applyNumberFormat="1" applyBorder="1" applyAlignment="1">
      <alignment horizontal="center" vertical="center" wrapText="1"/>
    </xf>
    <xf numFmtId="1" fontId="0" fillId="0" borderId="1" xfId="0" applyNumberFormat="1" applyBorder="1" applyAlignment="1">
      <alignment horizontal="center" vertical="center" wrapText="1"/>
    </xf>
    <xf numFmtId="0" fontId="0" fillId="5" borderId="1" xfId="0" applyFill="1" applyBorder="1" applyAlignment="1">
      <alignment horizontal="center" vertical="center" wrapText="1"/>
    </xf>
    <xf numFmtId="0" fontId="7" fillId="0" borderId="1" xfId="0" applyFont="1" applyBorder="1" applyAlignment="1">
      <alignment horizontal="center" vertical="center" wrapText="1"/>
    </xf>
    <xf numFmtId="0" fontId="2" fillId="0" borderId="1" xfId="0" applyFont="1" applyBorder="1" applyAlignment="1">
      <alignment horizontal="left" vertical="center" wrapText="1"/>
    </xf>
    <xf numFmtId="0" fontId="0" fillId="4" borderId="1" xfId="0" applyFill="1" applyBorder="1" applyAlignment="1">
      <alignment horizontal="left" vertical="center" wrapText="1"/>
    </xf>
    <xf numFmtId="0" fontId="0" fillId="7" borderId="1" xfId="0" applyFill="1" applyBorder="1" applyAlignment="1">
      <alignment horizontal="left" vertical="center" wrapText="1"/>
    </xf>
    <xf numFmtId="0" fontId="10" fillId="0" borderId="1" xfId="0" applyFont="1" applyBorder="1" applyAlignment="1">
      <alignment horizontal="left" vertical="center" wrapText="1"/>
    </xf>
    <xf numFmtId="49" fontId="0" fillId="0" borderId="1" xfId="0" applyNumberFormat="1" applyBorder="1" applyAlignment="1">
      <alignment horizontal="center" vertical="center" wrapText="1"/>
    </xf>
    <xf numFmtId="0" fontId="0" fillId="7" borderId="1" xfId="0" applyFill="1" applyBorder="1" applyAlignment="1">
      <alignment horizontal="center" vertical="center" wrapText="1"/>
    </xf>
    <xf numFmtId="0" fontId="7" fillId="7" borderId="1" xfId="0" applyFont="1" applyFill="1" applyBorder="1" applyAlignment="1">
      <alignment horizontal="left" vertical="center" wrapText="1"/>
    </xf>
    <xf numFmtId="1" fontId="0" fillId="7" borderId="1" xfId="0" applyNumberFormat="1" applyFill="1" applyBorder="1" applyAlignment="1">
      <alignment horizontal="center" vertical="center" wrapText="1"/>
    </xf>
    <xf numFmtId="0" fontId="0" fillId="0" borderId="1" xfId="0" quotePrefix="1" applyBorder="1" applyAlignment="1">
      <alignment horizontal="center" vertical="center" wrapText="1"/>
    </xf>
    <xf numFmtId="0" fontId="15" fillId="0" borderId="1" xfId="0" applyFont="1" applyBorder="1" applyAlignment="1">
      <alignment horizontal="left" vertical="center" wrapText="1"/>
    </xf>
    <xf numFmtId="0" fontId="0" fillId="0" borderId="1" xfId="0" quotePrefix="1" applyBorder="1" applyAlignment="1">
      <alignment horizontal="left" vertical="center" wrapText="1"/>
    </xf>
    <xf numFmtId="0" fontId="8" fillId="0" borderId="1" xfId="0" applyFont="1" applyBorder="1" applyAlignment="1">
      <alignment horizontal="justify" vertical="center"/>
    </xf>
    <xf numFmtId="0" fontId="0" fillId="8" borderId="1" xfId="0" applyFill="1" applyBorder="1" applyAlignment="1">
      <alignment horizontal="center" vertical="center" wrapText="1"/>
    </xf>
    <xf numFmtId="49" fontId="0" fillId="7" borderId="1" xfId="0" quotePrefix="1" applyNumberFormat="1" applyFill="1" applyBorder="1" applyAlignment="1">
      <alignment horizontal="center" vertical="center" wrapText="1"/>
    </xf>
    <xf numFmtId="0" fontId="0" fillId="8" borderId="1" xfId="0" applyFill="1" applyBorder="1" applyAlignment="1">
      <alignment horizontal="left" vertical="center" wrapText="1"/>
    </xf>
    <xf numFmtId="0" fontId="0" fillId="0" borderId="1" xfId="0" applyBorder="1" applyAlignment="1">
      <alignment horizontal="justify" vertical="center" wrapText="1"/>
    </xf>
    <xf numFmtId="0" fontId="11" fillId="0" borderId="1" xfId="0" applyFont="1" applyBorder="1" applyAlignment="1">
      <alignment horizontal="left" vertical="center" wrapText="1"/>
    </xf>
    <xf numFmtId="0" fontId="0" fillId="0" borderId="1" xfId="0" applyBorder="1" applyAlignment="1">
      <alignment vertical="top" wrapText="1"/>
    </xf>
    <xf numFmtId="0" fontId="15" fillId="0" borderId="1" xfId="0" applyFont="1" applyBorder="1" applyAlignment="1">
      <alignment horizontal="center" vertical="center" wrapText="1"/>
    </xf>
    <xf numFmtId="0" fontId="0" fillId="9" borderId="1" xfId="0" applyFill="1" applyBorder="1" applyAlignment="1">
      <alignment horizontal="left" vertical="center" wrapText="1"/>
    </xf>
    <xf numFmtId="0" fontId="2" fillId="0" borderId="1" xfId="0" applyFont="1" applyBorder="1" applyAlignment="1">
      <alignment horizontal="center" vertical="center" wrapText="1"/>
    </xf>
    <xf numFmtId="0" fontId="2" fillId="0" borderId="1" xfId="0" quotePrefix="1" applyFont="1" applyBorder="1" applyAlignment="1">
      <alignment horizontal="center" vertical="center" wrapText="1"/>
    </xf>
    <xf numFmtId="0" fontId="7" fillId="8" borderId="1" xfId="0" applyFont="1" applyFill="1" applyBorder="1" applyAlignment="1">
      <alignment horizontal="left" vertical="center" wrapText="1"/>
    </xf>
    <xf numFmtId="0" fontId="0" fillId="11" borderId="1" xfId="0" applyFill="1" applyBorder="1" applyAlignment="1">
      <alignment horizontal="center" vertical="center" wrapText="1"/>
    </xf>
    <xf numFmtId="0" fontId="0" fillId="0" borderId="1" xfId="0" applyBorder="1" applyAlignment="1">
      <alignment vertical="center" wrapText="1"/>
    </xf>
    <xf numFmtId="0" fontId="15" fillId="0" borderId="1" xfId="0" quotePrefix="1" applyFont="1" applyBorder="1" applyAlignment="1">
      <alignment horizontal="center" vertical="center" wrapText="1"/>
    </xf>
    <xf numFmtId="49" fontId="0" fillId="0" borderId="0" xfId="0" applyNumberFormat="1" applyAlignment="1">
      <alignment horizontal="center" vertical="center" wrapText="1"/>
    </xf>
    <xf numFmtId="1" fontId="0" fillId="0" borderId="0" xfId="0" applyNumberFormat="1" applyAlignment="1">
      <alignment horizontal="center" vertical="center" wrapText="1"/>
    </xf>
    <xf numFmtId="0" fontId="0" fillId="12" borderId="1" xfId="0" applyFill="1" applyBorder="1" applyAlignment="1">
      <alignment horizontal="left" vertical="center" wrapText="1"/>
    </xf>
    <xf numFmtId="0" fontId="0" fillId="13" borderId="1" xfId="0" applyFill="1" applyBorder="1" applyAlignment="1">
      <alignment horizontal="left" vertical="center" wrapText="1"/>
    </xf>
    <xf numFmtId="0" fontId="15" fillId="0" borderId="1" xfId="0" applyFont="1" applyBorder="1" applyAlignment="1">
      <alignment vertical="center" wrapText="1"/>
    </xf>
    <xf numFmtId="0" fontId="2" fillId="0" borderId="1" xfId="0" applyFont="1" applyBorder="1" applyAlignment="1">
      <alignment vertical="center" wrapText="1"/>
    </xf>
    <xf numFmtId="0" fontId="6" fillId="14"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0" fillId="0" borderId="2" xfId="0" applyBorder="1" applyAlignment="1">
      <alignment horizontal="left" vertical="center" wrapText="1"/>
    </xf>
    <xf numFmtId="0" fontId="0" fillId="14" borderId="1" xfId="0" applyFill="1" applyBorder="1" applyAlignment="1">
      <alignment horizontal="center" vertical="center" wrapText="1"/>
    </xf>
    <xf numFmtId="0" fontId="0" fillId="4" borderId="1" xfId="0" applyFill="1" applyBorder="1" applyAlignment="1">
      <alignment horizontal="center" vertical="center" wrapText="1"/>
    </xf>
    <xf numFmtId="0" fontId="0" fillId="4" borderId="1" xfId="0" applyFill="1" applyBorder="1" applyAlignment="1">
      <alignment vertical="center" wrapText="1"/>
    </xf>
    <xf numFmtId="0" fontId="8" fillId="0" borderId="1" xfId="0" applyFont="1" applyBorder="1" applyAlignment="1">
      <alignment horizontal="left" vertical="center" wrapText="1"/>
    </xf>
    <xf numFmtId="0" fontId="0" fillId="6" borderId="1" xfId="0" applyFill="1" applyBorder="1" applyAlignment="1">
      <alignment horizontal="center" vertical="center" wrapText="1"/>
    </xf>
    <xf numFmtId="14" fontId="0" fillId="6" borderId="1" xfId="0" applyNumberFormat="1" applyFill="1" applyBorder="1" applyAlignment="1">
      <alignment horizontal="center" vertical="center" wrapText="1"/>
    </xf>
    <xf numFmtId="0" fontId="0" fillId="7" borderId="1" xfId="0" quotePrefix="1" applyFill="1" applyBorder="1" applyAlignment="1">
      <alignment horizontal="center" vertical="center" wrapText="1"/>
    </xf>
    <xf numFmtId="0" fontId="14" fillId="0" borderId="1" xfId="0" applyFont="1" applyBorder="1" applyAlignment="1">
      <alignment horizontal="justify" vertical="center"/>
    </xf>
    <xf numFmtId="49" fontId="0" fillId="0" borderId="1" xfId="0" applyNumberFormat="1" applyBorder="1" applyAlignment="1">
      <alignment horizontal="left" vertical="center" wrapText="1"/>
    </xf>
    <xf numFmtId="0" fontId="5" fillId="8" borderId="1" xfId="0" applyFont="1" applyFill="1" applyBorder="1" applyAlignment="1">
      <alignment horizontal="center" vertical="center" wrapText="1"/>
    </xf>
    <xf numFmtId="0" fontId="0" fillId="0" borderId="1" xfId="0" applyBorder="1" applyAlignment="1">
      <alignment horizontal="justify" vertical="center"/>
    </xf>
    <xf numFmtId="0" fontId="15" fillId="7" borderId="1" xfId="0" applyFont="1" applyFill="1" applyBorder="1" applyAlignment="1">
      <alignment horizontal="left" vertical="center" wrapText="1"/>
    </xf>
    <xf numFmtId="0" fontId="0" fillId="7" borderId="0" xfId="0" applyFill="1" applyAlignment="1">
      <alignment horizontal="center" vertical="center" wrapText="1"/>
    </xf>
    <xf numFmtId="0" fontId="0" fillId="9" borderId="1" xfId="0" quotePrefix="1" applyFill="1" applyBorder="1" applyAlignment="1">
      <alignment horizontal="left" vertical="center" wrapText="1"/>
    </xf>
    <xf numFmtId="0" fontId="7" fillId="4" borderId="1" xfId="0" applyFont="1" applyFill="1" applyBorder="1" applyAlignment="1">
      <alignment horizontal="left" vertical="center" wrapText="1"/>
    </xf>
    <xf numFmtId="0" fontId="0" fillId="4" borderId="1" xfId="0" quotePrefix="1" applyFill="1" applyBorder="1" applyAlignment="1">
      <alignment horizontal="left" vertical="center" wrapText="1"/>
    </xf>
    <xf numFmtId="0" fontId="0" fillId="8" borderId="0" xfId="0" applyFill="1" applyAlignment="1">
      <alignment horizontal="center" vertical="center" wrapText="1"/>
    </xf>
    <xf numFmtId="0" fontId="25" fillId="0" borderId="1" xfId="0" applyFont="1" applyBorder="1" applyAlignment="1">
      <alignment horizontal="justify" vertical="center"/>
    </xf>
    <xf numFmtId="0" fontId="0" fillId="4" borderId="1" xfId="0" quotePrefix="1" applyFill="1" applyBorder="1" applyAlignment="1">
      <alignment horizontal="center" vertical="center" wrapText="1"/>
    </xf>
    <xf numFmtId="0" fontId="26" fillId="0" borderId="1" xfId="0" applyFont="1" applyBorder="1" applyAlignment="1">
      <alignment horizontal="justify" vertical="center"/>
    </xf>
    <xf numFmtId="0" fontId="3" fillId="0" borderId="1" xfId="0" applyFont="1" applyBorder="1" applyAlignment="1">
      <alignment horizontal="center" vertical="center" wrapText="1"/>
    </xf>
    <xf numFmtId="0" fontId="5" fillId="0" borderId="1" xfId="0" quotePrefix="1" applyFont="1" applyBorder="1" applyAlignment="1">
      <alignment horizontal="center" vertical="center" wrapText="1"/>
    </xf>
    <xf numFmtId="49" fontId="2" fillId="0" borderId="1" xfId="0" applyNumberFormat="1" applyFont="1" applyBorder="1" applyAlignment="1">
      <alignment horizontal="left" vertical="center" wrapText="1"/>
    </xf>
    <xf numFmtId="0" fontId="8" fillId="0" borderId="1" xfId="0" applyFont="1" applyBorder="1" applyAlignment="1">
      <alignment wrapText="1"/>
    </xf>
    <xf numFmtId="0" fontId="0" fillId="4" borderId="1" xfId="0" applyFill="1" applyBorder="1" applyAlignment="1">
      <alignment horizontal="left" vertical="top" wrapText="1"/>
    </xf>
    <xf numFmtId="0" fontId="0" fillId="0" borderId="1" xfId="0" applyBorder="1" applyAlignment="1">
      <alignment horizontal="justify" vertical="top" wrapText="1"/>
    </xf>
    <xf numFmtId="0" fontId="2" fillId="8" borderId="1" xfId="0" applyFont="1" applyFill="1" applyBorder="1" applyAlignment="1">
      <alignment horizontal="center" vertical="center" wrapText="1"/>
    </xf>
    <xf numFmtId="0" fontId="28" fillId="8" borderId="1" xfId="0" applyFont="1" applyFill="1" applyBorder="1" applyAlignment="1">
      <alignment horizontal="center" vertical="center" wrapText="1"/>
    </xf>
    <xf numFmtId="0" fontId="28" fillId="7" borderId="1" xfId="0" applyFont="1" applyFill="1" applyBorder="1" applyAlignment="1">
      <alignment horizontal="center" vertical="center" wrapText="1"/>
    </xf>
    <xf numFmtId="0" fontId="0" fillId="4" borderId="0" xfId="0" applyFill="1" applyAlignment="1">
      <alignment horizontal="center" vertical="center" wrapText="1"/>
    </xf>
    <xf numFmtId="0" fontId="0" fillId="4" borderId="0" xfId="0" applyFill="1" applyAlignment="1">
      <alignment vertical="center" wrapText="1"/>
    </xf>
    <xf numFmtId="0" fontId="0" fillId="0" borderId="0" xfId="0" applyAlignment="1">
      <alignment horizontal="left" vertical="center" wrapText="1"/>
    </xf>
    <xf numFmtId="0" fontId="0" fillId="6" borderId="1" xfId="0" applyFill="1" applyBorder="1" applyAlignment="1">
      <alignment horizontal="left" vertical="center" wrapText="1"/>
    </xf>
    <xf numFmtId="0" fontId="8" fillId="6" borderId="2" xfId="0" applyFont="1" applyFill="1" applyBorder="1" applyAlignment="1">
      <alignment vertical="top" wrapText="1"/>
    </xf>
    <xf numFmtId="0" fontId="32" fillId="6" borderId="1" xfId="0" applyFont="1" applyFill="1" applyBorder="1" applyAlignment="1">
      <alignment horizontal="left" vertical="center" wrapText="1"/>
    </xf>
    <xf numFmtId="0" fontId="12" fillId="6" borderId="2" xfId="0" applyFont="1" applyFill="1" applyBorder="1" applyAlignment="1">
      <alignment vertical="top" wrapText="1"/>
    </xf>
    <xf numFmtId="0" fontId="8" fillId="9" borderId="2" xfId="0" applyFont="1" applyFill="1" applyBorder="1" applyAlignment="1">
      <alignment vertical="top" wrapText="1"/>
    </xf>
    <xf numFmtId="0" fontId="0" fillId="15" borderId="1" xfId="0" applyFill="1" applyBorder="1" applyAlignment="1">
      <alignment horizontal="center" vertical="center" wrapText="1"/>
    </xf>
    <xf numFmtId="0" fontId="3" fillId="15" borderId="1" xfId="0" applyFont="1" applyFill="1" applyBorder="1" applyAlignment="1">
      <alignment horizontal="center" vertical="center" wrapText="1"/>
    </xf>
    <xf numFmtId="0" fontId="3" fillId="0" borderId="0" xfId="0" applyFont="1" applyAlignment="1">
      <alignment horizontal="center" vertical="center" wrapText="1"/>
    </xf>
    <xf numFmtId="0" fontId="3" fillId="4" borderId="0" xfId="0" applyFont="1" applyFill="1" applyAlignment="1">
      <alignment horizontal="center" vertical="center" wrapText="1"/>
    </xf>
    <xf numFmtId="0" fontId="7" fillId="13" borderId="1" xfId="0" applyFont="1" applyFill="1" applyBorder="1" applyAlignment="1">
      <alignment horizontal="center" vertical="center" wrapText="1"/>
    </xf>
    <xf numFmtId="0" fontId="0" fillId="13" borderId="1" xfId="0" applyFill="1" applyBorder="1" applyAlignment="1">
      <alignment horizontal="center" vertical="center" wrapText="1"/>
    </xf>
    <xf numFmtId="0" fontId="0" fillId="10" borderId="0" xfId="0" applyFill="1" applyAlignment="1">
      <alignment horizontal="center" vertical="center" wrapText="1"/>
    </xf>
    <xf numFmtId="0" fontId="15" fillId="6" borderId="1" xfId="0" applyFont="1" applyFill="1" applyBorder="1" applyAlignment="1">
      <alignment horizontal="left" vertical="center" wrapText="1"/>
    </xf>
    <xf numFmtId="0" fontId="34" fillId="0" borderId="1" xfId="0" applyFont="1" applyBorder="1" applyAlignment="1">
      <alignment vertical="center" wrapText="1"/>
    </xf>
    <xf numFmtId="0" fontId="1" fillId="6" borderId="2" xfId="0" applyFont="1" applyFill="1" applyBorder="1" applyAlignment="1">
      <alignment vertical="top" wrapText="1"/>
    </xf>
    <xf numFmtId="0" fontId="2" fillId="8" borderId="1" xfId="0" applyFont="1" applyFill="1" applyBorder="1" applyAlignment="1">
      <alignment horizontal="left" vertical="center" wrapText="1"/>
    </xf>
    <xf numFmtId="0" fontId="1" fillId="0" borderId="1" xfId="0" applyFont="1" applyBorder="1" applyAlignment="1">
      <alignment horizontal="justify" vertical="center"/>
    </xf>
    <xf numFmtId="0" fontId="20" fillId="0" borderId="1" xfId="0" applyFont="1" applyBorder="1" applyAlignment="1">
      <alignment horizontal="justify" vertical="center"/>
    </xf>
    <xf numFmtId="0" fontId="1" fillId="9" borderId="2" xfId="0" applyFont="1" applyFill="1" applyBorder="1" applyAlignment="1">
      <alignment vertical="top" wrapText="1"/>
    </xf>
    <xf numFmtId="0" fontId="0" fillId="16" borderId="1" xfId="0" applyFill="1" applyBorder="1" applyAlignment="1">
      <alignment horizontal="center" vertical="center" wrapText="1"/>
    </xf>
    <xf numFmtId="14" fontId="0" fillId="7" borderId="1" xfId="0" applyNumberFormat="1" applyFill="1" applyBorder="1" applyAlignment="1">
      <alignment horizontal="center" vertical="center" wrapText="1"/>
    </xf>
    <xf numFmtId="14" fontId="0" fillId="16" borderId="1" xfId="0" applyNumberFormat="1" applyFill="1" applyBorder="1" applyAlignment="1">
      <alignment horizontal="center" vertical="center" wrapText="1"/>
    </xf>
    <xf numFmtId="0" fontId="6" fillId="16" borderId="1" xfId="0" applyFont="1" applyFill="1" applyBorder="1" applyAlignment="1">
      <alignment horizontal="center" vertical="center" wrapText="1"/>
    </xf>
    <xf numFmtId="17" fontId="0" fillId="16" borderId="1" xfId="0" applyNumberFormat="1" applyFill="1" applyBorder="1" applyAlignment="1">
      <alignment horizontal="center" vertical="center"/>
    </xf>
    <xf numFmtId="0" fontId="37" fillId="0" borderId="0" xfId="0" applyFont="1" applyAlignment="1">
      <alignment horizontal="center" vertical="center" wrapText="1"/>
    </xf>
    <xf numFmtId="0" fontId="1" fillId="0" borderId="1" xfId="0" applyFont="1" applyBorder="1" applyAlignment="1">
      <alignment wrapText="1"/>
    </xf>
    <xf numFmtId="0" fontId="35" fillId="0" borderId="1" xfId="0" applyFont="1" applyBorder="1" applyAlignment="1">
      <alignment horizontal="left" vertical="center" wrapText="1"/>
    </xf>
    <xf numFmtId="0" fontId="12" fillId="6" borderId="2" xfId="0" applyFont="1" applyFill="1" applyBorder="1" applyAlignment="1">
      <alignment horizontal="left" vertical="center" wrapText="1"/>
    </xf>
    <xf numFmtId="0" fontId="2" fillId="7" borderId="1" xfId="0" applyFont="1" applyFill="1" applyBorder="1" applyAlignment="1">
      <alignment horizontal="left" vertical="center" wrapText="1"/>
    </xf>
    <xf numFmtId="0" fontId="10" fillId="4" borderId="1" xfId="0" applyFont="1" applyFill="1" applyBorder="1" applyAlignment="1">
      <alignment horizontal="left" vertical="center" wrapText="1"/>
    </xf>
    <xf numFmtId="0" fontId="15" fillId="15" borderId="1" xfId="0" applyFont="1" applyFill="1" applyBorder="1" applyAlignment="1">
      <alignment horizontal="center" vertical="center" wrapText="1"/>
    </xf>
    <xf numFmtId="0" fontId="0" fillId="0" borderId="1" xfId="0" applyBorder="1"/>
    <xf numFmtId="0" fontId="0" fillId="15" borderId="1" xfId="0" quotePrefix="1" applyFill="1" applyBorder="1" applyAlignment="1">
      <alignment horizontal="center" vertical="center" wrapText="1"/>
    </xf>
    <xf numFmtId="0" fontId="6" fillId="4" borderId="1" xfId="0" applyFont="1" applyFill="1" applyBorder="1" applyAlignment="1">
      <alignment horizontal="left" vertical="center" wrapText="1"/>
    </xf>
    <xf numFmtId="0" fontId="0" fillId="15" borderId="1" xfId="0" applyFill="1" applyBorder="1" applyAlignment="1">
      <alignment horizontal="left" vertical="center" wrapText="1"/>
    </xf>
    <xf numFmtId="0" fontId="0" fillId="4" borderId="0" xfId="0" applyFill="1" applyAlignment="1">
      <alignment horizontal="left" vertical="center" wrapText="1"/>
    </xf>
    <xf numFmtId="0" fontId="41" fillId="0" borderId="1" xfId="0" applyFont="1" applyBorder="1" applyAlignment="1">
      <alignment horizontal="justify" vertical="center"/>
    </xf>
    <xf numFmtId="0" fontId="39" fillId="0" borderId="1" xfId="0" applyFont="1" applyBorder="1" applyAlignment="1">
      <alignment horizontal="justify" vertical="center"/>
    </xf>
    <xf numFmtId="0" fontId="0" fillId="4" borderId="2" xfId="0" applyFill="1" applyBorder="1" applyAlignment="1">
      <alignment horizontal="center" vertical="center" wrapText="1"/>
    </xf>
    <xf numFmtId="0" fontId="46" fillId="0" borderId="1" xfId="0" applyFont="1" applyBorder="1" applyAlignment="1">
      <alignment horizontal="justify" vertical="top" wrapText="1"/>
    </xf>
    <xf numFmtId="0" fontId="48" fillId="0" borderId="1" xfId="0" applyFont="1" applyBorder="1" applyAlignment="1">
      <alignment horizontal="justify" vertical="center"/>
    </xf>
    <xf numFmtId="49" fontId="49" fillId="0" borderId="1" xfId="0" quotePrefix="1" applyNumberFormat="1" applyFont="1" applyBorder="1" applyAlignment="1">
      <alignment horizontal="center" vertical="center" wrapText="1"/>
    </xf>
    <xf numFmtId="0" fontId="49" fillId="0" borderId="1" xfId="0" applyFont="1" applyBorder="1" applyAlignment="1">
      <alignment horizontal="center" vertical="center" wrapText="1"/>
    </xf>
    <xf numFmtId="0" fontId="0" fillId="7" borderId="1" xfId="0" applyFill="1" applyBorder="1" applyAlignment="1">
      <alignment vertical="center" wrapText="1"/>
    </xf>
    <xf numFmtId="0" fontId="10" fillId="8" borderId="1" xfId="0" applyFont="1" applyFill="1" applyBorder="1" applyAlignment="1">
      <alignment horizontal="left" vertical="center" wrapText="1"/>
    </xf>
    <xf numFmtId="0" fontId="6" fillId="2" borderId="2" xfId="0" applyFont="1" applyFill="1" applyBorder="1" applyAlignment="1">
      <alignment horizontal="center" vertical="center" wrapText="1"/>
    </xf>
    <xf numFmtId="0" fontId="11" fillId="5" borderId="2"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10" fillId="5" borderId="2" xfId="0" applyFont="1" applyFill="1" applyBorder="1" applyAlignment="1">
      <alignment horizontal="center" vertical="center" wrapText="1"/>
    </xf>
    <xf numFmtId="0" fontId="10" fillId="8" borderId="2" xfId="0" applyFont="1" applyFill="1" applyBorder="1" applyAlignment="1">
      <alignment horizontal="center" vertical="center" wrapText="1"/>
    </xf>
    <xf numFmtId="0" fontId="0" fillId="4" borderId="2" xfId="0" applyFill="1" applyBorder="1" applyAlignment="1">
      <alignment horizontal="left" vertical="center" wrapText="1"/>
    </xf>
    <xf numFmtId="0" fontId="7" fillId="0" borderId="1" xfId="0" quotePrefix="1" applyFont="1" applyBorder="1" applyAlignment="1">
      <alignment horizontal="left" vertical="center" wrapText="1"/>
    </xf>
    <xf numFmtId="0" fontId="8" fillId="0" borderId="0" xfId="0" applyFont="1" applyBorder="1" applyAlignment="1">
      <alignment horizontal="justify" vertical="center"/>
    </xf>
    <xf numFmtId="0" fontId="21" fillId="0" borderId="1" xfId="0" applyFont="1" applyBorder="1" applyAlignment="1">
      <alignment horizontal="justify" vertical="center"/>
    </xf>
    <xf numFmtId="0" fontId="0" fillId="0" borderId="0" xfId="0" applyBorder="1" applyAlignment="1">
      <alignment vertical="center" wrapText="1"/>
    </xf>
    <xf numFmtId="0" fontId="0" fillId="0" borderId="0" xfId="0" applyBorder="1" applyAlignment="1">
      <alignment horizontal="center" vertical="center" wrapText="1"/>
    </xf>
    <xf numFmtId="0" fontId="0" fillId="9" borderId="2" xfId="0" quotePrefix="1" applyFill="1" applyBorder="1" applyAlignment="1">
      <alignment horizontal="left" vertical="center" wrapText="1"/>
    </xf>
    <xf numFmtId="0" fontId="8" fillId="6" borderId="1" xfId="0" applyFont="1" applyFill="1" applyBorder="1" applyAlignment="1">
      <alignment vertical="top" wrapText="1"/>
    </xf>
    <xf numFmtId="0" fontId="1" fillId="6" borderId="1" xfId="0" applyFont="1" applyFill="1" applyBorder="1" applyAlignment="1">
      <alignment vertical="top" wrapText="1"/>
    </xf>
    <xf numFmtId="0" fontId="0" fillId="15" borderId="2" xfId="0" applyFill="1" applyBorder="1" applyAlignment="1">
      <alignment horizontal="center" vertical="center" wrapText="1"/>
    </xf>
    <xf numFmtId="0" fontId="1" fillId="9" borderId="1" xfId="0" applyFont="1" applyFill="1" applyBorder="1" applyAlignment="1">
      <alignment vertical="top" wrapText="1"/>
    </xf>
    <xf numFmtId="0" fontId="1" fillId="6" borderId="1" xfId="0" applyFont="1" applyFill="1" applyBorder="1" applyAlignment="1">
      <alignment vertical="center" wrapText="1"/>
    </xf>
    <xf numFmtId="49" fontId="2" fillId="0" borderId="0" xfId="0" applyNumberFormat="1" applyFont="1" applyBorder="1" applyAlignment="1">
      <alignment horizontal="left" vertical="center" wrapText="1"/>
    </xf>
    <xf numFmtId="0" fontId="0" fillId="6" borderId="1" xfId="0" applyFont="1" applyFill="1" applyBorder="1" applyAlignment="1">
      <alignment horizontal="left" vertical="center" wrapText="1"/>
    </xf>
    <xf numFmtId="0" fontId="0" fillId="0" borderId="3" xfId="0" applyBorder="1" applyAlignment="1">
      <alignment horizontal="justify" vertical="center"/>
    </xf>
    <xf numFmtId="0" fontId="0" fillId="6" borderId="0" xfId="0" applyFill="1" applyBorder="1" applyAlignment="1">
      <alignment horizontal="center" vertical="center" wrapText="1"/>
    </xf>
    <xf numFmtId="0" fontId="0" fillId="7" borderId="0" xfId="0" applyFill="1" applyBorder="1" applyAlignment="1">
      <alignment horizontal="center" vertical="center" wrapText="1"/>
    </xf>
    <xf numFmtId="0" fontId="15" fillId="4" borderId="2" xfId="0" quotePrefix="1" applyFont="1" applyFill="1" applyBorder="1" applyAlignment="1">
      <alignment horizontal="left" vertical="center" wrapText="1"/>
    </xf>
    <xf numFmtId="0" fontId="0" fillId="4" borderId="2" xfId="0" applyFill="1" applyBorder="1" applyAlignment="1">
      <alignment vertical="center" wrapText="1"/>
    </xf>
    <xf numFmtId="0" fontId="11" fillId="0" borderId="2" xfId="0" applyFont="1" applyBorder="1" applyAlignment="1">
      <alignment horizontal="center" vertical="center" wrapText="1"/>
    </xf>
    <xf numFmtId="0" fontId="3" fillId="4" borderId="1" xfId="0" applyFont="1" applyFill="1" applyBorder="1" applyAlignment="1">
      <alignment horizontal="center" vertical="center" wrapText="1"/>
    </xf>
    <xf numFmtId="0" fontId="10" fillId="0" borderId="2" xfId="0" applyFont="1" applyBorder="1" applyAlignment="1">
      <alignment horizontal="center" vertical="center" wrapText="1"/>
    </xf>
    <xf numFmtId="0" fontId="1" fillId="0" borderId="1" xfId="0" applyFont="1" applyBorder="1" applyAlignment="1">
      <alignment vertical="center" wrapText="1"/>
    </xf>
    <xf numFmtId="0" fontId="0" fillId="0" borderId="4" xfId="0" applyBorder="1" applyAlignment="1">
      <alignment horizontal="center" vertical="center" wrapText="1"/>
    </xf>
  </cellXfs>
  <cellStyles count="1">
    <cellStyle name="Normal" xfId="0" builtinId="0"/>
  </cellStyles>
  <dxfs count="98">
    <dxf>
      <numFmt numFmtId="0" formatCode="Genera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dxf>
    <dxf>
      <alignment horizontal="center" vertical="center" textRotation="0" wrapText="1" indent="0" justifyLastLine="0" shrinkToFit="0" readingOrder="0"/>
    </dxf>
    <dxf>
      <fill>
        <patternFill patternType="solid">
          <fgColor indexed="64"/>
          <bgColor theme="7" tint="0.5999938962981048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5999938962981048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5999938962981048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5999938962981048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5999938962981048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5999938962981048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5999938962981048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4" tint="0.5999938962981048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4" tint="0.5999938962981048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4" tint="0.5999938962981048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4" tint="0.5999938962981048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4" tint="0.5999938962981048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4" tint="0.5999938962981048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4" tint="0.5999938962981048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4" tint="0.5999938962981048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4" tint="0.5999938962981048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4" tint="0.5999938962981048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6" tint="0.5999938962981048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Light"/>
        <family val="2"/>
        <scheme val="none"/>
      </font>
      <alignment horizontal="justify"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fill>
        <patternFill patternType="solid">
          <fgColor indexed="64"/>
          <bgColor theme="6" tint="0.59999389629810485"/>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border>
    </dxf>
    <dxf>
      <alignment horizontal="center" vertical="center"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theme="9"/>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A8D8A"/>
      <color rgb="FFFC52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17" Type="http://schemas.microsoft.com/office/2017/10/relationships/person" Target="persons/perso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RKETING%20&amp;%20COMMUNICATION/EXPORT/00.%20GAMME%20EXPORT%202025/BDD%20&#233;tiquettes%20export%202025%20v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ARKETING%20&amp;%20COMMUNICATION/EXPORT/00.%20GAMME%20EXPORT%202025/Traductions%20BDD%20agence%2086_2210202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QHSE/02.%20RENSEIGNEMENTS%20TECHNIQUES/BDD/BDD%20&#233;tiquettes%202025%20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UBES ANGLAIS"/>
      <sheetName val="SACHETS GC ANGLAIS"/>
      <sheetName val="SACHETS GD FORMAT ANGLAIS"/>
      <sheetName val="SACHETS GC SUISSE FR ALLD"/>
      <sheetName val="BDD ETI 2025"/>
      <sheetName val="BDD 2024 ANGLAIS"/>
      <sheetName val="Stock éti SUISSE 2102024"/>
    </sheetNames>
    <sheetDataSet>
      <sheetData sheetId="0"/>
      <sheetData sheetId="1"/>
      <sheetData sheetId="2"/>
      <sheetData sheetId="3"/>
      <sheetData sheetId="4">
        <row r="1">
          <cell r="A1" t="str">
            <v>CODE PF</v>
          </cell>
          <cell r="B1" t="str">
            <v>ACTION</v>
          </cell>
          <cell r="C1" t="str">
            <v>PRÊT POUR AURELIEN/INTERNE</v>
          </cell>
          <cell r="D1" t="str">
            <v>ETIQ FINALISEE</v>
          </cell>
          <cell r="E1" t="str">
            <v>CONTRE FINALISEE</v>
          </cell>
          <cell r="F1" t="str">
            <v>IMPRIMEUR</v>
          </cell>
          <cell r="G1" t="str">
            <v>ENVOI A L'IMPRIMEUR</v>
          </cell>
          <cell r="H1" t="str">
            <v xml:space="preserve">GAMME </v>
          </cell>
          <cell r="I1" t="str">
            <v>SOUS GAMME</v>
          </cell>
          <cell r="J1" t="str">
            <v>DÉNOMINATION FR</v>
          </cell>
          <cell r="K1" t="str">
            <v>SOUS-DÉS FR</v>
          </cell>
          <cell r="L1" t="str">
            <v>TYPE DE THÉ FR</v>
          </cell>
          <cell r="M1" t="str">
            <v>ORIGINE DU THÉ</v>
          </cell>
          <cell r="N1" t="str">
            <v>AB</v>
          </cell>
          <cell r="O1" t="str">
            <v>WFTO</v>
          </cell>
          <cell r="P1" t="str">
            <v>D</v>
          </cell>
          <cell r="Q1" t="str">
            <v>WT</v>
          </cell>
          <cell r="R1" t="str">
            <v>IGP</v>
          </cell>
          <cell r="S1" t="str">
            <v>EF</v>
          </cell>
          <cell r="T1" t="str">
            <v>ECOCERT</v>
          </cell>
          <cell r="U1" t="str">
            <v>COND.</v>
          </cell>
          <cell r="V1" t="str">
            <v>ANCIEN TEXTE COMMERCIAL  FR
300 caractères espaces compris</v>
          </cell>
          <cell r="W1" t="str">
            <v>NVEAU TEXTE PRÊT POUR SEMAINE X</v>
          </cell>
          <cell r="X1" t="str">
            <v>NOUVEAU TEXTE COMMERCIAL  FR
300 caractères espaces compris</v>
          </cell>
          <cell r="Y1" t="str">
            <v>TEXTE ASSOCIATION LES ENGAGES
185 caractères espaces compris</v>
          </cell>
          <cell r="Z1" t="str">
            <v>LISTE D'INGRÉDIENTS FR</v>
          </cell>
          <cell r="AA1" t="str">
            <v>ALLÉGATIONS SANTÉ FR</v>
          </cell>
          <cell r="AB1" t="str">
            <v>PHRASE WFTO FR</v>
          </cell>
          <cell r="AC1" t="str">
            <v>POIDS G OU KG</v>
          </cell>
          <cell r="AD1" t="str">
            <v>TPS MIN D'INFUSION</v>
          </cell>
          <cell r="AE1" t="str">
            <v>T° C INFUSION</v>
          </cell>
          <cell r="AF1" t="str">
            <v>POIDS EN G/TASSE DE 25 CL</v>
          </cell>
          <cell r="AG1" t="str">
            <v>NBRE DE TASSES</v>
          </cell>
          <cell r="AH1" t="str">
            <v>CODE EAN</v>
          </cell>
          <cell r="AI1" t="str">
            <v xml:space="preserve">PUSIEURS INFUSIONS </v>
          </cell>
          <cell r="AJ1" t="str">
            <v>RÉF FACING</v>
          </cell>
          <cell r="AK1" t="str">
            <v>REF FACING 2025</v>
          </cell>
          <cell r="AL1" t="str">
            <v>RÉF CONTRE 2025</v>
          </cell>
          <cell r="AM1" t="str">
            <v>PRODUCTEUR/
JARDIN</v>
          </cell>
        </row>
        <row r="2">
          <cell r="A2" t="str">
            <v>TM7881</v>
          </cell>
          <cell r="B2"/>
          <cell r="C2"/>
          <cell r="D2"/>
          <cell r="E2"/>
          <cell r="F2"/>
          <cell r="G2"/>
          <cell r="H2" t="str">
            <v>LES GRANDS CLASSIQUES</v>
          </cell>
          <cell r="I2"/>
          <cell r="J2" t="str">
            <v>… Mon Amour</v>
          </cell>
          <cell r="K2" t="str">
            <v>Second Flush du jardin de Selimbong</v>
          </cell>
          <cell r="L2" t="str">
            <v>Thé noir d'origine</v>
          </cell>
          <cell r="M2" t="str">
            <v>Inde - Darjeeling</v>
          </cell>
          <cell r="N2" t="str">
            <v>AB</v>
          </cell>
          <cell r="O2" t="str">
            <v>WFTO</v>
          </cell>
          <cell r="P2" t="str">
            <v>D</v>
          </cell>
          <cell r="Q2" t="str">
            <v>/</v>
          </cell>
          <cell r="R2" t="str">
            <v>IGP</v>
          </cell>
          <cell r="S2" t="str">
            <v>/</v>
          </cell>
          <cell r="T2" t="str">
            <v>Agriculture Inde</v>
          </cell>
          <cell r="U2"/>
          <cell r="V2" t="str">
            <v>Ce mélange raffiné et fleuri des meilleurs crus du Darjeeling donne une liqueur dorée soulignée d’une note distinguée de fruits mûrs. Parfait pour débuter la journée à deux dans le bonheur et le plaisir.</v>
          </cell>
          <cell r="W2"/>
          <cell r="X2" t="str">
            <v>Fruit d’un mariage raffiné d’une sélection de grands crus du Darjeeling, ce thé noir offre une liqueur dorée aux senteurs florales profondes et aux saveurs de fruits mûrs longues en bouche. Parfait pour débuter la journée dans un moment de bonheur et de plaisir partagé.</v>
          </cell>
          <cell r="Y2"/>
          <cell r="Z2" t="str">
            <v>Ingrédient : thé noir**. **Issu de l'agriculture biologique et biodynamique. demeter est la marque des produits issus de l'agriculture biodynamique certifiée.</v>
          </cell>
          <cell r="AA2" t="str">
            <v>/</v>
          </cell>
          <cell r="AB2" t="str">
            <v>Membre certifié World Fair Trade Organization, Les Jardins de Gaïa s’engagent pour un commerce plus juste et répondent aux exigences du commerce équitable. Pour en savoir plus : www.wfto.com.</v>
          </cell>
          <cell r="AC2">
            <v>1.5</v>
          </cell>
          <cell r="AD2" t="str">
            <v>3-4</v>
          </cell>
          <cell r="AE2">
            <v>90</v>
          </cell>
          <cell r="AF2">
            <v>2</v>
          </cell>
          <cell r="AG2">
            <v>750</v>
          </cell>
          <cell r="AH2">
            <v>3582810578810</v>
          </cell>
          <cell r="AI2" t="str">
            <v>/</v>
          </cell>
          <cell r="AJ2" t="str">
            <v>INTERNE</v>
          </cell>
          <cell r="AK2" t="str">
            <v>INTERNE</v>
          </cell>
          <cell r="AL2" t="str">
            <v>/</v>
          </cell>
          <cell r="AM2" t="str">
            <v>Selimbong Tea Estate</v>
          </cell>
        </row>
        <row r="3">
          <cell r="A3" t="str">
            <v>TM7882</v>
          </cell>
          <cell r="B3"/>
          <cell r="C3" t="str">
            <v>X</v>
          </cell>
          <cell r="D3" t="str">
            <v>x</v>
          </cell>
          <cell r="E3" t="str">
            <v>x</v>
          </cell>
          <cell r="F3" t="str">
            <v>GRAI</v>
          </cell>
          <cell r="G3">
            <v>45383</v>
          </cell>
          <cell r="H3" t="str">
            <v>LES GRANDS CLASSIQUES</v>
          </cell>
          <cell r="I3"/>
          <cell r="J3" t="str">
            <v>… Mon Amour</v>
          </cell>
          <cell r="K3" t="str">
            <v>Second Flush du jardin de Selimbong</v>
          </cell>
          <cell r="L3" t="str">
            <v>Thé noir d'origine</v>
          </cell>
          <cell r="M3" t="str">
            <v>Inde - Darjeeling</v>
          </cell>
          <cell r="N3" t="str">
            <v>AB</v>
          </cell>
          <cell r="O3" t="str">
            <v>WFTO</v>
          </cell>
          <cell r="P3" t="str">
            <v>D</v>
          </cell>
          <cell r="Q3" t="str">
            <v>/</v>
          </cell>
          <cell r="R3" t="str">
            <v>IGP</v>
          </cell>
          <cell r="S3" t="str">
            <v>/</v>
          </cell>
          <cell r="T3" t="str">
            <v>Agriculture Inde</v>
          </cell>
          <cell r="U3" t="str">
            <v>Conditionné à la main en alsace</v>
          </cell>
          <cell r="V3" t="str">
            <v>Ce mélange raffiné et fleuri des meilleurs crus du Darjeeling donne une liqueur dorée soulignée d’une note distinguée de fruits mûrs. Parfait pour débuter la journée à deux dans le bonheur et le plaisir.</v>
          </cell>
          <cell r="W3"/>
          <cell r="X3" t="str">
            <v>Fruit d’un mariage raffiné d’une sélection de grands crus du Darjeeling, ce thé noir offre une liqueur dorée aux senteurs florales profondes et aux saveurs de fruits mûrs longues en bouche. Parfait pour débuter la journée dans un moment de bonheur et de plaisir partagé.</v>
          </cell>
          <cell r="Y3"/>
          <cell r="Z3" t="str">
            <v>Ingrédient : thé noir**. **Issu de l'agriculture biologique et biodynamique. demeter est la marque des produits issus de l'agriculture biodynamique certifiée.</v>
          </cell>
          <cell r="AA3" t="str">
            <v>/</v>
          </cell>
          <cell r="AB3" t="str">
            <v>Membre certifié World Fair Trade Organization, Les Jardins de Gaïa s’engagent pour un commerce plus juste et répondent aux exigences du commerce équitable. Pour en savoir plus : www.wfto.com.</v>
          </cell>
          <cell r="AC3">
            <v>100</v>
          </cell>
          <cell r="AD3" t="str">
            <v>3-4</v>
          </cell>
          <cell r="AE3">
            <v>90</v>
          </cell>
          <cell r="AF3">
            <v>2</v>
          </cell>
          <cell r="AG3">
            <v>50</v>
          </cell>
          <cell r="AH3">
            <v>3582810578827</v>
          </cell>
          <cell r="AI3" t="str">
            <v>/</v>
          </cell>
          <cell r="AJ3" t="str">
            <v>ETNM788</v>
          </cell>
          <cell r="AK3" t="str">
            <v>ETNM788V5</v>
          </cell>
          <cell r="AL3" t="str">
            <v>ETCNM7882V5</v>
          </cell>
          <cell r="AM3" t="str">
            <v>Selimbong Tea Estate</v>
          </cell>
        </row>
        <row r="4">
          <cell r="A4" t="str">
            <v>TA7091</v>
          </cell>
          <cell r="B4"/>
          <cell r="C4"/>
          <cell r="D4"/>
          <cell r="E4"/>
          <cell r="F4"/>
          <cell r="G4"/>
          <cell r="H4" t="str">
            <v>LES GRANDS CLASSIQUES</v>
          </cell>
          <cell r="I4"/>
          <cell r="J4" t="str">
            <v>À l’ombre des amandiers</v>
          </cell>
          <cell r="K4" t="str">
            <v>Amande</v>
          </cell>
          <cell r="L4" t="str">
            <v>Thé noir aromatisé</v>
          </cell>
          <cell r="M4" t="str">
            <v>Vietnam - Chine - Inde</v>
          </cell>
          <cell r="N4" t="str">
            <v>AB</v>
          </cell>
          <cell r="O4" t="str">
            <v>WFTO</v>
          </cell>
          <cell r="P4" t="str">
            <v>/</v>
          </cell>
          <cell r="Q4" t="str">
            <v>/</v>
          </cell>
          <cell r="R4" t="str">
            <v>/</v>
          </cell>
          <cell r="S4" t="str">
            <v>/</v>
          </cell>
          <cell r="T4" t="str">
            <v>Agriculture UE/non UE</v>
          </cell>
          <cell r="U4"/>
          <cell r="V4" t="str">
            <v>À l’image de l’amandier symbole de beauté, ce thé est d’une grande plénitude. Liqueur onctueuse, qui imprègne longuement la bouche de la douceur gourmande de l’amande. À déguster jour après jour.</v>
          </cell>
          <cell r="W4" t="str">
            <v>S24</v>
          </cell>
          <cell r="X4" t="str">
            <v>À l’image de l’amandier symbole de l’amour et du renouveau printanier, ce thé noir offre une tasse d’une grande plénitude. Sa liqueur onctueuse imprègne longuement le palais de la douceur gourmande et inimitable de l’amande. Un plaisir gustatif dont on ne se lasse pas !</v>
          </cell>
          <cell r="Y4"/>
          <cell r="Z4" t="str">
            <v>Ingrédients : thé noir*, arôme naturel d'amande* 7%, amandes effilées* 3%, feuilles de fraisier*. *Issu de l'agriculture biologique.</v>
          </cell>
          <cell r="AA4" t="str">
            <v>/</v>
          </cell>
          <cell r="AB4" t="str">
            <v>Membre certifié World Fair Trade Organization, Les Jardins de Gaïa s’engagent pour un commerce plus juste et répondent aux exigences du commerce équitable. Pour en savoir plus : www.wfto.com.</v>
          </cell>
          <cell r="AC4">
            <v>1.5</v>
          </cell>
          <cell r="AD4" t="str">
            <v>3-4</v>
          </cell>
          <cell r="AE4">
            <v>90</v>
          </cell>
          <cell r="AF4">
            <v>2</v>
          </cell>
          <cell r="AG4">
            <v>750</v>
          </cell>
          <cell r="AH4">
            <v>3582810470916</v>
          </cell>
          <cell r="AI4" t="str">
            <v>/</v>
          </cell>
          <cell r="AJ4" t="str">
            <v>INTERNE</v>
          </cell>
          <cell r="AK4" t="str">
            <v>INTERNE</v>
          </cell>
          <cell r="AL4" t="str">
            <v>/</v>
          </cell>
          <cell r="AM4" t="str">
            <v>Création maison</v>
          </cell>
        </row>
        <row r="5">
          <cell r="A5" t="str">
            <v>TA7092</v>
          </cell>
          <cell r="B5"/>
          <cell r="C5" t="str">
            <v>X</v>
          </cell>
          <cell r="D5"/>
          <cell r="E5"/>
          <cell r="F5"/>
          <cell r="G5"/>
          <cell r="H5" t="str">
            <v>LES GRANDS CLASSIQUES</v>
          </cell>
          <cell r="I5"/>
          <cell r="J5" t="str">
            <v>À l’ombre des amandiers</v>
          </cell>
          <cell r="K5" t="str">
            <v>Amande</v>
          </cell>
          <cell r="L5" t="str">
            <v>Thé noir aromatisé</v>
          </cell>
          <cell r="M5" t="str">
            <v>Vietnam - Chine - Inde</v>
          </cell>
          <cell r="N5" t="str">
            <v>AB</v>
          </cell>
          <cell r="O5" t="str">
            <v>WFTO</v>
          </cell>
          <cell r="P5" t="str">
            <v>/</v>
          </cell>
          <cell r="Q5" t="str">
            <v>/</v>
          </cell>
          <cell r="R5" t="str">
            <v>/</v>
          </cell>
          <cell r="S5" t="str">
            <v>/</v>
          </cell>
          <cell r="T5" t="str">
            <v>Agriculture UE/non UE</v>
          </cell>
          <cell r="U5"/>
          <cell r="V5" t="str">
            <v>À l’image de l’amandier symbole de beauté, ce thé est d’une grande plénitude. Liqueur onctueuse, qui imprègne longuement la bouche de la douceur gourmande de l’amande. À déguster jour après jour.</v>
          </cell>
          <cell r="W5" t="str">
            <v>S24</v>
          </cell>
          <cell r="X5" t="str">
            <v>À l’image de l’amandier symbole de l’amour et du renouveau printanier, ce thé noir offre une tasse d’une grande plénitude. Sa liqueur onctueuse imprègne longuement le palais de la douceur gourmande et inimitable de l’amande. Un plaisir gustatif dont on ne se lasse pas !</v>
          </cell>
          <cell r="Y5"/>
          <cell r="Z5" t="str">
            <v>Ingrédients : thé noir*, arôme naturel d'amande* 7%, amandes effilées* 3%, feuilles de fraisier*. *Issu de l'agriculture biologique.</v>
          </cell>
          <cell r="AA5" t="str">
            <v>/</v>
          </cell>
          <cell r="AB5" t="str">
            <v>Membre certifié World Fair Trade Organization, Les Jardins de Gaïa s’engagent pour un commerce plus juste et répondent aux exigences du commerce équitable. Pour en savoir plus : www.wfto.com.</v>
          </cell>
          <cell r="AC5">
            <v>100</v>
          </cell>
          <cell r="AD5" t="str">
            <v>3-4</v>
          </cell>
          <cell r="AE5">
            <v>90</v>
          </cell>
          <cell r="AF5">
            <v>2</v>
          </cell>
          <cell r="AG5">
            <v>50</v>
          </cell>
          <cell r="AH5">
            <v>3582810470923</v>
          </cell>
          <cell r="AI5" t="str">
            <v>/</v>
          </cell>
          <cell r="AJ5" t="str">
            <v>ETNA709V5</v>
          </cell>
          <cell r="AK5" t="str">
            <v>ETNA709V5</v>
          </cell>
          <cell r="AL5" t="str">
            <v>ETCNA7092V5</v>
          </cell>
          <cell r="AM5" t="str">
            <v>Création maison</v>
          </cell>
        </row>
        <row r="6">
          <cell r="A6" t="str">
            <v>TH0641</v>
          </cell>
          <cell r="B6"/>
          <cell r="C6"/>
          <cell r="D6"/>
          <cell r="E6"/>
          <cell r="F6"/>
          <cell r="G6"/>
          <cell r="H6" t="str">
            <v>LES BIENFAITRICES</v>
          </cell>
          <cell r="I6" t="str">
            <v>LES INFUSIONS DE PLANTES</v>
          </cell>
          <cell r="J6" t="str">
            <v>À pleins poumons</v>
          </cell>
          <cell r="K6" t="str">
            <v>Respiratoire
Thym vulgaire - Hysope - Menthe poivrée - Pétales de souci</v>
          </cell>
          <cell r="L6" t="str">
            <v>Infusion de plantes</v>
          </cell>
          <cell r="M6" t="str">
            <v>/</v>
          </cell>
          <cell r="N6" t="str">
            <v>AB</v>
          </cell>
          <cell r="O6" t="str">
            <v>/</v>
          </cell>
          <cell r="P6" t="str">
            <v>/</v>
          </cell>
          <cell r="Q6" t="str">
            <v>/</v>
          </cell>
          <cell r="R6" t="str">
            <v>/</v>
          </cell>
          <cell r="S6" t="str">
            <v>/</v>
          </cell>
          <cell r="T6" t="str">
            <v>Agriculture UE/non UE</v>
          </cell>
          <cell r="U6"/>
          <cell r="V6" t="str">
            <v>Respirez la vie à pleins poumons et gardez la voix claire avec cette recette apaisante, dont l’association du thym et de la menthe fait des merveilles. Ses saveurs rafraîchissantes évoquent une balade printanière au cœur d’une forêt verdoyante… Une tisane onctueuse et longue en bouche dont on apprécie à la fois les vertus aromatiques et le pouvoir adoucissant sur la sphère respiratoire.</v>
          </cell>
          <cell r="W6"/>
          <cell r="X6" t="str">
            <v xml:space="preserve">Respirez la vie à pleins poumons tout en gardant la voix claire grâce aux vertus apaisantes de cette tisane au thym et à la menthe, deux plantes qui agissent positivement sur la  sphère respiratoire. Ses saveurs rafraîchissantes évoquent une balade printanière au cœur d’une forêt verdoyante… </v>
          </cell>
          <cell r="Y6"/>
          <cell r="Z6" t="str">
            <v>Ingrédients : thym citronné* (Thymus citriodorus), thym* 17% (Thymus vulgaris), hysope* 17% (Hyssopus officinalis), amarante* (Gomphrena globosa), fleurs de sureau* (Sambucus nigra L.), menthe poivrée* 7% (Mentha piperita), pétales de souci* 5% (Calendula officinalis), menthe pouliot* (Mentha pulegium), mauve* (Malva sylvestris). *Issu de l'agriculture biologique.</v>
          </cell>
          <cell r="AA6"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6" t="str">
            <v>/</v>
          </cell>
          <cell r="AC6">
            <v>500</v>
          </cell>
          <cell r="AD6" t="str">
            <v>5-10</v>
          </cell>
          <cell r="AE6">
            <v>95</v>
          </cell>
          <cell r="AF6">
            <v>2</v>
          </cell>
          <cell r="AG6">
            <v>250</v>
          </cell>
          <cell r="AH6">
            <v>3582811006411</v>
          </cell>
          <cell r="AI6" t="str">
            <v>/</v>
          </cell>
          <cell r="AJ6" t="str">
            <v>INTERNE</v>
          </cell>
          <cell r="AK6" t="str">
            <v>INTERNE</v>
          </cell>
          <cell r="AL6" t="str">
            <v>/</v>
          </cell>
          <cell r="AM6" t="str">
            <v>?</v>
          </cell>
        </row>
        <row r="7">
          <cell r="A7" t="str">
            <v>TH0646</v>
          </cell>
          <cell r="B7"/>
          <cell r="C7" t="str">
            <v>X</v>
          </cell>
          <cell r="D7" t="str">
            <v>X</v>
          </cell>
          <cell r="E7"/>
          <cell r="F7" t="str">
            <v>GRAI</v>
          </cell>
          <cell r="G7">
            <v>45408</v>
          </cell>
          <cell r="H7" t="str">
            <v>LES BIENFAITRICES</v>
          </cell>
          <cell r="I7" t="str">
            <v>LES INFUSIONS DE PLANTES</v>
          </cell>
          <cell r="J7" t="str">
            <v>À pleins poumons</v>
          </cell>
          <cell r="K7" t="str">
            <v>Respiratoire
Thym vulgaire - Hysope - Menthe poivrée - Pétales de souci</v>
          </cell>
          <cell r="L7" t="str">
            <v>Infusion de plantes</v>
          </cell>
          <cell r="M7" t="str">
            <v>/</v>
          </cell>
          <cell r="N7" t="str">
            <v>AB</v>
          </cell>
          <cell r="O7" t="str">
            <v>/</v>
          </cell>
          <cell r="P7" t="str">
            <v>/</v>
          </cell>
          <cell r="Q7" t="str">
            <v>/</v>
          </cell>
          <cell r="R7" t="str">
            <v>/</v>
          </cell>
          <cell r="S7" t="str">
            <v>/</v>
          </cell>
          <cell r="T7" t="str">
            <v>Agriculture UE/non UE</v>
          </cell>
          <cell r="U7"/>
          <cell r="V7" t="str">
            <v>Respirez la vie à pleins poumons et gardez la voix claire avec cette recette apaisante, dont l’association du thym et de la menthe fait des merveilles. Ses saveurs rafraîchissantes évoquent une balade printanière au cœur d’une forêt verdoyante… Une tisane onctueuse et longue en bouche dont on apprécie à la fois les vertus aromatiques et le pouvoir adoucissant sur la sphère respiratoire.</v>
          </cell>
          <cell r="W7"/>
          <cell r="X7" t="str">
            <v xml:space="preserve">Respirez la vie à pleins poumons tout en gardant la voix claire grâce aux vertus apaisantes de cette tisane au thym et à la menthe, deux plantes qui agissent positivement sur la  sphère respiratoire. Ses saveurs rafraîchissantes évoquent une balade printanière au cœur d’une forêt verdoyante… </v>
          </cell>
          <cell r="Y7"/>
          <cell r="Z7" t="str">
            <v>Ingrédients : thym citronné* (Thymus citriodorus), thym* 17% (Thymus vulgaris), hysope* 17% (Hyssopus officinalis), amarante* (Gomphrena globosa), fleurs de sureau* (Sambucus nigra L.), menthe poivrée* 7% (Mentha piperita), pétales de souci* 5% (Calendula officinalis), menthe pouliot* (Mentha pulegium), mauve* (Malva sylvestris). *Issu de l'agriculture biologique.</v>
          </cell>
          <cell r="AA7"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7" t="str">
            <v xml:space="preserve">  </v>
          </cell>
          <cell r="AC7">
            <v>60</v>
          </cell>
          <cell r="AD7" t="str">
            <v>5-10</v>
          </cell>
          <cell r="AE7">
            <v>95</v>
          </cell>
          <cell r="AF7">
            <v>2</v>
          </cell>
          <cell r="AG7">
            <v>30</v>
          </cell>
          <cell r="AH7">
            <v>3582811006466</v>
          </cell>
          <cell r="AI7" t="str">
            <v>/</v>
          </cell>
          <cell r="AJ7" t="str">
            <v>ETHN0640V5</v>
          </cell>
          <cell r="AK7" t="str">
            <v>ETHN0640V5</v>
          </cell>
          <cell r="AL7" t="str">
            <v>/</v>
          </cell>
          <cell r="AM7" t="str">
            <v>?</v>
          </cell>
        </row>
        <row r="8">
          <cell r="A8" t="str">
            <v>TR2241</v>
          </cell>
          <cell r="B8"/>
          <cell r="C8"/>
          <cell r="D8"/>
          <cell r="E8"/>
          <cell r="F8"/>
          <cell r="G8"/>
          <cell r="H8" t="str">
            <v>LES GRANDS CLASSIQUES</v>
          </cell>
          <cell r="I8"/>
          <cell r="J8" t="str">
            <v>African Grey</v>
          </cell>
          <cell r="K8" t="str">
            <v>Huile essentielle de bergamote</v>
          </cell>
          <cell r="L8" t="str">
            <v>Rooibos aromatisé</v>
          </cell>
          <cell r="M8" t="str">
            <v>Afrique du Sud - Cap Occidental</v>
          </cell>
          <cell r="N8" t="str">
            <v>AB</v>
          </cell>
          <cell r="O8" t="str">
            <v>WFTO</v>
          </cell>
          <cell r="P8" t="str">
            <v>D</v>
          </cell>
          <cell r="Q8" t="str">
            <v>/</v>
          </cell>
          <cell r="R8" t="str">
            <v>/</v>
          </cell>
          <cell r="S8" t="str">
            <v>/</v>
          </cell>
          <cell r="T8" t="str">
            <v>Agriculture UE/non UE</v>
          </cell>
          <cell r="U8"/>
          <cell r="V8" t="str">
            <v>Association séduisante d’une boisson typiquement sud-africaine et du goût légendaire de la bergamote. Se dégustant à toute heure, cette boisson ronde et délicate ravira les inconditionnels de l’Earl Grey.</v>
          </cell>
          <cell r="W8"/>
          <cell r="X8" t="str">
            <v>Ce Earl Grey qui sort des sentiers battus associe le velouté d’un rooibos biodynamique à la fraîcheur et aux notes acidulées de la bergamote. Une infusion originale et sans théine dont on apprécie les saveurs rondes et fruitées à tout moment de la journée.</v>
          </cell>
          <cell r="Y8"/>
          <cell r="Z8" t="str">
            <v xml:space="preserve">Ingrédients : rooibos**, huile essentielle de bergamote* 2%. *Issu de l'agriculture biologique. **Issu de l'agriculture biologique et biodynamique. demeter est la marque des produits issus de l'agriculture biodynamique certifiée. </v>
          </cell>
          <cell r="AA8" t="str">
            <v>/</v>
          </cell>
          <cell r="AB8" t="str">
            <v>Membre certifié World Fair Trade Organization, Les Jardins de Gaïa s’engagent pour un commerce plus juste et répondent aux exigences du commerce équitable. Pour en savoir plus : www.wfto.com.</v>
          </cell>
          <cell r="AC8">
            <v>1.5</v>
          </cell>
          <cell r="AD8" t="str">
            <v>5-10</v>
          </cell>
          <cell r="AE8">
            <v>95</v>
          </cell>
          <cell r="AF8">
            <v>2</v>
          </cell>
          <cell r="AG8">
            <v>750</v>
          </cell>
          <cell r="AH8">
            <v>3582810922415</v>
          </cell>
          <cell r="AI8" t="str">
            <v>/</v>
          </cell>
          <cell r="AJ8" t="str">
            <v>INTERNE</v>
          </cell>
          <cell r="AK8" t="str">
            <v>INTERNE</v>
          </cell>
          <cell r="AL8" t="str">
            <v>/</v>
          </cell>
          <cell r="AM8" t="str">
            <v>Création maison</v>
          </cell>
        </row>
        <row r="9">
          <cell r="A9" t="str">
            <v>TR2242</v>
          </cell>
          <cell r="B9"/>
          <cell r="C9" t="str">
            <v>X</v>
          </cell>
          <cell r="D9" t="str">
            <v>X</v>
          </cell>
          <cell r="E9" t="str">
            <v>X</v>
          </cell>
          <cell r="F9" t="str">
            <v>GRAI</v>
          </cell>
          <cell r="G9">
            <v>45383</v>
          </cell>
          <cell r="H9" t="str">
            <v>LES GRANDS CLASSIQUES</v>
          </cell>
          <cell r="I9"/>
          <cell r="J9" t="str">
            <v>African Grey</v>
          </cell>
          <cell r="K9" t="str">
            <v>Huile essentielle de bergamote</v>
          </cell>
          <cell r="L9" t="str">
            <v>Rooibos aromatisé</v>
          </cell>
          <cell r="M9" t="str">
            <v>Afrique du Sud - Cap Occidental</v>
          </cell>
          <cell r="N9" t="str">
            <v>AB</v>
          </cell>
          <cell r="O9" t="str">
            <v>WFTO</v>
          </cell>
          <cell r="P9" t="str">
            <v>D</v>
          </cell>
          <cell r="Q9" t="str">
            <v>/</v>
          </cell>
          <cell r="R9" t="str">
            <v>/</v>
          </cell>
          <cell r="S9" t="str">
            <v>/</v>
          </cell>
          <cell r="T9" t="str">
            <v>Agriculture UE/non UE</v>
          </cell>
          <cell r="U9"/>
          <cell r="V9" t="str">
            <v>Association séduisante d’une boisson typiquement sud-africaine et du goût légendaire de la bergamote. Se dégustant à toute heure, cette boisson ronde et délicate ravira les inconditionnels de l’Earl Grey.</v>
          </cell>
          <cell r="W9"/>
          <cell r="X9" t="str">
            <v>Ce Earl Grey qui sort des sentiers battus associe le velouté d’un rooibos biodynamique à la fraîcheur et aux notes acidulées de la bergamote. Une infusion originale et sans théine dont on apprécie les saveurs rondes et fruitées à tout moment de la journée.</v>
          </cell>
          <cell r="Y9"/>
          <cell r="Z9" t="str">
            <v xml:space="preserve">Ingrédients : rooibos**, huile essentielle de bergamote* 2%. *Issu de l'agriculture biologique. **Issu de l'agriculture biologique et biodynamique. demeter est la marque des produits issus de l'agriculture biodynamique certifiée. </v>
          </cell>
          <cell r="AA9" t="str">
            <v>/</v>
          </cell>
          <cell r="AB9" t="str">
            <v>Membre certifié World Fair Trade Organization, Les Jardins de Gaïa s’engagent pour un commerce plus juste et répondent aux exigences du commerce équitable. Pour en savoir plus : www.wfto.com.</v>
          </cell>
          <cell r="AC9">
            <v>100</v>
          </cell>
          <cell r="AD9" t="str">
            <v>5-10</v>
          </cell>
          <cell r="AE9">
            <v>95</v>
          </cell>
          <cell r="AF9">
            <v>2</v>
          </cell>
          <cell r="AG9">
            <v>50</v>
          </cell>
          <cell r="AH9">
            <v>3582810922422</v>
          </cell>
          <cell r="AI9" t="str">
            <v>/</v>
          </cell>
          <cell r="AJ9" t="str">
            <v>ETRA224</v>
          </cell>
          <cell r="AK9" t="str">
            <v>ETRA224V5</v>
          </cell>
          <cell r="AL9" t="str">
            <v>ETCRA2242V5</v>
          </cell>
          <cell r="AM9" t="str">
            <v>Wupperthal Original Rooibos Cooperative</v>
          </cell>
        </row>
        <row r="10">
          <cell r="A10" t="str">
            <v>TR2201</v>
          </cell>
          <cell r="B10"/>
          <cell r="C10"/>
          <cell r="D10"/>
          <cell r="E10"/>
          <cell r="F10"/>
          <cell r="G10"/>
          <cell r="H10" t="str">
            <v>LES GRANDS CLASSIQUES</v>
          </cell>
          <cell r="I10"/>
          <cell r="J10" t="str">
            <v>African Masala</v>
          </cell>
          <cell r="K10" t="str">
            <v>Épices</v>
          </cell>
          <cell r="L10" t="str">
            <v>Rooibos parfumé</v>
          </cell>
          <cell r="M10" t="str">
            <v>Afrique du Sud - Cap Occidental</v>
          </cell>
          <cell r="N10" t="str">
            <v>AB</v>
          </cell>
          <cell r="O10" t="str">
            <v>WFTO</v>
          </cell>
          <cell r="P10" t="str">
            <v>/</v>
          </cell>
          <cell r="Q10" t="str">
            <v>/</v>
          </cell>
          <cell r="R10" t="str">
            <v>/</v>
          </cell>
          <cell r="S10" t="str">
            <v>/</v>
          </cell>
          <cell r="T10" t="str">
            <v>Agriculture non UE</v>
          </cell>
          <cell r="U10"/>
          <cell r="V10" t="str">
            <v>Association réussie de rooibos africain et d’épices indiennes. Sa saveur chaude et énergétique réchauffe le corps et l’esprit et vous transporte dans des contrées ensoleillées.</v>
          </cell>
          <cell r="W10" t="str">
            <v>S24</v>
          </cell>
          <cell r="X10" t="str">
            <v xml:space="preserve">Né de la rencontre de la boisson emblématique d’Afrique du Sud et d’un savant mariage d’épices indiennes, ce rooibos offre une expérience gustative particulièrement gourmande et originale. Ses saveurs chaudes et colorées sont un passeport pour des contrées lumineuses et ensoleillées. </v>
          </cell>
          <cell r="Y10"/>
          <cell r="Z10" t="str">
            <v>Ingrédients : rooibos*, épices (cannelle*, gingembre*, poivre noir*, clous de girofle*, cardamome*) 15%. *Issu de l'agriculture biologique.</v>
          </cell>
          <cell r="AA10" t="str">
            <v>/</v>
          </cell>
          <cell r="AB10" t="str">
            <v>Membre certifié World Fair Trade Organization, Les Jardins de Gaïa s’engagent pour un commerce plus juste et répondent aux exigences du commerce équitable. Pour en savoir plus : www.wfto.com.</v>
          </cell>
          <cell r="AC10">
            <v>1.5</v>
          </cell>
          <cell r="AD10" t="str">
            <v>5-10</v>
          </cell>
          <cell r="AE10">
            <v>95</v>
          </cell>
          <cell r="AF10">
            <v>2</v>
          </cell>
          <cell r="AG10">
            <v>750</v>
          </cell>
          <cell r="AH10">
            <v>3582810922019</v>
          </cell>
          <cell r="AI10" t="str">
            <v>/</v>
          </cell>
          <cell r="AJ10" t="str">
            <v>INTERNE</v>
          </cell>
          <cell r="AK10" t="str">
            <v>INTERNE</v>
          </cell>
          <cell r="AL10" t="str">
            <v>/</v>
          </cell>
          <cell r="AM10" t="str">
            <v>Création maison</v>
          </cell>
        </row>
        <row r="11">
          <cell r="A11" t="str">
            <v>TR2202</v>
          </cell>
          <cell r="B11"/>
          <cell r="C11" t="str">
            <v>X</v>
          </cell>
          <cell r="D11"/>
          <cell r="E11"/>
          <cell r="F11"/>
          <cell r="G11"/>
          <cell r="H11" t="str">
            <v>LES GRANDS CLASSIQUES</v>
          </cell>
          <cell r="I11"/>
          <cell r="J11" t="str">
            <v>African Masala</v>
          </cell>
          <cell r="K11" t="str">
            <v>Épices</v>
          </cell>
          <cell r="L11" t="str">
            <v>Rooibos parfumé</v>
          </cell>
          <cell r="M11" t="str">
            <v>Afrique du Sud - Cap Occidental</v>
          </cell>
          <cell r="N11" t="str">
            <v>AB</v>
          </cell>
          <cell r="O11" t="str">
            <v>WFTO</v>
          </cell>
          <cell r="P11" t="str">
            <v>/</v>
          </cell>
          <cell r="Q11" t="str">
            <v>/</v>
          </cell>
          <cell r="R11" t="str">
            <v>/</v>
          </cell>
          <cell r="S11" t="str">
            <v>/</v>
          </cell>
          <cell r="T11" t="str">
            <v>Agriculture non UE</v>
          </cell>
          <cell r="U11"/>
          <cell r="V11" t="str">
            <v>Association réussie de rooibos africain et d’épices indiennes. Sa saveur chaude et énergétique réchauffe le corps et l’esprit et vous transporte dans des contrées ensoleillées.</v>
          </cell>
          <cell r="W11" t="str">
            <v>S24</v>
          </cell>
          <cell r="X11" t="str">
            <v xml:space="preserve">Né de la rencontre de la boisson emblématique d’Afrique du Sud et d’un savant mariage d’épices indiennes, ce rooibos offre une expérience gustative particulièrement gourmande et originale. Ses saveurs chaudes et colorées sont un passeport pour des contrées lumineuses et ensoleillées. </v>
          </cell>
          <cell r="Y11"/>
          <cell r="Z11" t="str">
            <v>Ingrédients : rooibos*, épices (cannelle*, gingembre*, poivre noir*, clous de girofle*, cardamome*) 15%. *Issu de l'agriculture biologique.</v>
          </cell>
          <cell r="AA11" t="str">
            <v>/</v>
          </cell>
          <cell r="AB11" t="str">
            <v>Membre certifié World Fair Trade Organization, Les Jardins de Gaïa s’engagent pour un commerce plus juste et répondent aux exigences du commerce équitable. Pour en savoir plus : www.wfto.com.</v>
          </cell>
          <cell r="AC11">
            <v>100</v>
          </cell>
          <cell r="AD11" t="str">
            <v>5-10</v>
          </cell>
          <cell r="AE11">
            <v>95</v>
          </cell>
          <cell r="AF11">
            <v>2</v>
          </cell>
          <cell r="AG11">
            <v>50</v>
          </cell>
          <cell r="AH11">
            <v>3582810922026</v>
          </cell>
          <cell r="AI11" t="str">
            <v>/</v>
          </cell>
          <cell r="AJ11" t="str">
            <v>ETRM220</v>
          </cell>
          <cell r="AK11" t="str">
            <v>ETRM220V5</v>
          </cell>
          <cell r="AL11" t="str">
            <v>ETCRM2202V5</v>
          </cell>
          <cell r="AM11" t="str">
            <v>Création maison</v>
          </cell>
        </row>
        <row r="12">
          <cell r="A12" t="str">
            <v>TB7166</v>
          </cell>
          <cell r="B12"/>
          <cell r="C12"/>
          <cell r="D12"/>
          <cell r="E12"/>
          <cell r="F12"/>
          <cell r="G12"/>
          <cell r="H12" t="str">
            <v>LES GRAND CRUS</v>
          </cell>
          <cell r="I12"/>
          <cell r="J12" t="str">
            <v>Aiguilles d'argent de Fuding</v>
          </cell>
          <cell r="K12" t="str">
            <v>Silver needles 福鼎银针</v>
          </cell>
          <cell r="L12" t="str">
            <v>Thé blanc Mingqian</v>
          </cell>
          <cell r="M12" t="str">
            <v>Chine - Fujian</v>
          </cell>
          <cell r="N12" t="str">
            <v>AB</v>
          </cell>
          <cell r="O12" t="str">
            <v>/</v>
          </cell>
          <cell r="P12" t="str">
            <v>/</v>
          </cell>
          <cell r="Q12" t="str">
            <v>/</v>
          </cell>
          <cell r="R12" t="str">
            <v>/</v>
          </cell>
          <cell r="S12" t="str">
            <v>/</v>
          </cell>
          <cell r="T12" t="str">
            <v>Agriculture Chine</v>
          </cell>
          <cell r="U12"/>
          <cell r="V12" t="str">
            <v>Thé blanc d’exception. Récolte sélective des premiers jours de printemps. Notes : florales (fleur d’oranger), végétales (herbes fraîches).</v>
          </cell>
          <cell r="W12" t="str">
            <v>S24</v>
          </cell>
          <cell r="X12" t="str">
            <v>Ce prestigieux thé blanc issu d'une récolte impériale dans le Fujian a été élaboré à partir des réputés cultivars Fuding Da Bai et Da Hao. Ses bourgeons dodus et duvetés offrent une liqueur élégante et complexe aux notes de pâte d’amande et de bois de réglisse qui imprègnent longuement le palais.</v>
          </cell>
          <cell r="Y12"/>
          <cell r="Z12" t="str">
            <v xml:space="preserve">Ingrédient : thé blanc*. *Issu de l'agriculture biologique. </v>
          </cell>
          <cell r="AA12" t="str">
            <v>/</v>
          </cell>
          <cell r="AB12" t="str">
            <v>/</v>
          </cell>
          <cell r="AC12">
            <v>40</v>
          </cell>
          <cell r="AD12" t="str">
            <v>5</v>
          </cell>
          <cell r="AE12">
            <v>85</v>
          </cell>
          <cell r="AF12">
            <v>2</v>
          </cell>
          <cell r="AG12">
            <v>20</v>
          </cell>
          <cell r="AH12">
            <v>3582810671665</v>
          </cell>
          <cell r="AI12" t="str">
            <v>Plusieurs infusions</v>
          </cell>
          <cell r="AJ12" t="str">
            <v>INTERNE</v>
          </cell>
          <cell r="AK12" t="str">
            <v>INTERNE</v>
          </cell>
          <cell r="AL12" t="str">
            <v>/</v>
          </cell>
          <cell r="AM12"/>
        </row>
        <row r="13">
          <cell r="A13" t="str">
            <v>TB7165</v>
          </cell>
          <cell r="B13"/>
          <cell r="C13"/>
          <cell r="D13"/>
          <cell r="E13"/>
          <cell r="F13"/>
          <cell r="G13"/>
          <cell r="H13" t="str">
            <v>LES GRAND CRUS</v>
          </cell>
          <cell r="I13"/>
          <cell r="J13" t="str">
            <v>Aiguilles d'argent de Fuding</v>
          </cell>
          <cell r="K13" t="str">
            <v>Silver needles 福鼎银针</v>
          </cell>
          <cell r="L13" t="str">
            <v>Thé blanc Mingqian</v>
          </cell>
          <cell r="M13" t="str">
            <v>Chine - Fujian</v>
          </cell>
          <cell r="N13" t="str">
            <v>AB</v>
          </cell>
          <cell r="O13" t="str">
            <v>/</v>
          </cell>
          <cell r="P13" t="str">
            <v>/</v>
          </cell>
          <cell r="Q13" t="str">
            <v>/</v>
          </cell>
          <cell r="R13" t="str">
            <v>/</v>
          </cell>
          <cell r="S13" t="str">
            <v>/</v>
          </cell>
          <cell r="T13" t="str">
            <v>Agriculture Chine</v>
          </cell>
          <cell r="U13"/>
          <cell r="V13" t="str">
            <v>Thé blanc d’exception. Récolte sélective des premiers jours de printemps. Notes : florales (fleur d’oranger), végétales (herbes fraîches).</v>
          </cell>
          <cell r="W13" t="str">
            <v>S24</v>
          </cell>
          <cell r="X13" t="str">
            <v>Ce prestigieux thé blanc issu d'une récolte impériale dans le Fujian a été élaboré à partir des réputés cultivars Fuding Da Bai et Da Hao. Ses bourgeons dodus et duvetés offrent une liqueur élégante et complexe aux notes de pâte d’amande et de bois de réglisse qui imprègnent longuement le palais.</v>
          </cell>
          <cell r="Y13"/>
          <cell r="Z13" t="str">
            <v xml:space="preserve">Ingrédient : thé blanc*. *Issu de l'agriculture biologique. </v>
          </cell>
          <cell r="AA13" t="str">
            <v>/</v>
          </cell>
          <cell r="AB13" t="str">
            <v>/</v>
          </cell>
          <cell r="AC13">
            <v>500</v>
          </cell>
          <cell r="AD13" t="str">
            <v>5</v>
          </cell>
          <cell r="AE13">
            <v>85</v>
          </cell>
          <cell r="AF13">
            <v>2</v>
          </cell>
          <cell r="AG13">
            <v>250</v>
          </cell>
          <cell r="AH13">
            <v>3582810671658</v>
          </cell>
          <cell r="AI13" t="str">
            <v>Plusieurs infusions</v>
          </cell>
          <cell r="AJ13" t="str">
            <v>INTERNE</v>
          </cell>
          <cell r="AK13" t="str">
            <v>INTERNE</v>
          </cell>
          <cell r="AL13" t="str">
            <v>/</v>
          </cell>
          <cell r="AM13" t="str">
            <v>Xuan En Yisheng Tea Cooperative</v>
          </cell>
        </row>
        <row r="14">
          <cell r="A14" t="str">
            <v>TB7166</v>
          </cell>
          <cell r="B14"/>
          <cell r="C14"/>
          <cell r="D14"/>
          <cell r="E14"/>
          <cell r="F14"/>
          <cell r="G14"/>
          <cell r="H14" t="str">
            <v>LES GRAND CRUS</v>
          </cell>
          <cell r="I14"/>
          <cell r="J14" t="str">
            <v>Aiguilles d'argent de Fuding</v>
          </cell>
          <cell r="K14" t="str">
            <v>Silver needles 福鼎银针</v>
          </cell>
          <cell r="L14" t="str">
            <v>Thé blanc Mingqian</v>
          </cell>
          <cell r="M14" t="str">
            <v>Chine - Fujian</v>
          </cell>
          <cell r="N14" t="str">
            <v>AB</v>
          </cell>
          <cell r="O14" t="str">
            <v>/</v>
          </cell>
          <cell r="P14" t="str">
            <v>/</v>
          </cell>
          <cell r="Q14" t="str">
            <v>/</v>
          </cell>
          <cell r="R14" t="str">
            <v>/</v>
          </cell>
          <cell r="S14" t="str">
            <v>/</v>
          </cell>
          <cell r="T14" t="str">
            <v>Agriculture Chine</v>
          </cell>
          <cell r="U14"/>
          <cell r="V14" t="str">
            <v>Thé blanc d’exception. Récolte sélective des premiers jours de printemps. Notes : florales (fleur d’oranger), végétales et boisées.</v>
          </cell>
          <cell r="W14" t="str">
            <v>S24</v>
          </cell>
          <cell r="X14" t="str">
            <v>Ce prestigieux thé blanc issu d'une récolte impériale dans le Fujian a été élaboré à partir des réputés cultivars Fuding Da Bai et Da Hao. Ses bourgeons dodus et duvetés offrent une liqueur élégante et complexe aux notes de pâte d’amande et de bois de réglisse qui imprègnent longuement le palais.</v>
          </cell>
          <cell r="Y14"/>
          <cell r="Z14" t="str">
            <v xml:space="preserve">Ingrédient : thé blanc*. *Issu de l'agriculture biologique. </v>
          </cell>
          <cell r="AA14" t="str">
            <v>/</v>
          </cell>
          <cell r="AB14" t="str">
            <v>/</v>
          </cell>
          <cell r="AC14">
            <v>40</v>
          </cell>
          <cell r="AD14" t="str">
            <v>5</v>
          </cell>
          <cell r="AE14">
            <v>85</v>
          </cell>
          <cell r="AF14">
            <v>2</v>
          </cell>
          <cell r="AG14">
            <v>40</v>
          </cell>
          <cell r="AH14">
            <v>3582810671665</v>
          </cell>
          <cell r="AI14" t="str">
            <v>Plusieurs infusions</v>
          </cell>
          <cell r="AJ14" t="str">
            <v>ETBN716FF22</v>
          </cell>
          <cell r="AK14" t="str">
            <v>ETBN716FF22V5</v>
          </cell>
          <cell r="AL14" t="str">
            <v>Q de tube</v>
          </cell>
          <cell r="AM14" t="str">
            <v>Xuan En Yisheng Tea Cooperative</v>
          </cell>
        </row>
        <row r="15">
          <cell r="A15" t="str">
            <v>TJ2151</v>
          </cell>
          <cell r="B15"/>
          <cell r="C15"/>
          <cell r="D15"/>
          <cell r="E15"/>
          <cell r="F15"/>
          <cell r="G15"/>
          <cell r="H15" t="str">
            <v>LES GRANDS CLASSIQUES</v>
          </cell>
          <cell r="I15"/>
          <cell r="J15" t="str">
            <v>Aki Bancha</v>
          </cell>
          <cell r="K15" t="str">
            <v>/</v>
          </cell>
          <cell r="L15" t="str">
            <v>Thé vert d'origine</v>
          </cell>
          <cell r="M15" t="str">
            <v>Japon - Kagoshima</v>
          </cell>
          <cell r="N15" t="str">
            <v>AB</v>
          </cell>
          <cell r="O15" t="str">
            <v>/</v>
          </cell>
          <cell r="P15" t="str">
            <v>/</v>
          </cell>
          <cell r="Q15" t="str">
            <v>/</v>
          </cell>
          <cell r="R15" t="str">
            <v>/</v>
          </cell>
          <cell r="S15" t="str">
            <v>/</v>
          </cell>
          <cell r="T15" t="str">
            <v>Agriculture Japon</v>
          </cell>
          <cell r="U15"/>
          <cell r="V15" t="str">
            <v>Traditionnellement récolté à l’automne, le Bancha est une des dernières récoltes de thé de l’année. Ses grandes feuilles libèrent une liqueur jaune pâle, douce et très désaltérante. Sa faible teneur en théine en fait une boisson du quotidien, idéale pour toute la famille, à tout moment.</v>
          </cell>
          <cell r="W15" t="str">
            <v>S24</v>
          </cell>
          <cell r="X15" t="str">
            <v>L’aki bancha cueilli en automne, représente la dernière récolte de l’année de ce thé vert très populaire. Il se démarque par la grandeur de ses feuilles et la douceur de son infusion particulièrement moelleuse et désaltérante. Les Japonais l’apprécient comme un bon thé du quotidien.</v>
          </cell>
          <cell r="Y15"/>
          <cell r="Z15" t="str">
            <v>Ingrédient : thé vert*. *Issu de l'agriculture biologique.</v>
          </cell>
          <cell r="AA15" t="str">
            <v>/</v>
          </cell>
          <cell r="AB15" t="str">
            <v>/</v>
          </cell>
          <cell r="AC15">
            <v>1.5</v>
          </cell>
          <cell r="AD15" t="str">
            <v>3-4</v>
          </cell>
          <cell r="AE15">
            <v>75</v>
          </cell>
          <cell r="AF15">
            <v>2</v>
          </cell>
          <cell r="AG15">
            <v>750</v>
          </cell>
          <cell r="AH15">
            <v>3582814121517</v>
          </cell>
          <cell r="AI15" t="str">
            <v>/</v>
          </cell>
          <cell r="AJ15" t="str">
            <v>INTERNE</v>
          </cell>
          <cell r="AK15" t="str">
            <v>INTERNE</v>
          </cell>
          <cell r="AL15" t="str">
            <v>/</v>
          </cell>
          <cell r="AM15" t="str">
            <v>Japon - Kagoshima</v>
          </cell>
        </row>
        <row r="16">
          <cell r="A16" t="str">
            <v>TJ2152</v>
          </cell>
          <cell r="B16"/>
          <cell r="C16" t="str">
            <v>X</v>
          </cell>
          <cell r="D16"/>
          <cell r="E16"/>
          <cell r="F16"/>
          <cell r="G16"/>
          <cell r="H16" t="str">
            <v>LES GRANDS CLASSIQUES</v>
          </cell>
          <cell r="I16"/>
          <cell r="J16" t="str">
            <v>Aki Bancha</v>
          </cell>
          <cell r="K16" t="str">
            <v>/</v>
          </cell>
          <cell r="L16" t="str">
            <v>Thé vert d'origine</v>
          </cell>
          <cell r="M16" t="str">
            <v>Japon - Kagoshima</v>
          </cell>
          <cell r="N16" t="str">
            <v>AB</v>
          </cell>
          <cell r="O16" t="str">
            <v>/</v>
          </cell>
          <cell r="P16" t="str">
            <v>/</v>
          </cell>
          <cell r="Q16" t="str">
            <v>/</v>
          </cell>
          <cell r="R16" t="str">
            <v>/</v>
          </cell>
          <cell r="S16" t="str">
            <v>/</v>
          </cell>
          <cell r="T16" t="str">
            <v>Agriculture Japon</v>
          </cell>
          <cell r="U16"/>
          <cell r="V16" t="str">
            <v>Traditionnellement récolté à l’automne, le Bancha est une des dernières récoltes de thé de l’année. Ses grandes feuilles libèrent une liqueur jaune pâle, douce et très désaltérante. Sa faible teneur en théine en fait une boisson du quotidien, idéale pour toute la famille, à tout moment.</v>
          </cell>
          <cell r="W16" t="str">
            <v>S24</v>
          </cell>
          <cell r="X16" t="str">
            <v>L’aki bancha cueilli en automne, représente la dernière récolte de l’année de ce thé vert très populaire. Il se démarque par la grandeur de ses feuilles et la douceur de son infusion particulièrement moelleuse et désaltérante. Les Japonais l’apprécient comme un bon thé du quotidien.</v>
          </cell>
          <cell r="Y16"/>
          <cell r="Z16" t="str">
            <v>Ingrédient : thé vert*. *Issu de l'agriculture biologique.</v>
          </cell>
          <cell r="AA16" t="str">
            <v>/</v>
          </cell>
          <cell r="AB16" t="str">
            <v>/</v>
          </cell>
          <cell r="AC16">
            <v>100</v>
          </cell>
          <cell r="AD16" t="str">
            <v>3-4</v>
          </cell>
          <cell r="AE16">
            <v>75</v>
          </cell>
          <cell r="AF16">
            <v>2</v>
          </cell>
          <cell r="AG16">
            <v>50</v>
          </cell>
          <cell r="AH16">
            <v>3582814121524</v>
          </cell>
          <cell r="AI16" t="str">
            <v>/</v>
          </cell>
          <cell r="AJ16" t="str">
            <v>ETVJ215</v>
          </cell>
          <cell r="AK16" t="str">
            <v>ETVJ215V5</v>
          </cell>
          <cell r="AL16" t="str">
            <v>ETCVJ2152V5</v>
          </cell>
          <cell r="AM16" t="str">
            <v>Japon - Kagoshima</v>
          </cell>
        </row>
        <row r="17">
          <cell r="A17" t="str">
            <v>TA6792</v>
          </cell>
          <cell r="B17"/>
          <cell r="C17" t="str">
            <v>X</v>
          </cell>
          <cell r="D17" t="str">
            <v>x</v>
          </cell>
          <cell r="E17" t="str">
            <v>X</v>
          </cell>
          <cell r="F17" t="str">
            <v>GRAI</v>
          </cell>
          <cell r="G17">
            <v>45383</v>
          </cell>
          <cell r="H17" t="str">
            <v>LES GRANDS CLASSIQUES</v>
          </cell>
          <cell r="I17"/>
          <cell r="J17" t="str">
            <v>Ambiance littorale</v>
          </cell>
          <cell r="K17" t="str">
            <v>Algues - saveur citron vert</v>
          </cell>
          <cell r="L17" t="str">
            <v>Thé vert aromatisé</v>
          </cell>
          <cell r="M17" t="str">
            <v>Chine</v>
          </cell>
          <cell r="N17" t="str">
            <v>AB</v>
          </cell>
          <cell r="O17" t="str">
            <v>WFTO</v>
          </cell>
          <cell r="P17" t="str">
            <v>/</v>
          </cell>
          <cell r="Q17" t="str">
            <v>/</v>
          </cell>
          <cell r="R17" t="str">
            <v>/</v>
          </cell>
          <cell r="S17" t="str">
            <v>/</v>
          </cell>
          <cell r="T17" t="str">
            <v>Agriculture UE/non UE</v>
          </cell>
          <cell r="U17"/>
          <cell r="V17" t="str">
            <v xml:space="preserve">Un brin d’air marin pour un instant rafraîchissant. Sur sa base de thé vert, cette recette libère un mariage de saveurs iodées et légèrement citronnées particulièrement agréable en bouche. Un irrésistible appel du large… </v>
          </cell>
          <cell r="W17"/>
          <cell r="X17" t="str">
            <v>Sur sa base de thé vert, cette recette originale met en valeur la rencontre harmonieuse de saveurs iodées d’algues avec des notes zestées et lumineuses de citron. Agréable par son équilibre en bouche, elle évoque l’ambiance du littoral d’une manière particulièrement rafraîchissante.</v>
          </cell>
          <cell r="Y17"/>
          <cell r="Z17" t="str">
            <v>Ingrédients : thé vert*, arôme naturel de citron vert* 7%, mélange d'algues (dulce*, nori*, laitue de mer*) 6%, ginseng blanc*. *Issu de l'agriculture biologique.</v>
          </cell>
          <cell r="AA17" t="str">
            <v>/</v>
          </cell>
          <cell r="AB17" t="str">
            <v>Membre certifié World Fair Trade Organization, Les Jardins de Gaïa s’engagent pour un commerce plus juste et répondent aux exigences du commerce équitable. Pour en savoir plus : www.wfto.com.</v>
          </cell>
          <cell r="AC17">
            <v>100</v>
          </cell>
          <cell r="AD17" t="str">
            <v>3</v>
          </cell>
          <cell r="AE17">
            <v>75</v>
          </cell>
          <cell r="AF17">
            <v>2</v>
          </cell>
          <cell r="AG17">
            <v>50</v>
          </cell>
          <cell r="AH17">
            <v>3582810867921</v>
          </cell>
          <cell r="AI17" t="str">
            <v>/</v>
          </cell>
          <cell r="AJ17" t="str">
            <v>ETVA679V5</v>
          </cell>
          <cell r="AK17" t="str">
            <v>ETVA679V5</v>
          </cell>
          <cell r="AL17" t="str">
            <v>ETCVA6792V5</v>
          </cell>
          <cell r="AM17" t="str">
            <v>Dazhangshan Organic Tea Farmer Association</v>
          </cell>
        </row>
        <row r="18">
          <cell r="A18" t="str">
            <v>TR2321</v>
          </cell>
          <cell r="B18"/>
          <cell r="C18"/>
          <cell r="D18"/>
          <cell r="E18"/>
          <cell r="F18"/>
          <cell r="G18"/>
          <cell r="H18" t="str">
            <v>LES GRANDS CLASSIQUES</v>
          </cell>
          <cell r="I18"/>
          <cell r="J18" t="str">
            <v>Asimbonanga</v>
          </cell>
          <cell r="K18" t="str">
            <v>Mangue - Saveurs pêche - citron</v>
          </cell>
          <cell r="L18" t="str">
            <v>Rooibos aromatisé</v>
          </cell>
          <cell r="M18" t="str">
            <v>Afrique du Sud - Cap Occidental</v>
          </cell>
          <cell r="N18" t="str">
            <v>AB</v>
          </cell>
          <cell r="O18" t="str">
            <v>WFTO</v>
          </cell>
          <cell r="P18" t="str">
            <v>/</v>
          </cell>
          <cell r="Q18" t="str">
            <v>/</v>
          </cell>
          <cell r="R18" t="str">
            <v>/</v>
          </cell>
          <cell r="S18" t="str">
            <v>/</v>
          </cell>
          <cell r="T18" t="str">
            <v>Agriculture UE/non UE</v>
          </cell>
          <cell r="U18"/>
          <cell r="V18" t="str">
            <v>“Je rêve que se taise le silence…”. En écho à l'hymne écrit par le célèbre Zoulou blanc, cette composition de rooibos et de fruits à la saveur sucrée et chaude, teintée d'une pointe d'acidité, se pose en hommage à un homme de paix. À savourer aussi bien chaude que glacée.</v>
          </cell>
          <cell r="W18"/>
          <cell r="X18" t="str">
            <v>Tout droit venu d'Afrique du sud, ce rooibos fruité, aux saveurs de mangue et pêche, relevés par des notes zestées, vous fera voyager dans l’histoire. Asimbonanga, « Nous ne l’avons pas vu » en zoulou, est un clin d’œil à la célèbre chanson écrite par Johnny Clegg en hommage à Nelson Mandela.</v>
          </cell>
          <cell r="Y18"/>
          <cell r="Z18" t="str">
            <v>Ingrédients : rooibos*, arômes naturels de (mangue*, pêche*) 10%, morceaux de mangue* 3%, huile essentielle de citron* 1%, pétales de souci*. *Issu de l'agriculture biologique.</v>
          </cell>
          <cell r="AA18" t="str">
            <v>/</v>
          </cell>
          <cell r="AB18" t="str">
            <v>Membre certifié World Fair Trade Organization, Les Jardins de Gaïa s’engagent pour un commerce plus juste et répondent aux exigences du commerce équitable. Pour en savoir plus : www.wfto.com.</v>
          </cell>
          <cell r="AC18">
            <v>1.5</v>
          </cell>
          <cell r="AD18" t="str">
            <v>5-10</v>
          </cell>
          <cell r="AE18">
            <v>95</v>
          </cell>
          <cell r="AF18">
            <v>2</v>
          </cell>
          <cell r="AG18">
            <v>750</v>
          </cell>
          <cell r="AH18">
            <v>3582810923214</v>
          </cell>
          <cell r="AI18" t="str">
            <v>/</v>
          </cell>
          <cell r="AJ18" t="str">
            <v>INTERNE</v>
          </cell>
          <cell r="AK18" t="str">
            <v>INTERNE</v>
          </cell>
          <cell r="AL18" t="str">
            <v>/</v>
          </cell>
          <cell r="AM18" t="str">
            <v>Création maison</v>
          </cell>
        </row>
        <row r="19">
          <cell r="A19" t="str">
            <v>TR2322</v>
          </cell>
          <cell r="B19"/>
          <cell r="C19" t="str">
            <v>X</v>
          </cell>
          <cell r="D19" t="str">
            <v>X</v>
          </cell>
          <cell r="E19" t="str">
            <v>X</v>
          </cell>
          <cell r="F19" t="str">
            <v>GRAI</v>
          </cell>
          <cell r="G19">
            <v>45383</v>
          </cell>
          <cell r="H19" t="str">
            <v>LES GRANDS CLASSIQUES</v>
          </cell>
          <cell r="I19"/>
          <cell r="J19" t="str">
            <v>Asimbonanga</v>
          </cell>
          <cell r="K19" t="str">
            <v>Mangue - Saveurs pêche - citron</v>
          </cell>
          <cell r="L19" t="str">
            <v>Rooibos aromatisé</v>
          </cell>
          <cell r="M19" t="str">
            <v>Afrique du Sud - Cap Occidental</v>
          </cell>
          <cell r="N19" t="str">
            <v>AB</v>
          </cell>
          <cell r="O19" t="str">
            <v>WFTO</v>
          </cell>
          <cell r="P19" t="str">
            <v>/</v>
          </cell>
          <cell r="Q19" t="str">
            <v>/</v>
          </cell>
          <cell r="R19" t="str">
            <v>/</v>
          </cell>
          <cell r="S19" t="str">
            <v>/</v>
          </cell>
          <cell r="T19" t="str">
            <v>Agriculture UE/non UE</v>
          </cell>
          <cell r="U19"/>
          <cell r="V19" t="str">
            <v>“Je rêve que se taise le silence…”. En écho à l'hymne écrit par le célèbre Zoulou blanc, cette composition de rooibos et de fruits à la saveur sucrée et chaude, teintée d'une pointe d'acidité, se pose en hommage à un homme de paix. À savourer aussi bien chaude que glacée.</v>
          </cell>
          <cell r="W19"/>
          <cell r="X19" t="str">
            <v>Tout droit venu d'Afrique du sud, ce rooibos fruité, aux saveurs de mangue et pêche, relevés par des notes zestées, vous fera voyager dans l’histoire. Asimbonanga, « Nous ne l’avons pas vu » en zoulou, est un clin d’œil à la célèbre chanson écrite par Johnny Clegg en hommage à Nelson Mandela.</v>
          </cell>
          <cell r="Y19"/>
          <cell r="Z19" t="str">
            <v>Ingrédients : rooibos*, arômes naturels de (mangue*, pêche*) 10%, morceaux de mangue* 3%, huile essentielle de citron* 1%, pétales de souci*. *Issu de l'agriculture biologique.</v>
          </cell>
          <cell r="AA19" t="str">
            <v>/</v>
          </cell>
          <cell r="AB19" t="str">
            <v>Membre certifié World Fair Trade Organization, Les Jardins de Gaïa s’engagent pour un commerce plus juste et répondent aux exigences du commerce équitable. Pour en savoir plus : www.wfto.com.</v>
          </cell>
          <cell r="AC19">
            <v>100</v>
          </cell>
          <cell r="AD19" t="str">
            <v>5-10</v>
          </cell>
          <cell r="AE19">
            <v>95</v>
          </cell>
          <cell r="AF19">
            <v>2</v>
          </cell>
          <cell r="AG19">
            <v>50</v>
          </cell>
          <cell r="AH19">
            <v>3582810923221</v>
          </cell>
          <cell r="AI19" t="str">
            <v>/</v>
          </cell>
          <cell r="AJ19" t="str">
            <v>ETRA232V5</v>
          </cell>
          <cell r="AK19" t="str">
            <v>ETRA232V5</v>
          </cell>
          <cell r="AL19" t="str">
            <v>ETCRA2322V5</v>
          </cell>
          <cell r="AM19" t="str">
            <v>Wupperthal Original Rooibos Cooperative et Heiveld Cooperative</v>
          </cell>
        </row>
        <row r="20">
          <cell r="A20" t="str">
            <v>TUTR2322</v>
          </cell>
          <cell r="B20"/>
          <cell r="C20"/>
          <cell r="D20"/>
          <cell r="E20"/>
          <cell r="F20"/>
          <cell r="G20"/>
          <cell r="H20" t="str">
            <v>LES GRANDS CLASSIQUES</v>
          </cell>
          <cell r="I20"/>
          <cell r="J20" t="str">
            <v>Asimbonanga</v>
          </cell>
          <cell r="K20" t="str">
            <v>Mangue - Saveurs pêche - citron</v>
          </cell>
          <cell r="L20" t="str">
            <v>Rooibos aromatisé</v>
          </cell>
          <cell r="M20" t="str">
            <v>Afrique du Sud - Cap Occidental</v>
          </cell>
          <cell r="N20" t="str">
            <v>AB</v>
          </cell>
          <cell r="O20" t="str">
            <v>WFTO</v>
          </cell>
          <cell r="P20" t="str">
            <v>/</v>
          </cell>
          <cell r="Q20" t="str">
            <v>/</v>
          </cell>
          <cell r="R20" t="str">
            <v>/</v>
          </cell>
          <cell r="S20" t="str">
            <v>/</v>
          </cell>
          <cell r="T20" t="str">
            <v>Agriculture UE/non UE</v>
          </cell>
          <cell r="U20"/>
          <cell r="V20" t="str">
            <v>“Je rêve que se taise le silence…”. En écho à l'hymne écrit par le célèbre Zoulou blanc, cette composition de rooibos et de fruits à la saveur sucrée et chaude, teintée d'une pointe d'acidité, se pose en hommage à un homme de paix. À savourer aussi bien chaude que glacée.</v>
          </cell>
          <cell r="W20"/>
          <cell r="X20" t="str">
            <v>Tout droit venu d'Afrique du sud, ce rooibos fruité, aux saveurs de mangue et pêche, relevés par des notes zestées, vous fera voyager dans l’histoire. Asimbonanga, « Nous ne l’avons pas vu » en zoulou, est un clin d’œil à la célèbre chanson écrite par Johnny Clegg en hommage à Nelson Mandela.</v>
          </cell>
          <cell r="Y20"/>
          <cell r="Z20" t="str">
            <v>Ingrédients : rooibos*, arômes naturels de (mangue*, pêche*) 10%, morceaux de mangue* 3%, huile essentielle de citron* 1%, pétales de souci*. *Issu de l'agriculture biologique.</v>
          </cell>
          <cell r="AA20" t="str">
            <v>/</v>
          </cell>
          <cell r="AB20" t="str">
            <v>Membre certifié World Fair Trade Organization, Les Jardins de Gaïa s’engagent pour un commerce plus juste et répondent aux exigences du commerce équitable. Pour en savoir plus : www.wfto.com.</v>
          </cell>
          <cell r="AC20">
            <v>100</v>
          </cell>
          <cell r="AD20" t="str">
            <v>5-10</v>
          </cell>
          <cell r="AE20">
            <v>95</v>
          </cell>
          <cell r="AF20">
            <v>2</v>
          </cell>
          <cell r="AG20">
            <v>50</v>
          </cell>
          <cell r="AH20">
            <v>3582815623225</v>
          </cell>
          <cell r="AI20" t="str">
            <v>/</v>
          </cell>
          <cell r="AJ20" t="str">
            <v>ETTURA2322V5</v>
          </cell>
          <cell r="AK20" t="str">
            <v>ETTURA2322V5</v>
          </cell>
          <cell r="AL20" t="str">
            <v>/</v>
          </cell>
          <cell r="AM20" t="str">
            <v>Création maison</v>
          </cell>
        </row>
        <row r="21">
          <cell r="A21" t="str">
            <v>TR2211</v>
          </cell>
          <cell r="B21"/>
          <cell r="C21"/>
          <cell r="D21"/>
          <cell r="E21"/>
          <cell r="F21"/>
          <cell r="G21"/>
          <cell r="H21" t="str">
            <v>LES GRANDS CLASSIQUES</v>
          </cell>
          <cell r="I21"/>
          <cell r="J21" t="str">
            <v xml:space="preserve">Au coin du feu </v>
          </cell>
          <cell r="K21" t="str">
            <v>Cannelle</v>
          </cell>
          <cell r="L21" t="str">
            <v>Rooibos parfumé</v>
          </cell>
          <cell r="M21" t="str">
            <v>Afrique du Sud - Cap Occidental</v>
          </cell>
          <cell r="N21" t="str">
            <v>AB</v>
          </cell>
          <cell r="O21" t="str">
            <v>WFTO</v>
          </cell>
          <cell r="P21" t="str">
            <v>/</v>
          </cell>
          <cell r="Q21" t="str">
            <v>/</v>
          </cell>
          <cell r="R21" t="str">
            <v>/</v>
          </cell>
          <cell r="S21" t="str">
            <v>/</v>
          </cell>
          <cell r="T21" t="str">
            <v>Agriculture non UE</v>
          </cell>
          <cell r="U21"/>
          <cell r="V21" t="str">
            <v>Délicatement agrémentée de morceaux de cannelle, de pétales de souci et d'amarante, cette délicieuse version de la boisson emblématique d'Afrique du sud, vous ravira par ses saveurs chaudes et sucrées et l’agréable sensation qu’elles procurent.</v>
          </cell>
          <cell r="W21" t="str">
            <v>S24</v>
          </cell>
          <cell r="X21" t="str">
            <v>Délicatement agrémenté de morceaux de cannelle, de pétales de souci et d'amarante, ce rooibos revisite avec chaleur et gourmandise la boisson emblématique d'Afrique du Sud. Ses saveurs douces et son onctuosité procurent un agréable sentiment de réconfort. Idéal pour une soirée au coin d’un feu…</v>
          </cell>
          <cell r="Y21"/>
          <cell r="Z21" t="str">
            <v>Ingrédients : rooibos*, cannelle* 16%, pétales de souci*, amarante*. *Issu de l’agriculture biologique.</v>
          </cell>
          <cell r="AA21" t="str">
            <v>/</v>
          </cell>
          <cell r="AB21" t="str">
            <v>Membre certifié World Fair Trade Organization, Les Jardins de Gaïa s’engagent pour un commerce plus juste et répondent aux exigences du commerce équitable. Pour en savoir plus : www.wfto.com.</v>
          </cell>
          <cell r="AC21">
            <v>1.5</v>
          </cell>
          <cell r="AD21" t="str">
            <v>5-10</v>
          </cell>
          <cell r="AE21">
            <v>95</v>
          </cell>
          <cell r="AF21">
            <v>2</v>
          </cell>
          <cell r="AG21">
            <v>750</v>
          </cell>
          <cell r="AH21">
            <v>3582810922118</v>
          </cell>
          <cell r="AI21" t="str">
            <v>/</v>
          </cell>
          <cell r="AJ21" t="str">
            <v>INTERNE</v>
          </cell>
          <cell r="AK21" t="str">
            <v>INTERNE</v>
          </cell>
          <cell r="AL21" t="str">
            <v>/</v>
          </cell>
          <cell r="AM21" t="str">
            <v>Création maison</v>
          </cell>
        </row>
        <row r="22">
          <cell r="A22" t="str">
            <v>TR2212</v>
          </cell>
          <cell r="B22"/>
          <cell r="C22" t="str">
            <v>X</v>
          </cell>
          <cell r="D22"/>
          <cell r="E22"/>
          <cell r="F22"/>
          <cell r="G22"/>
          <cell r="H22" t="str">
            <v>LES GRANDS CLASSIQUES</v>
          </cell>
          <cell r="I22"/>
          <cell r="J22" t="str">
            <v xml:space="preserve">Au coin du feu </v>
          </cell>
          <cell r="K22" t="str">
            <v>Cannelle</v>
          </cell>
          <cell r="L22" t="str">
            <v>Rooibos parfumé</v>
          </cell>
          <cell r="M22" t="str">
            <v>Afrique du Sud - Cap Occidental</v>
          </cell>
          <cell r="N22" t="str">
            <v>AB</v>
          </cell>
          <cell r="O22" t="str">
            <v>WFTO</v>
          </cell>
          <cell r="P22" t="str">
            <v>/</v>
          </cell>
          <cell r="Q22" t="str">
            <v>/</v>
          </cell>
          <cell r="R22" t="str">
            <v>/</v>
          </cell>
          <cell r="S22" t="str">
            <v>/</v>
          </cell>
          <cell r="T22" t="str">
            <v>Agriculture non UE</v>
          </cell>
          <cell r="U22"/>
          <cell r="V22" t="str">
            <v>Délicatement agrémentée de morceaux de cannelle, de pétales de souci et d'amarante, cette délicieuse version de la boisson emblématique d'Afrique du sud, vous ravira par ses saveurs chaudes et sucrées et l’agréable sensation qu’elles procurent.</v>
          </cell>
          <cell r="W22" t="str">
            <v>S24</v>
          </cell>
          <cell r="X22" t="str">
            <v>Délicatement agrémenté de morceaux de cannelle, de pétales de souci et d'amarante, ce rooibos revisite avec chaleur et gourmandise la boisson emblématique d'Afrique du Sud. Ses saveurs douces et son onctuosité procurent un agréable sentiment de réconfort. Idéal pour une soirée au coin d’un feu…</v>
          </cell>
          <cell r="Y22"/>
          <cell r="Z22" t="str">
            <v>Ingrédients : rooibos*, cannelle* 16%, pétales de souci*, amarante*. *Issu de l’agriculture biologique.</v>
          </cell>
          <cell r="AA22" t="str">
            <v>/</v>
          </cell>
          <cell r="AB22" t="str">
            <v>Membre certifié World Fair Trade Organization, Les Jardins de Gaïa s’engagent pour un commerce plus juste et répondent aux exigences du commerce équitable. Pour en savoir plus : www.wfto.com.</v>
          </cell>
          <cell r="AC22">
            <v>100</v>
          </cell>
          <cell r="AD22" t="str">
            <v>5-10</v>
          </cell>
          <cell r="AE22">
            <v>95</v>
          </cell>
          <cell r="AF22">
            <v>2</v>
          </cell>
          <cell r="AG22">
            <v>50</v>
          </cell>
          <cell r="AH22">
            <v>3582810922125</v>
          </cell>
          <cell r="AI22" t="str">
            <v>/</v>
          </cell>
          <cell r="AJ22" t="str">
            <v>ETRM221</v>
          </cell>
          <cell r="AK22" t="str">
            <v>ETRM221V5</v>
          </cell>
          <cell r="AL22" t="str">
            <v>ETCRM2212V5</v>
          </cell>
          <cell r="AM22" t="str">
            <v>Création maison</v>
          </cell>
        </row>
        <row r="23">
          <cell r="A23" t="str">
            <v>TUTR2212</v>
          </cell>
          <cell r="B23"/>
          <cell r="C23"/>
          <cell r="D23"/>
          <cell r="E23"/>
          <cell r="F23"/>
          <cell r="G23"/>
          <cell r="H23" t="str">
            <v>LES GRANDS CLASSIQUES</v>
          </cell>
          <cell r="I23"/>
          <cell r="J23" t="str">
            <v xml:space="preserve">Au coin du feu </v>
          </cell>
          <cell r="K23" t="str">
            <v>Cannelle</v>
          </cell>
          <cell r="L23" t="str">
            <v>Rooibos parfumé</v>
          </cell>
          <cell r="M23" t="str">
            <v>Afrique du Sud - Cap Occidental</v>
          </cell>
          <cell r="N23" t="str">
            <v>AB</v>
          </cell>
          <cell r="O23" t="str">
            <v>WFTO</v>
          </cell>
          <cell r="P23" t="str">
            <v>/</v>
          </cell>
          <cell r="Q23" t="str">
            <v>/</v>
          </cell>
          <cell r="R23" t="str">
            <v>/</v>
          </cell>
          <cell r="S23" t="str">
            <v>/</v>
          </cell>
          <cell r="T23" t="str">
            <v>Agriculture non UE</v>
          </cell>
          <cell r="U23"/>
          <cell r="V23" t="str">
            <v>Délicatement agrémentée de morceaux de cannelle, de pétales de souci et d'amarante, cette délicieuse version de la boisson emblématique d'Afrique du sud, vous ravira par ses saveurs chaudes et sucrées et l’agréable sensation qu’elles procurent.</v>
          </cell>
          <cell r="W23" t="str">
            <v>S24</v>
          </cell>
          <cell r="X23" t="str">
            <v>Délicatement agrémenté de morceaux de cannelle, de pétales de souci et d'amarante, ce rooibos revisite avec chaleur et gourmandise la boisson emblématique d'Afrique du Sud. Ses saveurs douces et son onctuosité procurent un agréable sentiment de réconfort. Idéal pour une soirée au coin d’un feu…</v>
          </cell>
          <cell r="Y23"/>
          <cell r="Z23" t="str">
            <v>Ingrédients : rooibos*, cannelle* 16%, pétales de souci*, amarante*. *Issu de l’agriculture biologique.</v>
          </cell>
          <cell r="AA23" t="str">
            <v>/</v>
          </cell>
          <cell r="AB23" t="str">
            <v>Membre certifié World Fair Trade Organization, Les Jardins de Gaïa s’engagent pour un commerce plus juste et répondent aux exigences du commerce équitable. Pour en savoir plus : www.wfto.com.</v>
          </cell>
          <cell r="AC23">
            <v>100</v>
          </cell>
          <cell r="AD23" t="str">
            <v>5-10</v>
          </cell>
          <cell r="AE23">
            <v>95</v>
          </cell>
          <cell r="AF23">
            <v>2</v>
          </cell>
          <cell r="AG23">
            <v>50</v>
          </cell>
          <cell r="AH23">
            <v>3582815522122</v>
          </cell>
          <cell r="AI23" t="str">
            <v>/</v>
          </cell>
          <cell r="AJ23" t="str">
            <v>ETTUTR2212</v>
          </cell>
          <cell r="AK23" t="str">
            <v>ETTUTR2212V5</v>
          </cell>
          <cell r="AL23" t="str">
            <v>/</v>
          </cell>
          <cell r="AM23" t="str">
            <v>Création maison</v>
          </cell>
        </row>
        <row r="24">
          <cell r="A24" t="str">
            <v>TA5071</v>
          </cell>
          <cell r="B24"/>
          <cell r="C24"/>
          <cell r="D24"/>
          <cell r="E24"/>
          <cell r="F24"/>
          <cell r="G24"/>
          <cell r="H24" t="str">
            <v>THE TRANSPORTE A LA VOILE</v>
          </cell>
          <cell r="I24"/>
          <cell r="J24" t="str">
            <v>Au rythme du vent</v>
          </cell>
          <cell r="K24" t="str">
            <v xml:space="preserve">noix de coco - citron vert - combava
</v>
          </cell>
          <cell r="L24" t="str">
            <v>thé blanc aromatisé</v>
          </cell>
          <cell r="M24" t="str">
            <v>Vietnam</v>
          </cell>
          <cell r="N24" t="str">
            <v>AB</v>
          </cell>
          <cell r="O24" t="str">
            <v>WFTO</v>
          </cell>
          <cell r="P24" t="str">
            <v>/</v>
          </cell>
          <cell r="Q24" t="str">
            <v>/</v>
          </cell>
          <cell r="R24" t="str">
            <v>/</v>
          </cell>
          <cell r="S24" t="str">
            <v>/</v>
          </cell>
          <cell r="T24" t="str">
            <v>Agriculture UE/non UE</v>
          </cell>
          <cell r="U24" t="str">
            <v>Anemos</v>
          </cell>
          <cell r="V24" t="str">
            <v>/</v>
          </cell>
          <cell r="W24"/>
          <cell r="X24" t="str">
            <v>Comme un souffle de vent léger, les parfums qui s’élèvent de cette recette de thé blanc invitent à l’évasion. L’harmonie entre les notes sucrées et lactées de la noix de coco, acidulées du citron vert et épicées du combava ne sont pas sans rappeler la gourmandise de certaines recettes d’Asie du Sud-Est.</v>
          </cell>
          <cell r="Y24"/>
          <cell r="Z24" t="str">
            <v xml:space="preserve">Ingrédients : thé blanc*, feuilles de combava* 17%, arômes naturels de (citron vert* 5%, noix de coco* 4%), noix de coco* 5%, écorce de citron* 1%. *Issu de l’agriculture biologique
</v>
          </cell>
          <cell r="AA24"/>
          <cell r="AB24" t="str">
            <v>Membre certifié World Fair Trade Organization, Les Jardins de Gaïa s’engagent pour un commerce plus juste et répondent aux exigences du commerce équitable. Pour en savoir plus : www.wfto.com.</v>
          </cell>
          <cell r="AC24">
            <v>1.5</v>
          </cell>
          <cell r="AD24" t="str">
            <v>3-4</v>
          </cell>
          <cell r="AE24">
            <v>85</v>
          </cell>
          <cell r="AF24">
            <v>2</v>
          </cell>
          <cell r="AG24">
            <v>750</v>
          </cell>
          <cell r="AH24">
            <v>3582810650714</v>
          </cell>
          <cell r="AI24"/>
          <cell r="AJ24"/>
          <cell r="AK24"/>
          <cell r="AL24"/>
          <cell r="AM24" t="str">
            <v xml:space="preserve">Ecolink </v>
          </cell>
        </row>
        <row r="25">
          <cell r="A25" t="str">
            <v>TA5076</v>
          </cell>
          <cell r="B25"/>
          <cell r="C25"/>
          <cell r="D25"/>
          <cell r="E25"/>
          <cell r="F25"/>
          <cell r="G25"/>
          <cell r="H25" t="str">
            <v>THE TRANSPORTE A LA VOILE</v>
          </cell>
          <cell r="I25"/>
          <cell r="J25" t="str">
            <v>Au rythme du vent</v>
          </cell>
          <cell r="K25" t="str">
            <v xml:space="preserve">noix de coco - citron vert - combava
</v>
          </cell>
          <cell r="L25" t="str">
            <v>thé blanc aromatisé</v>
          </cell>
          <cell r="M25" t="str">
            <v>Vietnam</v>
          </cell>
          <cell r="N25" t="str">
            <v>AB</v>
          </cell>
          <cell r="O25" t="str">
            <v>WFTO</v>
          </cell>
          <cell r="P25" t="str">
            <v>/</v>
          </cell>
          <cell r="Q25" t="str">
            <v>/</v>
          </cell>
          <cell r="R25" t="str">
            <v>/</v>
          </cell>
          <cell r="S25" t="str">
            <v>/</v>
          </cell>
          <cell r="T25" t="str">
            <v>Agriculture UE/non UE</v>
          </cell>
          <cell r="U25" t="str">
            <v>Anemos</v>
          </cell>
          <cell r="V25" t="str">
            <v>/</v>
          </cell>
          <cell r="W25"/>
          <cell r="X25" t="str">
            <v>Comme un souffle de vent léger, les parfums qui s’élèvent de cette recette de thé blanc invitent à l’évasion. L’harmonie entre les notes sucrées et lactées de la noix de coco, acidulées du citron vert et épicées du combava ne sont pas sans rappeler la gourmandise de certaines recettes d’Asie du Sud-Est.</v>
          </cell>
          <cell r="Y25"/>
          <cell r="Z25" t="str">
            <v xml:space="preserve">Ingrédients : thé blanc*, feuilles de combava* 17%, arômes naturels de (citron vert* 5%, noix de coco* 4%), noix de coco* 5%, écorce de citron* 1%. *Issu de l’agriculture biologique
</v>
          </cell>
          <cell r="AA25"/>
          <cell r="AB25" t="str">
            <v>Membre certifié World Fair Trade Organization, Les Jardins de Gaïa s’engagent pour un commerce plus juste et répondent aux exigences du commerce équitable. Pour en savoir plus : www.wfto.com.</v>
          </cell>
          <cell r="AC25">
            <v>50</v>
          </cell>
          <cell r="AD25" t="str">
            <v>3-4</v>
          </cell>
          <cell r="AE25">
            <v>85</v>
          </cell>
          <cell r="AF25">
            <v>2</v>
          </cell>
          <cell r="AG25">
            <v>25</v>
          </cell>
          <cell r="AH25">
            <v>3582810650769</v>
          </cell>
          <cell r="AI25"/>
          <cell r="AJ25"/>
          <cell r="AK25" t="str">
            <v>ETBA507V5</v>
          </cell>
          <cell r="AL25" t="str">
            <v>ETCBA5076V5</v>
          </cell>
          <cell r="AM25" t="str">
            <v xml:space="preserve">Ecolink </v>
          </cell>
        </row>
        <row r="26">
          <cell r="A26" t="str">
            <v>TM0201</v>
          </cell>
          <cell r="B26"/>
          <cell r="C26"/>
          <cell r="D26"/>
          <cell r="E26"/>
          <cell r="F26"/>
          <cell r="G26"/>
          <cell r="H26" t="str">
            <v>LES GRANDS CLASSIQUES</v>
          </cell>
          <cell r="I26"/>
          <cell r="J26" t="str">
            <v>Avec les Anges</v>
          </cell>
          <cell r="K26" t="str">
            <v>Rose - Saveur vanille</v>
          </cell>
          <cell r="L26" t="str">
            <v>Thé blanc aromatisé</v>
          </cell>
          <cell r="M26" t="str">
            <v xml:space="preserve">
Vietnam - Yen Bai</v>
          </cell>
          <cell r="N26" t="str">
            <v>AB</v>
          </cell>
          <cell r="O26" t="str">
            <v>WFTO</v>
          </cell>
          <cell r="P26" t="str">
            <v>/</v>
          </cell>
          <cell r="Q26" t="str">
            <v>/</v>
          </cell>
          <cell r="R26" t="str">
            <v>/</v>
          </cell>
          <cell r="S26" t="str">
            <v>/</v>
          </cell>
          <cell r="T26" t="str">
            <v>Agriculture UE/non UE</v>
          </cell>
          <cell r="U26"/>
          <cell r="V26" t="str">
            <v>Breuvage paradisiaque unissant l'élégance du thé blanc au parfum envoûtant des fleurs sauvages, élégamment soutenu par le velouté gracieux de la vanille. Liqueur à la saveur onctueuse et sucrée, caressant longuement le palais. Un poème à savourer.</v>
          </cell>
          <cell r="W26"/>
          <cell r="X26" t="str">
            <v>Cette liqueur paradisiaque unit l'élégance du thé blanc au doux parfum de la rose accompagnée par le velouté et la gourmandise de la vanille. Un nectar à la saveur onctueuse et sucrée, caressant longuement le palais qui permet de tutoyer les anges…</v>
          </cell>
          <cell r="Y26"/>
          <cell r="Z26" t="str">
            <v>Ingrédients : thé blanc*, extrait de (rose* 3%, vanille* 2%), pétales de fleurs (rose* 0,5%, mauve*, lavande*, souci*, tournesol*, bleuet*). *Issu de l'agriculture biologique.</v>
          </cell>
          <cell r="AA26" t="str">
            <v>/</v>
          </cell>
          <cell r="AB26" t="str">
            <v>Membre certifié World Fair Trade Organization, Les Jardins de Gaïa s’engagent pour un commerce plus juste et répondent aux exigences du commerce équitable. Pour en savoir plus : www.wfto.com.</v>
          </cell>
          <cell r="AC26">
            <v>1.5</v>
          </cell>
          <cell r="AD26" t="str">
            <v>3-4</v>
          </cell>
          <cell r="AE26">
            <v>85</v>
          </cell>
          <cell r="AF26">
            <v>2</v>
          </cell>
          <cell r="AG26">
            <v>750</v>
          </cell>
          <cell r="AH26">
            <v>3582810650219</v>
          </cell>
          <cell r="AI26" t="str">
            <v>/</v>
          </cell>
          <cell r="AJ26" t="str">
            <v>INTERNE</v>
          </cell>
          <cell r="AK26" t="str">
            <v>INTERNE</v>
          </cell>
          <cell r="AL26" t="str">
            <v>/</v>
          </cell>
          <cell r="AM26" t="str">
            <v>Création maison</v>
          </cell>
        </row>
        <row r="27">
          <cell r="A27" t="str">
            <v>TM0202</v>
          </cell>
          <cell r="B27"/>
          <cell r="C27" t="str">
            <v>X</v>
          </cell>
          <cell r="D27" t="str">
            <v>x</v>
          </cell>
          <cell r="E27" t="str">
            <v>x</v>
          </cell>
          <cell r="F27" t="str">
            <v>GRAI</v>
          </cell>
          <cell r="G27">
            <v>45383</v>
          </cell>
          <cell r="H27" t="str">
            <v>LES GRANDS CLASSIQUES</v>
          </cell>
          <cell r="I27"/>
          <cell r="J27" t="str">
            <v>Avec les Anges</v>
          </cell>
          <cell r="K27" t="str">
            <v>Rose - Saveur vanille</v>
          </cell>
          <cell r="L27" t="str">
            <v>Thé blanc aromatisé</v>
          </cell>
          <cell r="M27" t="str">
            <v>Vietnam</v>
          </cell>
          <cell r="N27" t="str">
            <v>AB</v>
          </cell>
          <cell r="O27" t="str">
            <v>WFTO</v>
          </cell>
          <cell r="P27" t="str">
            <v>/</v>
          </cell>
          <cell r="Q27" t="str">
            <v>/</v>
          </cell>
          <cell r="R27" t="str">
            <v>/</v>
          </cell>
          <cell r="S27" t="str">
            <v>/</v>
          </cell>
          <cell r="T27" t="str">
            <v>Agriculture UE/non UE</v>
          </cell>
          <cell r="U27"/>
          <cell r="V27" t="str">
            <v>Breuvage paradisiaque unissant l'élégance du thé blanc au parfum envoûtant des fleurs sauvages, élégamment soutenu par le velouté gracieux de la vanille. Liqueur à la saveur onctueuse et sucrée, caressant longuement le palais. Un poème à savourer.</v>
          </cell>
          <cell r="W27"/>
          <cell r="X27" t="str">
            <v>Cette liqueur paradisiaque unit l'élégance du thé blanc au doux parfum de la rose accompagnée par le velouté et la gourmandise de la vanille. Un nectar à la saveur onctueuse et sucrée, caressant longuement le palais qui permet de tutoyer les anges…</v>
          </cell>
          <cell r="Y27"/>
          <cell r="Z27" t="str">
            <v>Ingrédients : thé blanc*, extrait de (rose* 3%, vanille* 2%), pétales de fleurs (rose* 0,5%, mauve*, lavande*, souci*, tournesol*, bleuet*). *Issu de l'agriculture biologique.</v>
          </cell>
          <cell r="AA27" t="str">
            <v>/</v>
          </cell>
          <cell r="AB27" t="str">
            <v>Membre certifié World Fair Trade Organization, Les Jardins de Gaïa s’engagent pour un commerce plus juste et répondent aux exigences du commerce équitable. Pour en savoir plus : www.wfto.com.</v>
          </cell>
          <cell r="AC27">
            <v>100</v>
          </cell>
          <cell r="AD27" t="str">
            <v>3-4</v>
          </cell>
          <cell r="AE27">
            <v>85</v>
          </cell>
          <cell r="AF27">
            <v>2</v>
          </cell>
          <cell r="AG27">
            <v>50</v>
          </cell>
          <cell r="AH27">
            <v>3582811202028</v>
          </cell>
          <cell r="AI27" t="str">
            <v>/</v>
          </cell>
          <cell r="AJ27" t="str">
            <v>ETBA0202V5</v>
          </cell>
          <cell r="AK27" t="str">
            <v>ETBA0202V5</v>
          </cell>
          <cell r="AL27" t="str">
            <v>ETCBA0202V5</v>
          </cell>
          <cell r="AM27" t="str">
            <v xml:space="preserve">Van Chan Bio Farmers Club + Coopérative Ban Lien Organic Tea Cooperative </v>
          </cell>
        </row>
        <row r="28">
          <cell r="A28" t="str">
            <v>TM0206</v>
          </cell>
          <cell r="B28"/>
          <cell r="C28" t="str">
            <v>X</v>
          </cell>
          <cell r="D28" t="str">
            <v>x</v>
          </cell>
          <cell r="E28" t="str">
            <v>x</v>
          </cell>
          <cell r="F28" t="str">
            <v>GRAI</v>
          </cell>
          <cell r="G28">
            <v>45383</v>
          </cell>
          <cell r="H28" t="str">
            <v>LES GRANDS CLASSIQUES</v>
          </cell>
          <cell r="I28"/>
          <cell r="J28" t="str">
            <v>Avec les Anges</v>
          </cell>
          <cell r="K28" t="str">
            <v>Rose - Saveur vanille</v>
          </cell>
          <cell r="L28" t="str">
            <v>Thé blanc aromatisé</v>
          </cell>
          <cell r="M28" t="str">
            <v>Vietnam</v>
          </cell>
          <cell r="N28" t="str">
            <v>AB</v>
          </cell>
          <cell r="O28" t="str">
            <v>WFTO</v>
          </cell>
          <cell r="P28" t="str">
            <v>/</v>
          </cell>
          <cell r="Q28" t="str">
            <v>/</v>
          </cell>
          <cell r="R28" t="str">
            <v>/</v>
          </cell>
          <cell r="S28" t="str">
            <v>/</v>
          </cell>
          <cell r="T28" t="str">
            <v>Agriculture UE/non UE</v>
          </cell>
          <cell r="U28"/>
          <cell r="V28" t="str">
            <v>Breuvage paradisiaque unissant l'élégance du thé blanc au parfum envoûtant des fleurs sauvages, élégamment soutenu par le velouté gracieux de la vanille. Liqueur à la saveur onctueuse et sucrée, caressant longuement le palais. Un poème à savourer.</v>
          </cell>
          <cell r="W28"/>
          <cell r="X28" t="str">
            <v>Cette liqueur paradisiaque unit l'élégance du thé blanc au doux parfum de la rose accompagnée par le velouté et la gourmandise de la vanille. Un nectar à la saveur onctueuse et sucrée, caressant longuement le palais qui permet de tutoyer les anges…</v>
          </cell>
          <cell r="Y28"/>
          <cell r="Z28" t="str">
            <v>Ingrédients : thé blanc*, extrait de (rose* 3%, vanille* 2%), pétales de fleurs (rose* 0,5%, mauve*, lavande*, souci*, tournesol*, bleuet*). *Issu de l'agriculture biologique.</v>
          </cell>
          <cell r="AA28" t="str">
            <v>/</v>
          </cell>
          <cell r="AB28" t="str">
            <v>Membre certifié World Fair Trade Organization, Les Jardins de Gaïa s’engagent pour un commerce plus juste et répondent aux exigences du commerce équitable. Pour en savoir plus : www.wfto.com.</v>
          </cell>
          <cell r="AC28">
            <v>50</v>
          </cell>
          <cell r="AD28" t="str">
            <v>3-4</v>
          </cell>
          <cell r="AE28">
            <v>85</v>
          </cell>
          <cell r="AF28">
            <v>2</v>
          </cell>
          <cell r="AG28">
            <v>25</v>
          </cell>
          <cell r="AH28">
            <v>3582811202066</v>
          </cell>
          <cell r="AI28" t="str">
            <v>/</v>
          </cell>
          <cell r="AJ28" t="str">
            <v>ETBA020V5</v>
          </cell>
          <cell r="AK28" t="str">
            <v>ETBA020V5</v>
          </cell>
          <cell r="AL28" t="str">
            <v>ETCBA0206V5</v>
          </cell>
          <cell r="AM28" t="str">
            <v xml:space="preserve">Van Chan Bio Farmers Club + Coopérative Ban Lien Organic Tea Cooperative </v>
          </cell>
        </row>
        <row r="29">
          <cell r="A29" t="str">
            <v>TM0206</v>
          </cell>
          <cell r="B29"/>
          <cell r="C29"/>
          <cell r="D29"/>
          <cell r="E29"/>
          <cell r="F29" t="str">
            <v>GRAI</v>
          </cell>
          <cell r="G29">
            <v>45383</v>
          </cell>
          <cell r="H29" t="str">
            <v>LES GRANDS CLASSIQUES</v>
          </cell>
          <cell r="I29"/>
          <cell r="J29" t="str">
            <v>Avec les Anges</v>
          </cell>
          <cell r="K29" t="str">
            <v>Rose - Saveur vanille</v>
          </cell>
          <cell r="L29" t="str">
            <v>Thé blanc aromatisé</v>
          </cell>
          <cell r="M29" t="str">
            <v>Vietnam</v>
          </cell>
          <cell r="N29" t="str">
            <v>AB</v>
          </cell>
          <cell r="O29" t="str">
            <v>WFTO</v>
          </cell>
          <cell r="P29" t="str">
            <v>/</v>
          </cell>
          <cell r="Q29" t="str">
            <v>/</v>
          </cell>
          <cell r="R29" t="str">
            <v>/</v>
          </cell>
          <cell r="S29" t="str">
            <v>/</v>
          </cell>
          <cell r="T29" t="str">
            <v>Agriculture UE/non UE</v>
          </cell>
          <cell r="U29"/>
          <cell r="V29" t="str">
            <v>Breuvage paradisiaque unissant l'élégance du thé blanc au parfum envoûtant des fleurs sauvages, élégamment soutenu par le velouté gracieux de la vanille. Liqueur à la saveur onctueuse et sucrée, caressant longuement le palais. Un poème à savourer.</v>
          </cell>
          <cell r="W29"/>
          <cell r="X29" t="str">
            <v>Cette liqueur paradisiaque unit l'élégance du thé blanc au doux parfum de la rose accompagnée par le velouté et la gourmandise de la vanille. Un nectar à la saveur onctueuse et sucrée, caressant longuement le palais qui permet de tutoyer les anges…</v>
          </cell>
          <cell r="Y29"/>
          <cell r="Z29" t="str">
            <v>Ingrédients : thé blanc*, extrait de (rose* 3%, vanille* 2%), pétales de fleurs (rose* 0,5%, mauve*, lavande*, souci*, tournesol*, bleuet*). *Issu de l'agriculture biologique.</v>
          </cell>
          <cell r="AA29" t="str">
            <v>/</v>
          </cell>
          <cell r="AB29" t="str">
            <v>Membre certifié World Fair Trade Organization, Les Jardins de Gaïa s’engagent pour un commerce plus juste et répondent aux exigences du commerce équitable. Pour en savoir plus : www.wfto.com.</v>
          </cell>
          <cell r="AC29">
            <v>50</v>
          </cell>
          <cell r="AD29" t="str">
            <v>3-4</v>
          </cell>
          <cell r="AE29">
            <v>85</v>
          </cell>
          <cell r="AF29">
            <v>2</v>
          </cell>
          <cell r="AG29">
            <v>25</v>
          </cell>
          <cell r="AH29">
            <v>3582811202066</v>
          </cell>
          <cell r="AI29" t="str">
            <v>/</v>
          </cell>
          <cell r="AJ29" t="str">
            <v>ETBA020V5N</v>
          </cell>
          <cell r="AK29" t="str">
            <v>ETBA020V5N</v>
          </cell>
          <cell r="AL29" t="str">
            <v>ETCBA0206V5N</v>
          </cell>
          <cell r="AM29" t="str">
            <v xml:space="preserve">Van Chan Bio Farmers Club + Coopérative Ban Lien Organic Tea Cooperative </v>
          </cell>
        </row>
        <row r="30">
          <cell r="A30" t="str">
            <v>TA7331</v>
          </cell>
          <cell r="B30"/>
          <cell r="C30"/>
          <cell r="D30"/>
          <cell r="E30"/>
          <cell r="F30"/>
          <cell r="G30"/>
          <cell r="H30" t="str">
            <v>LES GRANDS CLASSIQUES</v>
          </cell>
          <cell r="I30"/>
          <cell r="J30" t="str">
            <v>Babouchka</v>
          </cell>
          <cell r="K30" t="str">
            <v>Goût russe</v>
          </cell>
          <cell r="L30" t="str">
            <v>Thé noir aromatisé</v>
          </cell>
          <cell r="M30" t="str">
            <v>Vietnam  - Inde</v>
          </cell>
          <cell r="N30" t="str">
            <v>AB</v>
          </cell>
          <cell r="O30" t="str">
            <v>WFTO</v>
          </cell>
          <cell r="P30" t="str">
            <v>/</v>
          </cell>
          <cell r="Q30" t="str">
            <v>/</v>
          </cell>
          <cell r="R30" t="str">
            <v>/</v>
          </cell>
          <cell r="S30" t="str">
            <v>/</v>
          </cell>
          <cell r="T30" t="str">
            <v>Agriculture UE/non UE</v>
          </cell>
          <cell r="U30"/>
          <cell r="V30" t="str">
            <v>Douce nostalgie… Association particulière de thés noirs parfumés aux essences naturelles d’agrumes, très légèrement dominée par la bergamote. Parfum très enveloppé d’une absolue harmonie. Excellente alternative à l’Earl Grey.</v>
          </cell>
          <cell r="W30"/>
          <cell r="X30" t="str">
            <v>Ce mariage de thés noirs parfumé aux huiles essentielles d’agrumes, dont une jolie touche de bergamote, est une excellente alternative au traditionnel Earl Grey. On apprécie ses saveurs riches et harmonieuses.</v>
          </cell>
          <cell r="Y30"/>
          <cell r="Z30" t="str">
            <v>Ingrédients : thé noir*, huiles essentielles  (pamplemousse*, bergamote*, orange*, citron*, mandarine*) 2%, feuilles de fraisier*. *Issu de l'agriculture biologique.</v>
          </cell>
          <cell r="AA30" t="str">
            <v>/</v>
          </cell>
          <cell r="AB30" t="str">
            <v>Membre certifié World Fair Trade Organization, Les Jardins de Gaïa s’engagent pour un commerce plus juste et répondent aux exigences du commerce équitable. Pour en savoir plus : www.wfto.com.</v>
          </cell>
          <cell r="AC30">
            <v>1.5</v>
          </cell>
          <cell r="AD30" t="str">
            <v>3-4</v>
          </cell>
          <cell r="AE30">
            <v>90</v>
          </cell>
          <cell r="AF30">
            <v>2</v>
          </cell>
          <cell r="AG30">
            <v>750</v>
          </cell>
          <cell r="AH30">
            <v>3582810473313</v>
          </cell>
          <cell r="AI30" t="str">
            <v>/</v>
          </cell>
          <cell r="AJ30" t="str">
            <v>INTERNE</v>
          </cell>
          <cell r="AK30" t="str">
            <v>INTERNE</v>
          </cell>
          <cell r="AL30" t="str">
            <v>/</v>
          </cell>
          <cell r="AM30" t="str">
            <v>Création maison</v>
          </cell>
        </row>
        <row r="31">
          <cell r="A31" t="str">
            <v>TA7332</v>
          </cell>
          <cell r="B31"/>
          <cell r="C31" t="str">
            <v>X</v>
          </cell>
          <cell r="D31" t="str">
            <v>x</v>
          </cell>
          <cell r="E31" t="str">
            <v>x</v>
          </cell>
          <cell r="F31" t="str">
            <v>GRAI</v>
          </cell>
          <cell r="G31">
            <v>45383</v>
          </cell>
          <cell r="H31" t="str">
            <v>LES GRANDS CLASSIQUES</v>
          </cell>
          <cell r="I31"/>
          <cell r="J31" t="str">
            <v>Babouchka</v>
          </cell>
          <cell r="K31" t="str">
            <v>Goût russe</v>
          </cell>
          <cell r="L31" t="str">
            <v>Thé noir aromatisé</v>
          </cell>
          <cell r="M31" t="str">
            <v xml:space="preserve">Vietnam - Inde </v>
          </cell>
          <cell r="N31" t="str">
            <v>AB</v>
          </cell>
          <cell r="O31" t="str">
            <v>WFTO</v>
          </cell>
          <cell r="P31" t="str">
            <v>/</v>
          </cell>
          <cell r="Q31" t="str">
            <v>/</v>
          </cell>
          <cell r="R31" t="str">
            <v>/</v>
          </cell>
          <cell r="S31" t="str">
            <v>/</v>
          </cell>
          <cell r="T31" t="str">
            <v>Agriculture UE/non UE</v>
          </cell>
          <cell r="U31"/>
          <cell r="V31" t="str">
            <v>Douce nostalgie… Association particulière de thés noirs parfumés aux essences naturelles d’agrumes, très légèrement dominée par la bergamote. Parfum très enveloppé d’une absolue harmonie. Excellente alternative à l’Earl Grey.</v>
          </cell>
          <cell r="W31"/>
          <cell r="X31" t="str">
            <v>Ce mariage de thés noirs parfumé aux huiles essentielles d’agrumes, dont une jolie touche de bergamote, est une excellente alternative au traditionnel Earl Grey. On apprécie ses saveurs riches et harmonieuses.</v>
          </cell>
          <cell r="Y31"/>
          <cell r="Z31" t="str">
            <v>Ingrédients : thé noir*, huiles essentielles (pamplemousse*, bergamote*, orange*, citron*, mandarine*) 2%, feuilles de fraisier*. *Issu de l'agriculture biologique.</v>
          </cell>
          <cell r="AA31" t="str">
            <v>/</v>
          </cell>
          <cell r="AB31" t="str">
            <v>Membre certifié World Fair Trade Organization, Les Jardins de Gaïa s’engagent pour un commerce plus juste et répondent aux exigences du commerce équitable. Pour en savoir plus : www.wfto.com.</v>
          </cell>
          <cell r="AC31">
            <v>100</v>
          </cell>
          <cell r="AD31" t="str">
            <v>3-4</v>
          </cell>
          <cell r="AE31">
            <v>90</v>
          </cell>
          <cell r="AF31">
            <v>2</v>
          </cell>
          <cell r="AG31">
            <v>50</v>
          </cell>
          <cell r="AH31">
            <v>3582810473320</v>
          </cell>
          <cell r="AI31" t="str">
            <v>/</v>
          </cell>
          <cell r="AJ31" t="str">
            <v>ETNA733</v>
          </cell>
          <cell r="AK31" t="str">
            <v>ETNA733V5</v>
          </cell>
          <cell r="AL31" t="str">
            <v>ETCNA7332V5</v>
          </cell>
          <cell r="AM31" t="str">
            <v>Coopérative Ban Lien Organic Tea Cooperative - The Sahyadri Organic Tea Farmers Consortium  - Kachanjangha Tea Estate</v>
          </cell>
        </row>
        <row r="32">
          <cell r="A32" t="str">
            <v>TB7911</v>
          </cell>
          <cell r="B32"/>
          <cell r="C32"/>
          <cell r="D32"/>
          <cell r="E32"/>
          <cell r="F32"/>
          <cell r="G32"/>
          <cell r="H32" t="str">
            <v>LES GRANDS CLASSIQUES</v>
          </cell>
          <cell r="I32"/>
          <cell r="J32" t="str">
            <v>Bai Mu Dan</v>
          </cell>
          <cell r="K32" t="str">
            <v>Pivoine blanche</v>
          </cell>
          <cell r="L32" t="str">
            <v>Thé blanc d'origine</v>
          </cell>
          <cell r="M32" t="str">
            <v>Chine - Fujian</v>
          </cell>
          <cell r="N32" t="str">
            <v>AB</v>
          </cell>
          <cell r="O32" t="str">
            <v>/</v>
          </cell>
          <cell r="P32" t="str">
            <v>/</v>
          </cell>
          <cell r="Q32" t="str">
            <v>/</v>
          </cell>
          <cell r="R32" t="str">
            <v>/</v>
          </cell>
          <cell r="S32" t="str">
            <v>/</v>
          </cell>
          <cell r="T32" t="str">
            <v>Agriculture Chine</v>
          </cell>
          <cell r="U32"/>
          <cell r="V32" t="str">
            <v>Composé de feuilles et de bourgeons simplement flétris et séchés, ce Bai Mu Dan facile à préparer s'apprécie à tout moment pour sa fraîcheur. Sa liqueur onctueuse et gourmande délivre d'irrésistibles saveurs de fèves de cacao et de beurre de cacahuètes. Un thé blanc idéal pour un tea time raffiné ou en accompagnement de plats légers (desserts lactés, plats salés aux saveurs douces…).</v>
          </cell>
          <cell r="W32" t="str">
            <v>S17</v>
          </cell>
          <cell r="X32" t="str">
            <v>Composé de feuilles et de bourgeons simplement flétris et séchés, ce Bai Mu Dan est un thé blanc facile à préparer qui s'apprécie particulièrement pour sa fraîcheur. Sa liqueur onctueuse et gourmande délivre des saveurs de fèves de cacao et de beurre de cacahuètes. Idéal pour un tea time raffiné !</v>
          </cell>
          <cell r="Y32"/>
          <cell r="Z32" t="str">
            <v xml:space="preserve">Ingrédient : thé blanc*. *Issu de l'agriculture biologique. </v>
          </cell>
          <cell r="AA32" t="str">
            <v>/</v>
          </cell>
          <cell r="AB32" t="str">
            <v>/</v>
          </cell>
          <cell r="AC32">
            <v>1.5</v>
          </cell>
          <cell r="AD32">
            <v>4</v>
          </cell>
          <cell r="AE32">
            <v>85</v>
          </cell>
          <cell r="AF32">
            <v>2</v>
          </cell>
          <cell r="AG32">
            <v>750</v>
          </cell>
          <cell r="AH32">
            <v>3582810679111</v>
          </cell>
          <cell r="AI32" t="str">
            <v>/</v>
          </cell>
          <cell r="AJ32" t="str">
            <v>INTERNE</v>
          </cell>
          <cell r="AK32" t="str">
            <v>INTERNE</v>
          </cell>
          <cell r="AL32" t="str">
            <v>/</v>
          </cell>
          <cell r="AM32" t="str">
            <v>Xuan En Yisheng Tea Cooperative</v>
          </cell>
        </row>
        <row r="33">
          <cell r="A33" t="str">
            <v>TB7916</v>
          </cell>
          <cell r="B33"/>
          <cell r="C33" t="str">
            <v>X</v>
          </cell>
          <cell r="D33" t="str">
            <v>X</v>
          </cell>
          <cell r="E33" t="str">
            <v>X</v>
          </cell>
          <cell r="F33" t="str">
            <v>BRODART</v>
          </cell>
          <cell r="G33"/>
          <cell r="H33" t="str">
            <v>LES GRANDS CLASSIQUES</v>
          </cell>
          <cell r="I33"/>
          <cell r="J33" t="str">
            <v>Bai Mu Dan</v>
          </cell>
          <cell r="K33" t="str">
            <v>Pivoine blanche</v>
          </cell>
          <cell r="L33" t="str">
            <v>Thé blanc d'origine</v>
          </cell>
          <cell r="M33" t="str">
            <v>Chine - Fujian</v>
          </cell>
          <cell r="N33" t="str">
            <v>AB</v>
          </cell>
          <cell r="O33" t="str">
            <v>/</v>
          </cell>
          <cell r="P33" t="str">
            <v>/</v>
          </cell>
          <cell r="Q33" t="str">
            <v>/</v>
          </cell>
          <cell r="R33" t="str">
            <v>/</v>
          </cell>
          <cell r="S33" t="str">
            <v>/</v>
          </cell>
          <cell r="T33" t="str">
            <v>Agriculture Chine</v>
          </cell>
          <cell r="U33"/>
          <cell r="V33" t="str">
            <v>Composé de feuilles et de bourgeons simplement flétris et séchés, ce Bai Mu Dan facile à préparer s'apprécie à tout moment pour sa fraîcheur. Sa liqueur onctueuse et gourmande délivre d'irrésistibles saveurs de fèves de cacao et de beurre de cacahuètes. Un thé blanc idéal pour un tea time raffiné ou en accompagnement de plats légers (desserts lactés, plats salés aux saveurs douces…).</v>
          </cell>
          <cell r="W33" t="str">
            <v>S17</v>
          </cell>
          <cell r="X33" t="str">
            <v>Composé de feuilles et de bourgeons simplement flétris et séchés, ce Bai Mu Dan est un thé blanc facile à préparer qui s'apprécie particulièrement pour sa fraîcheur. Sa liqueur onctueuse et gourmande délivre des saveurs de fèves de cacao et de beurre de cacahuètes. Idéal pour un tea time raffiné !</v>
          </cell>
          <cell r="Y33"/>
          <cell r="Z33" t="str">
            <v xml:space="preserve">Ingrédient : thé blanc*. *Issu de l'agriculture biologique. </v>
          </cell>
          <cell r="AA33" t="str">
            <v>/</v>
          </cell>
          <cell r="AB33" t="str">
            <v>/</v>
          </cell>
          <cell r="AC33">
            <v>50</v>
          </cell>
          <cell r="AD33">
            <v>4</v>
          </cell>
          <cell r="AE33">
            <v>85</v>
          </cell>
          <cell r="AF33">
            <v>2</v>
          </cell>
          <cell r="AG33">
            <v>25</v>
          </cell>
          <cell r="AH33">
            <v>3582810679166</v>
          </cell>
          <cell r="AI33" t="str">
            <v>/</v>
          </cell>
          <cell r="AJ33" t="str">
            <v>ETBN791</v>
          </cell>
          <cell r="AK33" t="str">
            <v>ETBN791V5</v>
          </cell>
          <cell r="AL33" t="str">
            <v>ETCBN7916V5</v>
          </cell>
          <cell r="AM33" t="str">
            <v>Xuan En Yisheng Tea Cooperative</v>
          </cell>
        </row>
        <row r="34">
          <cell r="A34" t="str">
            <v>TB4031</v>
          </cell>
          <cell r="B34"/>
          <cell r="C34"/>
          <cell r="D34"/>
          <cell r="E34"/>
          <cell r="F34"/>
          <cell r="G34"/>
          <cell r="H34" t="str">
            <v>LES GRANDS CLASSIQUES</v>
          </cell>
          <cell r="I34"/>
          <cell r="J34" t="str">
            <v>Bai Mu Dan Premium</v>
          </cell>
          <cell r="K34" t="str">
            <v>Pivoine blanche</v>
          </cell>
          <cell r="L34" t="str">
            <v>Thé blanc d'origine</v>
          </cell>
          <cell r="M34" t="str">
            <v>Chine - Hunan</v>
          </cell>
          <cell r="N34" t="str">
            <v>AB</v>
          </cell>
          <cell r="O34" t="str">
            <v>WFTO</v>
          </cell>
          <cell r="P34" t="str">
            <v>/</v>
          </cell>
          <cell r="Q34" t="str">
            <v>/</v>
          </cell>
          <cell r="R34" t="str">
            <v>/</v>
          </cell>
          <cell r="S34" t="str">
            <v>/</v>
          </cell>
          <cell r="T34" t="str">
            <v>Agriculture Chine</v>
          </cell>
          <cell r="U34"/>
          <cell r="V34" t="str">
            <v>Cueilli avec une infime précaution, ce thé mêle jeunes pousses et bourgeons printaniers à l’aspect doux et cotonneux. Brillante et limpide, son infusion longue en bouche libère un arôme fruité et acidulé proche du coing, assorti d'une petite note sucrée et originale de carotte. Excellente récolte, fraîche et incomparable !</v>
          </cell>
          <cell r="W34"/>
          <cell r="X34" t="str">
            <v xml:space="preserve">Issu d’une cueillette manuelle exigeante, ce thé blanc mêle jeunes pousses et bourgeons printaniers à l’aspect doux et cotonneux. Brillante et limpide, son infusion longue en bouche libère des saveurs fruitées et acidulées qui évoquent le coing. </v>
          </cell>
          <cell r="Y34"/>
          <cell r="Z34" t="str">
            <v xml:space="preserve">Ingrédient : thé blanc*. *Issu de l'agriculture biologique. </v>
          </cell>
          <cell r="AA34" t="str">
            <v>/</v>
          </cell>
          <cell r="AB34" t="str">
            <v>Membre certifié World Fair Trade Organization, Les Jardins de Gaïa s’engagent pour un commerce plus juste et répondent aux exigences du commerce équitable. Pour en savoir plus : www.wfto.com.</v>
          </cell>
          <cell r="AC34">
            <v>1.5</v>
          </cell>
          <cell r="AD34">
            <v>4</v>
          </cell>
          <cell r="AE34">
            <v>85</v>
          </cell>
          <cell r="AF34">
            <v>2</v>
          </cell>
          <cell r="AG34">
            <v>750</v>
          </cell>
          <cell r="AH34">
            <v>3582810640319</v>
          </cell>
          <cell r="AI34" t="str">
            <v>/</v>
          </cell>
          <cell r="AJ34" t="str">
            <v>INTERNE</v>
          </cell>
          <cell r="AK34" t="str">
            <v>INTERNE</v>
          </cell>
          <cell r="AL34" t="str">
            <v>/</v>
          </cell>
          <cell r="AM34" t="str">
            <v>Guzhang GaoFeng Organic Tea Association</v>
          </cell>
        </row>
        <row r="35">
          <cell r="A35" t="str">
            <v>TB4032</v>
          </cell>
          <cell r="B35"/>
          <cell r="C35" t="str">
            <v>X</v>
          </cell>
          <cell r="D35" t="str">
            <v>X</v>
          </cell>
          <cell r="E35" t="str">
            <v>X</v>
          </cell>
          <cell r="F35" t="str">
            <v>GRAI</v>
          </cell>
          <cell r="G35">
            <v>45383</v>
          </cell>
          <cell r="H35" t="str">
            <v>LES GRANDS CLASSIQUES</v>
          </cell>
          <cell r="I35"/>
          <cell r="J35" t="str">
            <v>Bai Mu Dan Premium</v>
          </cell>
          <cell r="K35" t="str">
            <v>Pivoine blanche</v>
          </cell>
          <cell r="L35" t="str">
            <v>Thé blanc d'origine</v>
          </cell>
          <cell r="M35" t="str">
            <v>Chine - Hunan</v>
          </cell>
          <cell r="N35" t="str">
            <v>AB</v>
          </cell>
          <cell r="O35" t="str">
            <v>WFTO</v>
          </cell>
          <cell r="P35" t="str">
            <v>/</v>
          </cell>
          <cell r="Q35" t="str">
            <v>/</v>
          </cell>
          <cell r="R35" t="str">
            <v>/</v>
          </cell>
          <cell r="S35" t="str">
            <v>/</v>
          </cell>
          <cell r="T35" t="str">
            <v>Agriculture Chine</v>
          </cell>
          <cell r="U35"/>
          <cell r="V35" t="str">
            <v>Cueilli avec une infime précaution, ce thé mêle jeunes pousses et bourgeons printaniers à l’aspect doux et cotonneux. Brillante et limpide, son infusion longue en bouche libère un arôme fruité et acidulé proche du coing, assorti d'une petite note sucrée et originale de carotte. Excellente récolte, fraîche et incomparable !</v>
          </cell>
          <cell r="W35"/>
          <cell r="X35" t="str">
            <v xml:space="preserve">Issu d’une cueillette manuelle exigeante, ce thé blanc mêle jeunes pousses et bourgeons printaniers à l’aspect doux et cotonneux. Brillante et limpide, son infusion longue en bouche libère des saveurs fruitées et acidulées qui évoquent le coing. </v>
          </cell>
          <cell r="Y35"/>
          <cell r="Z35" t="str">
            <v xml:space="preserve">Ingrédient : thé blanc*. *Issu de l'agriculture biologique. </v>
          </cell>
          <cell r="AA35" t="str">
            <v>/</v>
          </cell>
          <cell r="AB35" t="str">
            <v>Membre certifié World Fair Trade Organization, Les Jardins de Gaïa s’engagent pour un commerce plus juste et répondent aux exigences du commerce équitable. Pour en savoir plus : www.wfto.com.</v>
          </cell>
          <cell r="AC35">
            <v>100</v>
          </cell>
          <cell r="AD35">
            <v>4</v>
          </cell>
          <cell r="AE35">
            <v>85</v>
          </cell>
          <cell r="AF35">
            <v>2</v>
          </cell>
          <cell r="AG35">
            <v>50</v>
          </cell>
          <cell r="AH35">
            <v>3582810640326</v>
          </cell>
          <cell r="AI35" t="str">
            <v>/</v>
          </cell>
          <cell r="AJ35" t="str">
            <v>ETBN403</v>
          </cell>
          <cell r="AK35" t="str">
            <v>ETBN403V5</v>
          </cell>
          <cell r="AL35" t="str">
            <v>ETCBN4032V5</v>
          </cell>
          <cell r="AM35" t="str">
            <v>Guzhang GaoFeng Organic Tea Association</v>
          </cell>
        </row>
        <row r="36">
          <cell r="A36" t="str">
            <v>TB4036</v>
          </cell>
          <cell r="B36"/>
          <cell r="C36" t="str">
            <v>X</v>
          </cell>
          <cell r="D36" t="str">
            <v>X</v>
          </cell>
          <cell r="E36" t="str">
            <v>X</v>
          </cell>
          <cell r="F36" t="str">
            <v>GRAI</v>
          </cell>
          <cell r="G36">
            <v>45383</v>
          </cell>
          <cell r="H36" t="str">
            <v>LES GRANDS CLASSIQUES</v>
          </cell>
          <cell r="I36"/>
          <cell r="J36" t="str">
            <v>Bai Mu Dan Premium</v>
          </cell>
          <cell r="K36" t="str">
            <v>Pivoine blanche</v>
          </cell>
          <cell r="L36" t="str">
            <v>Thé blanc d'origine</v>
          </cell>
          <cell r="M36" t="str">
            <v>Chine - Hunan</v>
          </cell>
          <cell r="N36" t="str">
            <v>AB</v>
          </cell>
          <cell r="O36" t="str">
            <v>WFTO</v>
          </cell>
          <cell r="P36" t="str">
            <v>/</v>
          </cell>
          <cell r="Q36" t="str">
            <v>/</v>
          </cell>
          <cell r="R36" t="str">
            <v>/</v>
          </cell>
          <cell r="S36" t="str">
            <v>/</v>
          </cell>
          <cell r="T36" t="str">
            <v>Agriculture Chine</v>
          </cell>
          <cell r="U36"/>
          <cell r="V36" t="str">
            <v>Cueilli avec une infime précaution, ce thé mêle jeunes pousses et bourgeons printaniers à l’aspect doux et cotonneux. Brillante et limpide, son infusion longue en bouche libère un arôme fruité et acidulé proche du coing, assorti d'une petite note sucrée et originale de carotte. Excellente récolte, fraîche et incomparable !</v>
          </cell>
          <cell r="W36"/>
          <cell r="X36" t="str">
            <v xml:space="preserve">Issu d’une cueillette manuelle exigeante, ce thé blanc mêle jeunes pousses et bourgeons printaniers à l’aspect doux et cotonneux. Brillante et limpide, son infusion longue en bouche libère des saveurs fruitées et acidulées qui évoquent le coing. </v>
          </cell>
          <cell r="Y36"/>
          <cell r="Z36" t="str">
            <v xml:space="preserve">Ingrédient : thé blanc*. *Issu de l'agriculture biologique. </v>
          </cell>
          <cell r="AA36" t="str">
            <v>/</v>
          </cell>
          <cell r="AB36" t="str">
            <v>Membre certifié World Fair Trade Organization, Les Jardins de Gaïa s’engagent pour un commerce plus juste et répondent aux exigences du commerce équitable. Pour en savoir plus : www.wfto.com.</v>
          </cell>
          <cell r="AC36">
            <v>50</v>
          </cell>
          <cell r="AD36">
            <v>4</v>
          </cell>
          <cell r="AE36">
            <v>85</v>
          </cell>
          <cell r="AF36">
            <v>2</v>
          </cell>
          <cell r="AG36">
            <v>25</v>
          </cell>
          <cell r="AH36">
            <v>3582810640364</v>
          </cell>
          <cell r="AI36" t="str">
            <v>/</v>
          </cell>
          <cell r="AJ36" t="str">
            <v>ETBN403</v>
          </cell>
          <cell r="AK36" t="str">
            <v>ETBN403V5</v>
          </cell>
          <cell r="AL36" t="str">
            <v>ETCBN4036V5</v>
          </cell>
          <cell r="AM36" t="str">
            <v>Guzhang GaoFeng Organic Tea Association</v>
          </cell>
        </row>
        <row r="37">
          <cell r="A37" t="str">
            <v>TB4025</v>
          </cell>
          <cell r="B37"/>
          <cell r="C37"/>
          <cell r="D37"/>
          <cell r="E37"/>
          <cell r="F37"/>
          <cell r="G37"/>
          <cell r="H37" t="str">
            <v>LES GRANDS CRUS</v>
          </cell>
          <cell r="I37"/>
          <cell r="J37" t="str">
            <v>Bai Ya Cha</v>
          </cell>
          <cell r="K37" t="str">
            <v>Bourgeons blancs</v>
          </cell>
          <cell r="L37" t="str">
            <v>Thé blanc d'origine</v>
          </cell>
          <cell r="M37" t="str">
            <v>Chine - Yunnan</v>
          </cell>
          <cell r="N37" t="str">
            <v>AB</v>
          </cell>
          <cell r="O37" t="str">
            <v>WFTO</v>
          </cell>
          <cell r="P37" t="str">
            <v>/</v>
          </cell>
          <cell r="Q37" t="str">
            <v>WT</v>
          </cell>
          <cell r="R37" t="str">
            <v>/</v>
          </cell>
          <cell r="S37" t="str">
            <v>/</v>
          </cell>
          <cell r="T37" t="str">
            <v>Agriculture Chine</v>
          </cell>
          <cell r="U37"/>
          <cell r="V37"/>
          <cell r="W37"/>
          <cell r="X37"/>
          <cell r="Y37"/>
          <cell r="Z37" t="str">
            <v xml:space="preserve">Ingrédient : thé blanc*. *Issu de l'agriculture biologique. </v>
          </cell>
          <cell r="AA37" t="str">
            <v>/</v>
          </cell>
          <cell r="AB37" t="str">
            <v>Membre certifié World Fair Trade Organization, Les Jardins de Gaïa s’engagent pour un commerce plus juste et répondent aux exigences du commerce équitable. Pour en savoir plus : www.wfto.com.</v>
          </cell>
          <cell r="AC37">
            <v>500</v>
          </cell>
          <cell r="AD37"/>
          <cell r="AE37"/>
          <cell r="AF37">
            <v>2</v>
          </cell>
          <cell r="AG37">
            <v>250</v>
          </cell>
          <cell r="AH37">
            <v>3582810640258</v>
          </cell>
          <cell r="AI37"/>
          <cell r="AJ37"/>
          <cell r="AK37"/>
          <cell r="AL37"/>
          <cell r="AM37" t="str">
            <v>Canguan Yisheng organic tea specialized cooperative</v>
          </cell>
        </row>
        <row r="38">
          <cell r="A38" t="str">
            <v>TB4026</v>
          </cell>
          <cell r="B38"/>
          <cell r="C38"/>
          <cell r="D38"/>
          <cell r="E38"/>
          <cell r="F38"/>
          <cell r="G38"/>
          <cell r="H38" t="str">
            <v>LES GRANDS CRUS</v>
          </cell>
          <cell r="I38"/>
          <cell r="J38" t="str">
            <v>Bai Ya Cha</v>
          </cell>
          <cell r="K38" t="str">
            <v>Bourgeons blancs</v>
          </cell>
          <cell r="L38" t="str">
            <v>Thé blanc d'origine</v>
          </cell>
          <cell r="M38" t="str">
            <v>Chine - Yunnan</v>
          </cell>
          <cell r="N38" t="str">
            <v>AB</v>
          </cell>
          <cell r="O38" t="str">
            <v>WFTO</v>
          </cell>
          <cell r="P38" t="str">
            <v>/</v>
          </cell>
          <cell r="Q38" t="str">
            <v>WT</v>
          </cell>
          <cell r="R38" t="str">
            <v>/</v>
          </cell>
          <cell r="S38" t="str">
            <v>/</v>
          </cell>
          <cell r="T38" t="str">
            <v>Agriculture Chine</v>
          </cell>
          <cell r="U38"/>
          <cell r="V38"/>
          <cell r="W38"/>
          <cell r="X38"/>
          <cell r="Y38"/>
          <cell r="Z38" t="str">
            <v xml:space="preserve">Ingrédient : thé blanc*. *Issu de l'agriculture biologique. </v>
          </cell>
          <cell r="AA38" t="str">
            <v>/</v>
          </cell>
          <cell r="AB38" t="str">
            <v>Membre certifié World Fair Trade Organization, Les Jardins de Gaïa s’engagent pour un commerce plus juste et répondent aux exigences du commerce équitable. Pour en savoir plus : www.wfto.com.</v>
          </cell>
          <cell r="AC38">
            <v>50</v>
          </cell>
          <cell r="AD38"/>
          <cell r="AE38"/>
          <cell r="AF38">
            <v>2</v>
          </cell>
          <cell r="AG38">
            <v>25</v>
          </cell>
          <cell r="AH38">
            <v>3582810640265</v>
          </cell>
          <cell r="AI38"/>
          <cell r="AJ38"/>
          <cell r="AK38"/>
          <cell r="AL38"/>
          <cell r="AM38" t="str">
            <v>Canguan Yisheng organic tea specialized cooperative</v>
          </cell>
        </row>
        <row r="39">
          <cell r="A39" t="str">
            <v>TA7251</v>
          </cell>
          <cell r="B39"/>
          <cell r="C39"/>
          <cell r="D39"/>
          <cell r="E39"/>
          <cell r="F39"/>
          <cell r="G39"/>
          <cell r="H39" t="str">
            <v>LES GRANDS CLASSIQUES</v>
          </cell>
          <cell r="I39"/>
          <cell r="J39" t="str">
            <v>Baiser gourmand</v>
          </cell>
          <cell r="K39" t="str">
            <v>Fraise - Framboise</v>
          </cell>
          <cell r="L39" t="str">
            <v>Thé noir aromatisé</v>
          </cell>
          <cell r="M39" t="str">
            <v>Vietnam - Sri Lanka - Inde</v>
          </cell>
          <cell r="N39" t="str">
            <v>AB</v>
          </cell>
          <cell r="O39" t="str">
            <v>WFTO</v>
          </cell>
          <cell r="P39" t="str">
            <v>/</v>
          </cell>
          <cell r="Q39" t="str">
            <v>/</v>
          </cell>
          <cell r="R39" t="str">
            <v>/</v>
          </cell>
          <cell r="S39" t="str">
            <v>/</v>
          </cell>
          <cell r="T39" t="str">
            <v>Agriculture UE/non UE</v>
          </cell>
          <cell r="U39"/>
          <cell r="V39" t="str">
            <v>Doux baiser, cette union de la fraise et de la framboise agrémentée de feuilles de fraisiers, accompagne avec sensualité une sélection de thés noirs à la fois doux et ronds. A savourer tendrement</v>
          </cell>
          <cell r="W39"/>
          <cell r="X39" t="str">
            <v>Cette union sensuelle de la fraise et de la framboise avec un mariage savoureux de thés noirs est délicatement agrémentée de feuilles de fraisier. Un véritable baiser gourmand qui vous laissera une note douce et ronde en bouche. À savourer tendrement seul ou accompagné…</v>
          </cell>
          <cell r="Y39"/>
          <cell r="Z39" t="str">
            <v>Ingrédients : thé noir*, arômes naturels de (framboise* 3%, fraise* 2%, myrtille*), morceaux de fruits (framboise*, fraise*) 2%, feuilles de fraisier*, pétales de rose*. *Issu de l'agriculture biologique.</v>
          </cell>
          <cell r="AA39" t="str">
            <v>/</v>
          </cell>
          <cell r="AB39" t="str">
            <v>Membre certifié World Fair Trade Organization, Les Jardins de Gaïa s’engagent pour un commerce plus juste et répondent aux exigences du commerce équitable. Pour en savoir plus : www.wfto.com.</v>
          </cell>
          <cell r="AC39">
            <v>1.5</v>
          </cell>
          <cell r="AD39" t="str">
            <v>3-4</v>
          </cell>
          <cell r="AE39">
            <v>90</v>
          </cell>
          <cell r="AF39">
            <v>2</v>
          </cell>
          <cell r="AG39">
            <v>750</v>
          </cell>
          <cell r="AH39">
            <v>3582810472514</v>
          </cell>
          <cell r="AI39" t="str">
            <v>/</v>
          </cell>
          <cell r="AJ39" t="str">
            <v>INTERNE</v>
          </cell>
          <cell r="AK39" t="str">
            <v>INTERNE</v>
          </cell>
          <cell r="AL39" t="str">
            <v>/</v>
          </cell>
          <cell r="AM39" t="str">
            <v>Création maison</v>
          </cell>
        </row>
        <row r="40">
          <cell r="A40" t="str">
            <v>TA7252</v>
          </cell>
          <cell r="B40"/>
          <cell r="C40" t="str">
            <v>X</v>
          </cell>
          <cell r="D40" t="str">
            <v>x</v>
          </cell>
          <cell r="E40" t="str">
            <v>x</v>
          </cell>
          <cell r="F40" t="str">
            <v>GRAI</v>
          </cell>
          <cell r="G40">
            <v>45383</v>
          </cell>
          <cell r="H40" t="str">
            <v>LES GRANDS CLASSIQUES</v>
          </cell>
          <cell r="I40"/>
          <cell r="J40" t="str">
            <v>Baiser gourmand</v>
          </cell>
          <cell r="K40" t="str">
            <v>Fraise - Framboise</v>
          </cell>
          <cell r="L40" t="str">
            <v>Thé noir aromatisé</v>
          </cell>
          <cell r="M40" t="str">
            <v>Vietnam - Sri Lanka - Inde</v>
          </cell>
          <cell r="N40" t="str">
            <v>AB</v>
          </cell>
          <cell r="O40" t="str">
            <v>WFTO</v>
          </cell>
          <cell r="P40" t="str">
            <v>/</v>
          </cell>
          <cell r="Q40" t="str">
            <v>/</v>
          </cell>
          <cell r="R40" t="str">
            <v>/</v>
          </cell>
          <cell r="S40" t="str">
            <v>/</v>
          </cell>
          <cell r="T40" t="str">
            <v>Agriculture UE/non UE</v>
          </cell>
          <cell r="U40"/>
          <cell r="V40" t="str">
            <v>Doux baiser, cette union de la fraise et de la framboise agrémentée de feuilles de fraisiers, accompagne avec sensualité une sélection de thés noirs à la fois doux et ronds. A savourer tendrement</v>
          </cell>
          <cell r="W40"/>
          <cell r="X40" t="str">
            <v>Cette union sensuelle de la fraise et de la framboise avec un mariage savoureux de thés noirs est délicatement agrémentée de feuilles de fraisier. Un véritable baiser gourmand qui vous laissera une note douce et ronde en bouche. À savourer tendrement seul ou accompagné…</v>
          </cell>
          <cell r="Y40"/>
          <cell r="Z40" t="str">
            <v>Ingrédients : thé noir*, arômes naturels de (framboise* 3%, fraise* 2%, myrtille*), morceaux de fruits (framboise*, fraise*) 2%, feuilles de fraisier*, pétales de rose*. *Issu de l'agriculture biologique.</v>
          </cell>
          <cell r="AA40" t="str">
            <v>/</v>
          </cell>
          <cell r="AB40" t="str">
            <v>Membre certifié World Fair Trade Organization, Les Jardins de Gaïa s’engagent pour un commerce plus juste et répondent aux exigences du commerce équitable. Pour en savoir plus : www.wfto.com.</v>
          </cell>
          <cell r="AC40">
            <v>100</v>
          </cell>
          <cell r="AD40" t="str">
            <v>3-4</v>
          </cell>
          <cell r="AE40">
            <v>90</v>
          </cell>
          <cell r="AF40">
            <v>2</v>
          </cell>
          <cell r="AG40">
            <v>50</v>
          </cell>
          <cell r="AH40">
            <v>3582810472521</v>
          </cell>
          <cell r="AI40" t="str">
            <v>/</v>
          </cell>
          <cell r="AJ40" t="str">
            <v>ETNA725V5</v>
          </cell>
          <cell r="AK40" t="str">
            <v>ETNA725V5</v>
          </cell>
          <cell r="AL40" t="str">
            <v>ETCNA7252V5</v>
          </cell>
          <cell r="AM40" t="str">
            <v>Coopérative Ban Lien Organic Tea Cooperative - MOPA/SOFA - Assam - Singell/Selimbong</v>
          </cell>
        </row>
        <row r="41">
          <cell r="A41" t="str">
            <v>TUTA7252</v>
          </cell>
          <cell r="B41"/>
          <cell r="C41"/>
          <cell r="D41"/>
          <cell r="E41"/>
          <cell r="F41"/>
          <cell r="G41"/>
          <cell r="H41" t="str">
            <v>LES GRANDS CLASSIQUES</v>
          </cell>
          <cell r="I41"/>
          <cell r="J41" t="str">
            <v>Baiser gourmand</v>
          </cell>
          <cell r="K41" t="str">
            <v>Fraise - Framboise</v>
          </cell>
          <cell r="L41" t="str">
            <v>Thé noir aromatisé</v>
          </cell>
          <cell r="M41" t="str">
            <v>Vietnam - Sri Lanka - Inde</v>
          </cell>
          <cell r="N41" t="str">
            <v>AB</v>
          </cell>
          <cell r="O41" t="str">
            <v>WFTO</v>
          </cell>
          <cell r="P41" t="str">
            <v>/</v>
          </cell>
          <cell r="Q41" t="str">
            <v>/</v>
          </cell>
          <cell r="R41" t="str">
            <v>/</v>
          </cell>
          <cell r="S41" t="str">
            <v>/</v>
          </cell>
          <cell r="T41" t="str">
            <v>Agriculture UE/non UE</v>
          </cell>
          <cell r="U41"/>
          <cell r="V41" t="str">
            <v>Doux baiser, cette union de la fraise et de la framboise agrémentée de feuilles de fraisiers, accompagne avec sensualité une sélection de thés noirs à la fois doux et ronds. A savourer tendrement</v>
          </cell>
          <cell r="W41"/>
          <cell r="X41" t="str">
            <v>Cette union sensuelle de la fraise et de la framboise avec un mariage savoureux de thés noirs est délicatement agrémentée de feuilles de fraisier. Un véritable baiser gourmand qui vous laissera une note douce et ronde en bouche. À savourer tendrement seul ou accompagné…</v>
          </cell>
          <cell r="Y41"/>
          <cell r="Z41" t="str">
            <v>Ingrédients : thé noir*, arômes naturels de (framboise* 3%, fraise* 2%, myrtille*), morceaux de fruits (framboise*, fraise*) 2%, feuilles de fraisier*, pétales de rose*. *Issu de l'agriculture biologique.</v>
          </cell>
          <cell r="AA41" t="str">
            <v>/</v>
          </cell>
          <cell r="AB41" t="str">
            <v>Membre certifié World Fair Trade Organization, Les Jardins de Gaïa s’engagent pour un commerce plus juste et répondent aux exigences du commerce équitable. Pour en savoir plus : www.wfto.com.</v>
          </cell>
          <cell r="AC41">
            <v>100</v>
          </cell>
          <cell r="AD41" t="str">
            <v>3-4</v>
          </cell>
          <cell r="AE41">
            <v>90</v>
          </cell>
          <cell r="AF41">
            <v>2</v>
          </cell>
          <cell r="AG41">
            <v>50</v>
          </cell>
          <cell r="AH41">
            <v>3582815672520</v>
          </cell>
          <cell r="AI41" t="str">
            <v>/</v>
          </cell>
          <cell r="AJ41" t="str">
            <v>ETTUNA7252V5</v>
          </cell>
          <cell r="AK41" t="str">
            <v>ETTUNA7252V5</v>
          </cell>
          <cell r="AL41" t="str">
            <v>/</v>
          </cell>
          <cell r="AM41" t="str">
            <v>Coopérative Ban Lien Organic Tea Cooperative - MOPA/SOFA - Assam - Singell/Selimbong</v>
          </cell>
        </row>
        <row r="42">
          <cell r="A42" t="str">
            <v>TN3181</v>
          </cell>
          <cell r="B42"/>
          <cell r="C42"/>
          <cell r="D42"/>
          <cell r="E42"/>
          <cell r="F42"/>
          <cell r="G42"/>
          <cell r="H42" t="str">
            <v>LES GRANDS CLASSIQUES</v>
          </cell>
          <cell r="I42"/>
          <cell r="J42" t="str">
            <v>Balade dans l’Himalaya</v>
          </cell>
          <cell r="K42" t="str">
            <v>Jardin de Selimbong</v>
          </cell>
          <cell r="L42" t="str">
            <v>Thé noir d'origine</v>
          </cell>
          <cell r="M42" t="str">
            <v>Inde - Darjeeling</v>
          </cell>
          <cell r="N42" t="str">
            <v>AB</v>
          </cell>
          <cell r="O42" t="str">
            <v>WFTO</v>
          </cell>
          <cell r="P42" t="str">
            <v>D</v>
          </cell>
          <cell r="Q42" t="str">
            <v>/</v>
          </cell>
          <cell r="R42" t="str">
            <v>IGP</v>
          </cell>
          <cell r="S42" t="str">
            <v>/</v>
          </cell>
          <cell r="T42" t="str">
            <v>Agriculture Inde</v>
          </cell>
          <cell r="U42"/>
          <cell r="V42" t="str">
            <v>Les nuits fraîches et brumeuses des contreforts de l’Himalaya ont donné à cette récolte de printemps son arôme si particulier. Ce mélange de thés libère une liqueur dorée et fruitée, au parfum floral très prononcé. Infusion délicate et fraîche à savourer en journée.</v>
          </cell>
          <cell r="W42"/>
          <cell r="X42" t="str">
            <v>Composé d’un mariage de thés noirs récoltés au printemps sur les contreforts de l’Himalaya, ce Darjeeling produit en agriculture biodynamique est un excellent choix pour le quotidien ! Sa liqueur dorée offre des effluves floraux intenses et des saveurs fruitées riches et équilibrées.</v>
          </cell>
          <cell r="Y42"/>
          <cell r="Z42" t="str">
            <v xml:space="preserve">Ingrédient : thé noir**. **Issu de l'agriculture biologique et biodynamique. demeter est la marque des produits issus de l'agriculture biodynamique certifiée. </v>
          </cell>
          <cell r="AA42" t="str">
            <v>/</v>
          </cell>
          <cell r="AB42" t="str">
            <v>Membre certifié World Fair Trade Organization, Les Jardins de Gaïa s’engagent pour un commerce plus juste et répondent aux exigences du commerce équitable. Pour en savoir plus : www.wfto.com.</v>
          </cell>
          <cell r="AC42">
            <v>1.5</v>
          </cell>
          <cell r="AD42" t="str">
            <v>3</v>
          </cell>
          <cell r="AE42" t="str">
            <v>85-90</v>
          </cell>
          <cell r="AF42">
            <v>2</v>
          </cell>
          <cell r="AG42">
            <v>750</v>
          </cell>
          <cell r="AH42">
            <v>3582810231814</v>
          </cell>
          <cell r="AI42" t="str">
            <v>/</v>
          </cell>
          <cell r="AJ42" t="str">
            <v>INTERNE</v>
          </cell>
          <cell r="AK42" t="str">
            <v>INTERNE</v>
          </cell>
          <cell r="AL42" t="str">
            <v>/</v>
          </cell>
          <cell r="AM42" t="str">
            <v>Selimbong Tea Estate</v>
          </cell>
        </row>
        <row r="43">
          <cell r="A43" t="str">
            <v>TN3182</v>
          </cell>
          <cell r="B43"/>
          <cell r="C43" t="str">
            <v>X</v>
          </cell>
          <cell r="D43" t="str">
            <v>x</v>
          </cell>
          <cell r="E43" t="str">
            <v>x</v>
          </cell>
          <cell r="F43" t="str">
            <v>GRAI</v>
          </cell>
          <cell r="G43">
            <v>45383</v>
          </cell>
          <cell r="H43" t="str">
            <v>LES GRANDS CLASSIQUES</v>
          </cell>
          <cell r="I43"/>
          <cell r="J43" t="str">
            <v>Balade dans l’Himalaya</v>
          </cell>
          <cell r="K43" t="str">
            <v>Jardin de Selimbong</v>
          </cell>
          <cell r="L43" t="str">
            <v>Thé noir d'origine</v>
          </cell>
          <cell r="M43" t="str">
            <v>Inde - Darjeeling</v>
          </cell>
          <cell r="N43" t="str">
            <v>AB</v>
          </cell>
          <cell r="O43" t="str">
            <v>WFTO</v>
          </cell>
          <cell r="P43" t="str">
            <v>D</v>
          </cell>
          <cell r="Q43" t="str">
            <v>/</v>
          </cell>
          <cell r="R43" t="str">
            <v>IGP</v>
          </cell>
          <cell r="S43" t="str">
            <v>/</v>
          </cell>
          <cell r="T43" t="str">
            <v>Agriculture Inde</v>
          </cell>
          <cell r="U43"/>
          <cell r="V43" t="str">
            <v>Les nuits fraîches et brumeuses des contreforts de l’Himalaya ont donné à cette récolte de printemps son arôme si particulier. Ce mélange de thés libère une liqueur dorée et fruitée, au parfum floral très prononcé. Infusion délicate et fraîche à savourer en journée.</v>
          </cell>
          <cell r="W43"/>
          <cell r="X43" t="str">
            <v>Composé d’un mariage de thés noirs récoltés au printemps sur les contreforts de l’Himalaya, ce Darjeeling produit en agriculture biodynamique est un excellent choix pour le quotidien ! Sa liqueur dorée offre des effluves floraux intenses et des saveurs fruitées riches et équilibrées.</v>
          </cell>
          <cell r="Y43"/>
          <cell r="Z43" t="str">
            <v xml:space="preserve">Ingrédient : thé noir**. **Issu de l'agriculture biologique et biodynamique. demeter est la marque des produits issus de l'agriculture biodynamique certifiée. </v>
          </cell>
          <cell r="AA43" t="str">
            <v>/</v>
          </cell>
          <cell r="AB43" t="str">
            <v>Membre certifié World Fair Trade Organization, Les Jardins de Gaïa s’engagent pour un commerce plus juste et répondent aux exigences du commerce équitable. Pour en savoir plus : www.wfto.com.</v>
          </cell>
          <cell r="AC43">
            <v>100</v>
          </cell>
          <cell r="AD43" t="str">
            <v>3</v>
          </cell>
          <cell r="AE43" t="str">
            <v>85-90</v>
          </cell>
          <cell r="AF43">
            <v>2</v>
          </cell>
          <cell r="AG43">
            <v>50</v>
          </cell>
          <cell r="AH43">
            <v>3582810231821</v>
          </cell>
          <cell r="AI43" t="str">
            <v>/</v>
          </cell>
          <cell r="AJ43" t="str">
            <v>ETNN318</v>
          </cell>
          <cell r="AK43" t="str">
            <v>ETNN318V5</v>
          </cell>
          <cell r="AL43" t="str">
            <v>ETCNN3182V5</v>
          </cell>
          <cell r="AM43" t="str">
            <v>Selimbong Tea Estate</v>
          </cell>
        </row>
        <row r="44">
          <cell r="A44" t="str">
            <v>TN5457</v>
          </cell>
          <cell r="B44"/>
          <cell r="C44"/>
          <cell r="D44"/>
          <cell r="E44"/>
          <cell r="F44"/>
          <cell r="G44"/>
          <cell r="H44" t="str">
            <v>LES GRANDS CLASSIQUES</v>
          </cell>
          <cell r="I44"/>
          <cell r="J44" t="str">
            <v>Banana Black</v>
          </cell>
          <cell r="K44" t="str">
            <v>/</v>
          </cell>
          <cell r="L44" t="str">
            <v>Thé noir d'origine</v>
          </cell>
          <cell r="M44" t="str">
            <v>Vietnam - Yen Bai</v>
          </cell>
          <cell r="N44" t="str">
            <v>AB</v>
          </cell>
          <cell r="O44" t="str">
            <v>WFTO</v>
          </cell>
          <cell r="P44" t="str">
            <v>/</v>
          </cell>
          <cell r="Q44" t="str">
            <v>WT</v>
          </cell>
          <cell r="R44" t="str">
            <v>/</v>
          </cell>
          <cell r="S44" t="str">
            <v>/</v>
          </cell>
          <cell r="T44" t="str">
            <v>Agriculture Vietnam</v>
          </cell>
          <cell r="U44"/>
          <cell r="V44" t="str">
            <v>Un thé noir original ! Les feuilles et les nombreux bourgeons prélevés sur des théiers anciens du nord Vietnam ont été transformés dans des paniers de bambou tapissés de feuilles de bananiers fraîches. L’attaque boisée et son soupçon d’amertume laissent vite place à un éventail de notes sucrées, sauvages et épicées dont le souvenir reste agréablement en bouche.</v>
          </cell>
          <cell r="W44" t="str">
            <v>S17</v>
          </cell>
          <cell r="X44" t="str">
            <v>Les feuilles et les nombreux bourgeons de théiers anciens de ce thé noir ont été mis en contact avec des feuilles de bananiers fraîches. Le résultat est une belle attaque boisée suivie un éventail complexe de notes sucrées, sauvages et épicées. Un thé aussi gourmand qu’original !</v>
          </cell>
          <cell r="Y44"/>
          <cell r="Z44" t="str">
            <v>Ingrédient : thé noir*. *Issu de l'agriculture biologique.</v>
          </cell>
          <cell r="AA44" t="str">
            <v>/</v>
          </cell>
          <cell r="AB44" t="str">
            <v>Membre certifié World Fair Trade Organization, Les Jardins de Gaïa s’engagent pour un commerce plus juste et répondent aux exigences du commerce équitable. Pour en savoir plus : www.wfto.com.</v>
          </cell>
          <cell r="AC44">
            <v>1</v>
          </cell>
          <cell r="AD44" t="str">
            <v>3-4</v>
          </cell>
          <cell r="AE44">
            <v>95</v>
          </cell>
          <cell r="AF44">
            <v>2</v>
          </cell>
          <cell r="AG44">
            <v>500</v>
          </cell>
          <cell r="AH44">
            <v>3582810254578</v>
          </cell>
          <cell r="AI44" t="str">
            <v>/</v>
          </cell>
          <cell r="AJ44" t="str">
            <v>INTERNE</v>
          </cell>
          <cell r="AK44" t="str">
            <v>INTERNE</v>
          </cell>
          <cell r="AL44" t="str">
            <v>/</v>
          </cell>
          <cell r="AM44" t="str">
            <v>Van Chan Bio Farmers Club</v>
          </cell>
        </row>
        <row r="45">
          <cell r="A45" t="str">
            <v>TN5452</v>
          </cell>
          <cell r="B45"/>
          <cell r="C45" t="str">
            <v>X</v>
          </cell>
          <cell r="D45" t="str">
            <v>X</v>
          </cell>
          <cell r="E45" t="str">
            <v>X</v>
          </cell>
          <cell r="F45" t="str">
            <v>BRODART</v>
          </cell>
          <cell r="G45"/>
          <cell r="H45" t="str">
            <v>LES GRANDS CLASSIQUES</v>
          </cell>
          <cell r="I45"/>
          <cell r="J45" t="str">
            <v>Banana Black</v>
          </cell>
          <cell r="K45" t="str">
            <v>/</v>
          </cell>
          <cell r="L45" t="str">
            <v>Thé noir d'origine</v>
          </cell>
          <cell r="M45" t="str">
            <v>Vietnam - Yen Bai</v>
          </cell>
          <cell r="N45" t="str">
            <v>AB</v>
          </cell>
          <cell r="O45" t="str">
            <v>WFTO</v>
          </cell>
          <cell r="P45" t="str">
            <v>/</v>
          </cell>
          <cell r="Q45" t="str">
            <v>WT</v>
          </cell>
          <cell r="R45" t="str">
            <v>/</v>
          </cell>
          <cell r="S45" t="str">
            <v>/</v>
          </cell>
          <cell r="T45" t="str">
            <v>Agriculture Vietnam</v>
          </cell>
          <cell r="U45"/>
          <cell r="V45" t="str">
            <v>Un thé noir original ! Les feuilles et les nombreux bourgeons prélevés sur des théiers anciens du nord Vietnam ont été transformés dans des paniers de bambou tapissés de feuilles de bananiers fraîches. L’attaque boisée et son soupçon d’amertume laissent vite place à un éventail de notes sucrées, sauvages et épicées dont le souvenir reste agréablement en bouche.</v>
          </cell>
          <cell r="W45" t="str">
            <v>S17</v>
          </cell>
          <cell r="X45" t="str">
            <v>Les feuilles et les nombreux bourgeons de théiers anciens de ce thé noir ont été mis en contact avec des feuilles de bananiers fraîches. Le résultat est une belle attaque boisée suivie un éventail complexe de notes sucrées, sauvages et épicées. Un thé aussi gourmand qu’original !</v>
          </cell>
          <cell r="Y45"/>
          <cell r="Z45" t="str">
            <v>Ingrédient : thé noir*. *Issu de l'agriculture biologique.</v>
          </cell>
          <cell r="AA45" t="str">
            <v>/</v>
          </cell>
          <cell r="AB45" t="str">
            <v>Membre certifié World Fair Trade Organization, Les Jardins de Gaïa s’engagent pour un commerce plus juste et répondent aux exigences du commerce équitable. Pour en savoir plus : www.wfto.com.</v>
          </cell>
          <cell r="AC45">
            <v>100</v>
          </cell>
          <cell r="AD45" t="str">
            <v>3-4</v>
          </cell>
          <cell r="AE45">
            <v>95</v>
          </cell>
          <cell r="AF45">
            <v>2</v>
          </cell>
          <cell r="AG45">
            <v>50</v>
          </cell>
          <cell r="AH45">
            <v>3582810254523</v>
          </cell>
          <cell r="AI45" t="str">
            <v>/</v>
          </cell>
          <cell r="AJ45" t="str">
            <v>ETNN545V5</v>
          </cell>
          <cell r="AK45" t="str">
            <v>ETNN545V5</v>
          </cell>
          <cell r="AL45" t="str">
            <v>ETCNN5452V5</v>
          </cell>
          <cell r="AM45" t="str">
            <v>Van Chan Bio Farmers Club</v>
          </cell>
        </row>
        <row r="46">
          <cell r="A46" t="str">
            <v>TN3261</v>
          </cell>
          <cell r="B46"/>
          <cell r="C46"/>
          <cell r="D46"/>
          <cell r="E46"/>
          <cell r="F46"/>
          <cell r="G46"/>
          <cell r="H46" t="str">
            <v>LES GRANDS CLASSIQUES</v>
          </cell>
          <cell r="I46"/>
          <cell r="J46" t="str">
            <v xml:space="preserve">Banaspaty </v>
          </cell>
          <cell r="K46" t="str">
            <v>TGFOP1</v>
          </cell>
          <cell r="L46" t="str">
            <v>Thé noir d'origine</v>
          </cell>
          <cell r="M46" t="str">
            <v>Inde - Assam</v>
          </cell>
          <cell r="N46" t="str">
            <v>AB</v>
          </cell>
          <cell r="O46" t="str">
            <v>WFTO</v>
          </cell>
          <cell r="P46" t="str">
            <v>/</v>
          </cell>
          <cell r="Q46" t="str">
            <v>/</v>
          </cell>
          <cell r="R46" t="str">
            <v>/</v>
          </cell>
          <cell r="S46" t="str">
            <v>/</v>
          </cell>
          <cell r="T46" t="str">
            <v>Agriculture Inde</v>
          </cell>
          <cell r="U46"/>
          <cell r="V46" t="str">
            <v>Belle récolte aux petites feuilles régulières parsemées de pointes dorées. Son infusion cuivrée et brillante libère une liqueur ronde et savoureuse au goût malté et épicé caractéristique des bons thés d’Assam. Thé fin d'une belle plénitude.</v>
          </cell>
          <cell r="W46" t="str">
            <v>S27</v>
          </cell>
          <cell r="X46" t="str">
            <v>Cette belle récolte de thé noir aux petites feuilles régulières parsemées de pointes dorées offre une infusion brillante aux jolies nuances cuivrées. Sa rondeur met en valeur ses accents épicés et maltés qui font tout le charme des bonnes productions de l’Assam. Un thé à la fois doux et expressif.</v>
          </cell>
          <cell r="Y46"/>
          <cell r="Z46" t="str">
            <v>Ingrédient : thé noir*. *Issu de l'agriculture biologique.</v>
          </cell>
          <cell r="AA46" t="str">
            <v>/</v>
          </cell>
          <cell r="AB46" t="str">
            <v>Membre certifié World Fair Trade Organization, Les Jardins de Gaïa s’engagent pour un commerce plus juste et répondent aux exigences du commerce équitable. Pour en savoir plus : www.wfto.com.</v>
          </cell>
          <cell r="AC46">
            <v>1.5</v>
          </cell>
          <cell r="AD46" t="str">
            <v>3-4</v>
          </cell>
          <cell r="AE46">
            <v>95</v>
          </cell>
          <cell r="AF46">
            <v>2</v>
          </cell>
          <cell r="AG46">
            <v>750</v>
          </cell>
          <cell r="AH46">
            <v>3582810232613</v>
          </cell>
          <cell r="AI46" t="str">
            <v>/</v>
          </cell>
          <cell r="AJ46" t="str">
            <v>INTERNE</v>
          </cell>
          <cell r="AK46" t="str">
            <v>INTERNE</v>
          </cell>
          <cell r="AL46" t="str">
            <v>/</v>
          </cell>
          <cell r="AM46" t="str">
            <v>Banaspaty Tea Estate</v>
          </cell>
        </row>
        <row r="47">
          <cell r="A47" t="str">
            <v>TN3262</v>
          </cell>
          <cell r="B47"/>
          <cell r="C47"/>
          <cell r="D47"/>
          <cell r="E47"/>
          <cell r="F47"/>
          <cell r="G47"/>
          <cell r="H47" t="str">
            <v>LES GRANDS CLASSIQUES</v>
          </cell>
          <cell r="I47"/>
          <cell r="J47" t="str">
            <v xml:space="preserve">Banaspaty </v>
          </cell>
          <cell r="K47" t="str">
            <v>TGFOP1</v>
          </cell>
          <cell r="L47" t="str">
            <v>Thé noir d'origine</v>
          </cell>
          <cell r="M47" t="str">
            <v>Inde - Assam</v>
          </cell>
          <cell r="N47" t="str">
            <v>AB</v>
          </cell>
          <cell r="O47" t="str">
            <v>WFTO</v>
          </cell>
          <cell r="P47" t="str">
            <v>/</v>
          </cell>
          <cell r="Q47" t="str">
            <v>/</v>
          </cell>
          <cell r="R47" t="str">
            <v>/</v>
          </cell>
          <cell r="S47" t="str">
            <v>/</v>
          </cell>
          <cell r="T47" t="str">
            <v>Agriculture Inde</v>
          </cell>
          <cell r="U47"/>
          <cell r="V47" t="str">
            <v>Belle récolte aux petites feuilles régulières parsemées de pointes dorées. Son infusion cuivrée et brillante libère une liqueur ronde et savoureuse au goût malté et épicé caractéristique des bons thés d’Assam. Thé fin d'une belle plénitude.</v>
          </cell>
          <cell r="W47" t="str">
            <v>S24</v>
          </cell>
          <cell r="X47" t="str">
            <v>Cette belle récolte de thé noir aux petites feuilles régulières parsemées de pointes dorées offre une infusion brillante aux jolies nuances cuivrées. Sa rondeur met en valeur ses accents épicés et maltés qui font tout le charme des bonnes productions de l’Assam. Un thé à la fois doux et expressif.</v>
          </cell>
          <cell r="Y47"/>
          <cell r="Z47" t="str">
            <v>Ingrédient : thé noir*. *Issu de l'agriculture biologique.</v>
          </cell>
          <cell r="AA47" t="str">
            <v>/</v>
          </cell>
          <cell r="AB47" t="str">
            <v>Membre certifié World Fair Trade Organization, Les Jardins de Gaïa s’engagent pour un commerce plus juste et répondent aux exigences du commerce équitable. Pour en savoir plus : www.wfto.com.</v>
          </cell>
          <cell r="AC47">
            <v>100</v>
          </cell>
          <cell r="AD47" t="str">
            <v>3-4</v>
          </cell>
          <cell r="AE47">
            <v>95</v>
          </cell>
          <cell r="AF47">
            <v>2</v>
          </cell>
          <cell r="AG47">
            <v>50</v>
          </cell>
          <cell r="AH47">
            <v>3582810232620</v>
          </cell>
          <cell r="AI47" t="str">
            <v>/</v>
          </cell>
          <cell r="AJ47" t="str">
            <v>ETNN326</v>
          </cell>
          <cell r="AK47" t="str">
            <v>ETNN326V5</v>
          </cell>
          <cell r="AL47" t="str">
            <v>ETCNN3262V5</v>
          </cell>
          <cell r="AM47" t="str">
            <v>Banaspaty Tea Estate</v>
          </cell>
        </row>
        <row r="48">
          <cell r="A48" t="str">
            <v>TO1185</v>
          </cell>
          <cell r="B48"/>
          <cell r="C48"/>
          <cell r="D48"/>
          <cell r="E48"/>
          <cell r="F48"/>
          <cell r="G48"/>
          <cell r="H48" t="str">
            <v>LES PRECIEUX DU JAPON ET DE TAIWAN</v>
          </cell>
          <cell r="I48"/>
          <cell r="J48" t="str">
            <v>Baozhong</v>
          </cell>
          <cell r="K48" t="str">
            <v>包种</v>
          </cell>
          <cell r="L48" t="str">
            <v>Thé wulong d'origine</v>
          </cell>
          <cell r="M48" t="str">
            <v>Taïwan - New Taipei</v>
          </cell>
          <cell r="N48" t="str">
            <v>AB</v>
          </cell>
          <cell r="O48" t="str">
            <v>/</v>
          </cell>
          <cell r="P48" t="str">
            <v>/</v>
          </cell>
          <cell r="Q48" t="str">
            <v>/</v>
          </cell>
          <cell r="R48" t="str">
            <v>/</v>
          </cell>
          <cell r="S48" t="str">
            <v>/</v>
          </cell>
          <cell r="T48" t="str">
            <v>Agriculture Taïwan</v>
          </cell>
          <cell r="U48"/>
          <cell r="V48" t="str">
            <v xml:space="preserve">Ces jolies feuilles roulées en forme de perles ont été torréfiées par étapes successives selon la méthode traditionnelle taïwanaise et délivrent une liqueur très longue en bouche, aux saveurs florales, lactées et de fruits à coque particulièrement intenses. </v>
          </cell>
          <cell r="W48" t="str">
            <v>S21</v>
          </cell>
          <cell r="X48" t="str">
            <v xml:space="preserve">Composé de feuilles roulées en forme de perles, ce thé wulong taïwanais faiblement oxydé offre la légèreté et la fraîcheur propre à cette spécialité de la région de Pinglin. Il délivre une liqueur souple et désaltérante aux notes florales, lactées et de fruits à coque qui raviront les amateurs. </v>
          </cell>
          <cell r="Y48"/>
          <cell r="Z48" t="str">
            <v>Ingrédient : thé wulong*. *Issu de l'agriculture biologique.</v>
          </cell>
          <cell r="AA48" t="str">
            <v>/</v>
          </cell>
          <cell r="AB48" t="str">
            <v>/</v>
          </cell>
          <cell r="AC48">
            <v>500</v>
          </cell>
          <cell r="AD48" t="str">
            <v>4</v>
          </cell>
          <cell r="AE48">
            <v>95</v>
          </cell>
          <cell r="AF48">
            <v>2</v>
          </cell>
          <cell r="AG48">
            <v>250</v>
          </cell>
          <cell r="AH48">
            <v>3582810711859</v>
          </cell>
          <cell r="AI48" t="str">
            <v>Plusieurs infusions</v>
          </cell>
          <cell r="AJ48" t="str">
            <v>INTERNE</v>
          </cell>
          <cell r="AK48" t="str">
            <v>INTERNE</v>
          </cell>
          <cell r="AL48" t="str">
            <v>/</v>
          </cell>
          <cell r="AM48" t="str">
            <v>The JingYuan Tea Garden</v>
          </cell>
        </row>
        <row r="49">
          <cell r="A49" t="str">
            <v>TO1185</v>
          </cell>
          <cell r="B49"/>
          <cell r="C49"/>
          <cell r="D49"/>
          <cell r="E49"/>
          <cell r="F49"/>
          <cell r="G49"/>
          <cell r="H49" t="str">
            <v>LES PRECIEUX DU JAPON ET DE TAIWAN</v>
          </cell>
          <cell r="I49"/>
          <cell r="J49" t="str">
            <v>Baozhong</v>
          </cell>
          <cell r="K49" t="str">
            <v>包种</v>
          </cell>
          <cell r="L49" t="str">
            <v>Thé wulong d'origine</v>
          </cell>
          <cell r="M49" t="str">
            <v>Taïwan - New Taipei</v>
          </cell>
          <cell r="N49" t="str">
            <v>AB</v>
          </cell>
          <cell r="O49" t="str">
            <v>/</v>
          </cell>
          <cell r="P49" t="str">
            <v>/</v>
          </cell>
          <cell r="Q49" t="str">
            <v>/</v>
          </cell>
          <cell r="R49" t="str">
            <v>/</v>
          </cell>
          <cell r="S49" t="str">
            <v>/</v>
          </cell>
          <cell r="T49" t="str">
            <v>Agriculture Taïwan</v>
          </cell>
          <cell r="U49"/>
          <cell r="V49" t="str">
            <v xml:space="preserve">Ces jolies feuilles roulées en forme de perles ont été torréfiées par étapes successives selon la méthode traditionnelle taïwanaise et délivrent une liqueur très longue en bouche, aux saveurs florales, lactées et de fruits à coque particulièrement intenses. </v>
          </cell>
          <cell r="W49" t="str">
            <v>S21</v>
          </cell>
          <cell r="X49" t="str">
            <v xml:space="preserve">Composé de feuilles roulées en forme de perles, ce thé wulong taïwanais faiblement oxydé offre la légèreté et la fraîcheur propre à cette spécialité de la région de Pinglin. Il délivre une liqueur souple et désaltérante aux notes florales, lactées et de fruits à coque qui raviront les amateurs. </v>
          </cell>
          <cell r="Y49"/>
          <cell r="Z49" t="str">
            <v>Ingrédient : thé wulong*. *Issu de l'agriculture biologique.</v>
          </cell>
          <cell r="AA49" t="str">
            <v>/</v>
          </cell>
          <cell r="AB49" t="str">
            <v>/</v>
          </cell>
          <cell r="AC49">
            <v>25</v>
          </cell>
          <cell r="AD49" t="str">
            <v>4</v>
          </cell>
          <cell r="AE49">
            <v>95</v>
          </cell>
          <cell r="AF49">
            <v>2</v>
          </cell>
          <cell r="AG49">
            <v>12</v>
          </cell>
          <cell r="AH49">
            <v>3582810711866</v>
          </cell>
          <cell r="AI49" t="str">
            <v>Plusieurs infusions</v>
          </cell>
          <cell r="AJ49" t="str">
            <v>ETTUTO1186</v>
          </cell>
          <cell r="AK49" t="str">
            <v>ETTUTO1186V5</v>
          </cell>
          <cell r="AL49" t="str">
            <v>/</v>
          </cell>
          <cell r="AM49" t="str">
            <v>The JingYuan Tea Garden</v>
          </cell>
        </row>
        <row r="50">
          <cell r="A50" t="str">
            <v>TA7141</v>
          </cell>
          <cell r="B50"/>
          <cell r="C50"/>
          <cell r="D50"/>
          <cell r="E50"/>
          <cell r="F50"/>
          <cell r="G50"/>
          <cell r="H50" t="str">
            <v>LES GRANDS CLASSIQUES</v>
          </cell>
          <cell r="I50"/>
          <cell r="J50" t="str">
            <v>Belle des Îles</v>
          </cell>
          <cell r="K50" t="str">
            <v>Vanille</v>
          </cell>
          <cell r="L50" t="str">
            <v>Thé noir aromatisé</v>
          </cell>
          <cell r="M50" t="str">
            <v>Vietnam - Yen Bai</v>
          </cell>
          <cell r="N50" t="str">
            <v>AB</v>
          </cell>
          <cell r="O50" t="str">
            <v>WFTO</v>
          </cell>
          <cell r="P50" t="str">
            <v>/</v>
          </cell>
          <cell r="Q50" t="str">
            <v>/</v>
          </cell>
          <cell r="R50" t="str">
            <v>/</v>
          </cell>
          <cell r="S50" t="str">
            <v>/</v>
          </cell>
          <cell r="T50" t="str">
            <v>Agriculture UE/non UE</v>
          </cell>
          <cell r="U50"/>
          <cell r="V50" t="str">
            <v>Association réjouissante et tout en légèreté de la vanille et du thé noir, à la saveur douce et raffinée. Un véritable régal qui enchante longuement le palais !</v>
          </cell>
          <cell r="W50" t="str">
            <v>S27</v>
          </cell>
          <cell r="X50" t="str">
            <v>Cap sur la gourmandise avec cette recette de thé noir qui nous transporte vers de lointaines contrées exotiques. Au cœur de cette boisson réjouissante se joue la délicieuse rencontre du caractère affirmé du thé avec la douceur suave et raffinée de la vanille. Pour un voyage savoureux et enchanteur…</v>
          </cell>
          <cell r="Y50"/>
          <cell r="Z50" t="str">
            <v>Ingrédients : thé noir*, extrait de vanille* 4%, morceaux de vanille* 2%, pétales de souci*. *Issu de l'agriculture biologique.</v>
          </cell>
          <cell r="AA50" t="str">
            <v>/</v>
          </cell>
          <cell r="AB50" t="str">
            <v>Membre certifié World Fair Trade Organization, Les Jardins de Gaïa s’engagent pour un commerce plus juste et répondent aux exigences du commerce équitable. Pour en savoir plus : www.wfto.com.</v>
          </cell>
          <cell r="AC50">
            <v>1.5</v>
          </cell>
          <cell r="AD50" t="str">
            <v>3-4</v>
          </cell>
          <cell r="AE50">
            <v>90</v>
          </cell>
          <cell r="AF50">
            <v>2</v>
          </cell>
          <cell r="AG50">
            <v>750</v>
          </cell>
          <cell r="AH50">
            <v>3582810471418</v>
          </cell>
          <cell r="AI50" t="str">
            <v>/</v>
          </cell>
          <cell r="AJ50" t="str">
            <v>INTERNE</v>
          </cell>
          <cell r="AK50" t="str">
            <v>INTERNE</v>
          </cell>
          <cell r="AL50" t="str">
            <v>/</v>
          </cell>
          <cell r="AM50" t="str">
            <v>Création maison</v>
          </cell>
        </row>
        <row r="51">
          <cell r="A51" t="str">
            <v>TA7142</v>
          </cell>
          <cell r="B51"/>
          <cell r="C51"/>
          <cell r="D51"/>
          <cell r="E51"/>
          <cell r="F51"/>
          <cell r="G51"/>
          <cell r="H51" t="str">
            <v>LES GRANDS CLASSIQUES</v>
          </cell>
          <cell r="I51"/>
          <cell r="J51" t="str">
            <v>Belle des Îles</v>
          </cell>
          <cell r="K51" t="str">
            <v>Vanille</v>
          </cell>
          <cell r="L51" t="str">
            <v>Thé noir aromatisé</v>
          </cell>
          <cell r="M51" t="str">
            <v>Vietnam - Yen Bai</v>
          </cell>
          <cell r="N51" t="str">
            <v>AB</v>
          </cell>
          <cell r="O51" t="str">
            <v>WFTO</v>
          </cell>
          <cell r="P51" t="str">
            <v>/</v>
          </cell>
          <cell r="Q51" t="str">
            <v>/</v>
          </cell>
          <cell r="R51" t="str">
            <v>/</v>
          </cell>
          <cell r="S51" t="str">
            <v>/</v>
          </cell>
          <cell r="T51" t="str">
            <v>Agriculture UE/non UE</v>
          </cell>
          <cell r="U51"/>
          <cell r="V51" t="str">
            <v>Association réjouissante et tout en légèreté de la vanille et du thé noir, à la saveur douce et raffinée. Un véritable régal qui enchante longuement le palais !</v>
          </cell>
          <cell r="W51" t="str">
            <v>S24</v>
          </cell>
          <cell r="X51" t="str">
            <v>Cap sur la gourmandise avec cette recette de thé noir qui nous transporte vers de lointaines contrées exotiques. Au cœur de cette boisson réjouissante se joue la délicieuse rencontre du caractère affirmé du thé avec la douceur suave et raffinée de la vanille. Pour un voyage savoureux et enchanteur…</v>
          </cell>
          <cell r="Y51"/>
          <cell r="Z51" t="str">
            <v>Ingrédients : thé noir*, extrait de vanille* 4%, morceaux de vanille* 2%, pétales de souci*. *Issu de l'agriculture biologique.</v>
          </cell>
          <cell r="AA51" t="str">
            <v>/</v>
          </cell>
          <cell r="AB51" t="str">
            <v>Membre certifié World Fair Trade Organization, Les Jardins de Gaïa s’engagent pour un commerce plus juste et répondent aux exigences du commerce équitable. Pour en savoir plus : www.wfto.com.</v>
          </cell>
          <cell r="AC51">
            <v>100</v>
          </cell>
          <cell r="AD51" t="str">
            <v>3-4</v>
          </cell>
          <cell r="AE51">
            <v>90</v>
          </cell>
          <cell r="AF51">
            <v>2</v>
          </cell>
          <cell r="AG51">
            <v>50</v>
          </cell>
          <cell r="AH51">
            <v>3582810471425</v>
          </cell>
          <cell r="AI51" t="str">
            <v>/</v>
          </cell>
          <cell r="AJ51" t="str">
            <v>ETNA714V5</v>
          </cell>
          <cell r="AK51" t="str">
            <v>ETNA714V5</v>
          </cell>
          <cell r="AL51" t="str">
            <v>ETCNA7142V5</v>
          </cell>
          <cell r="AM51" t="str">
            <v>Création maison</v>
          </cell>
        </row>
        <row r="52">
          <cell r="A52" t="str">
            <v>TU0012</v>
          </cell>
          <cell r="B52"/>
          <cell r="C52"/>
          <cell r="D52"/>
          <cell r="E52"/>
          <cell r="F52"/>
          <cell r="G52"/>
          <cell r="H52" t="str">
            <v>LES GRANDS CLASSIQUES</v>
          </cell>
          <cell r="I52"/>
          <cell r="J52" t="str">
            <v>Belle du Yunnan</v>
          </cell>
          <cell r="K52" t="str">
            <v>Tuo Cha Pu'er compressé en nid ou Tuocha Pu'er compressé en nid ?</v>
          </cell>
          <cell r="L52" t="str">
            <v>Thé sombre pu'er compressé</v>
          </cell>
          <cell r="M52" t="str">
            <v>Chine - Yunnan</v>
          </cell>
          <cell r="N52" t="str">
            <v>AB</v>
          </cell>
          <cell r="O52" t="str">
            <v>WFTO</v>
          </cell>
          <cell r="P52" t="str">
            <v>/</v>
          </cell>
          <cell r="Q52" t="str">
            <v>WT</v>
          </cell>
          <cell r="R52" t="str">
            <v>/</v>
          </cell>
          <cell r="S52" t="str">
            <v>/</v>
          </cell>
          <cell r="T52" t="str">
            <v>CN-BIO-140
Agriculture Chine</v>
          </cell>
          <cell r="U52"/>
          <cell r="V52" t="str">
            <v>Préparé d’après un savoir-faire ancestral, Belle du Yunnan est un pu’er post fermenté qui libère une tasse rouge brillante d’une saveur douce et parfumée. Ce thé est particulièrement apprécié en Chine pour ses arômes uniques évoquant le cuir et les sous-bois, sa capacité à réduire les graisses et ses vertus antioxydantes</v>
          </cell>
          <cell r="W52" t="str">
            <v>S24</v>
          </cell>
          <cell r="X52" t="str">
            <v>Fruit d’un savoir-faire ancestral, ce pu’er post fermenté Belle du Yunnan libère une tasse rouge brillant d’une saveur douce et parfumée. Ce thé est particulièrement apprécié en Chine pour ses arômes uniques évoquant le cuir, les sous-bois et de nombreux bienfaits recensés par la médecine chinoise.</v>
          </cell>
          <cell r="Y52"/>
          <cell r="Z52" t="str">
            <v xml:space="preserve">Ingrédient : thé sombre pu’er*. *Issu de l'agriculture biologique. </v>
          </cell>
          <cell r="AA52" t="str">
            <v>/</v>
          </cell>
          <cell r="AB52" t="str">
            <v>Membre certifié World Fair Trade Organization, Les Jardins de Gaïa s’engagent pour un commerce plus juste et répondent aux exigences du commerce équitable. Pour en savoir plus : www.wfto.com.</v>
          </cell>
          <cell r="AC52">
            <v>100</v>
          </cell>
          <cell r="AD52" t="str">
            <v>3-5</v>
          </cell>
          <cell r="AE52">
            <v>95</v>
          </cell>
          <cell r="AF52">
            <v>2</v>
          </cell>
          <cell r="AG52">
            <v>50</v>
          </cell>
          <cell r="AH52">
            <v>3582810200124</v>
          </cell>
          <cell r="AI52" t="str">
            <v>Plusieurs infusions</v>
          </cell>
          <cell r="AJ52" t="str">
            <v>FOURNISSEUR</v>
          </cell>
          <cell r="AK52" t="str">
            <v>FOURNISSEUR</v>
          </cell>
          <cell r="AL52" t="str">
            <v>/</v>
          </cell>
          <cell r="AM52" t="str">
            <v>Lincang Tea Association</v>
          </cell>
        </row>
        <row r="53">
          <cell r="A53" t="str">
            <v>BC0971</v>
          </cell>
          <cell r="B53"/>
          <cell r="C53"/>
          <cell r="D53"/>
          <cell r="E53"/>
          <cell r="F53"/>
          <cell r="G53"/>
          <cell r="H53" t="str">
            <v>LES GRANDS CLASSIQUES</v>
          </cell>
          <cell r="I53"/>
          <cell r="J53" t="str">
            <v>Bio Campagne</v>
          </cell>
          <cell r="K53" t="str">
            <v>/</v>
          </cell>
          <cell r="L53" t="str">
            <v>Thé noir</v>
          </cell>
          <cell r="M53" t="str">
            <v>Inde - Darjeeling</v>
          </cell>
          <cell r="N53" t="str">
            <v>AB</v>
          </cell>
          <cell r="O53" t="str">
            <v>WFTO</v>
          </cell>
          <cell r="P53" t="str">
            <v>/</v>
          </cell>
          <cell r="Q53" t="str">
            <v>/</v>
          </cell>
          <cell r="R53" t="str">
            <v>/</v>
          </cell>
          <cell r="S53" t="str">
            <v>/</v>
          </cell>
          <cell r="T53" t="str">
            <v>Agriculture Inde</v>
          </cell>
          <cell r="U53"/>
          <cell r="V53" t="str">
            <v>En provenance des contreforts de l'Himalaya, ce Darjeeling ravira tous les amateurs. Sa saveur douce et fruitée ainsi que son parfum frais et fleuri en font un thé à consommer tout au long de la journée.</v>
          </cell>
          <cell r="W53" t="str">
            <v>S27</v>
          </cell>
          <cell r="X53" t="str">
            <v xml:space="preserve">En provenance des contreforts de l'Himalaya, ce thé noir fruit d’une récolte automnale est une perle pour les amateurs de thé rond et mature. Ses saveurs douces et fruitées ainsi que son parfum frais aux accents floraux en font un Darjeeling que l’on a plaisir à retrouver fidèlement dans sa théière. </v>
          </cell>
          <cell r="Y53"/>
          <cell r="Z53" t="str">
            <v>Ingrédient : thé noir*. *Issu de l'agriculture biologique.</v>
          </cell>
          <cell r="AA53" t="str">
            <v>/</v>
          </cell>
          <cell r="AB53" t="str">
            <v>Membre certifié World Fair Trade Organization, Les Jardins de Gaïa s’engagent pour un commerce plus juste et répondent aux exigences du commerce équitable. Pour en savoir plus : www.wfto.com.</v>
          </cell>
          <cell r="AC53">
            <v>1.5</v>
          </cell>
          <cell r="AD53" t="str">
            <v>3</v>
          </cell>
          <cell r="AE53" t="str">
            <v>85-90</v>
          </cell>
          <cell r="AF53">
            <v>2</v>
          </cell>
          <cell r="AG53">
            <v>750</v>
          </cell>
          <cell r="AH53">
            <v>3582810209714</v>
          </cell>
          <cell r="AI53" t="str">
            <v>/</v>
          </cell>
          <cell r="AJ53" t="str">
            <v>INTERNE</v>
          </cell>
          <cell r="AK53" t="str">
            <v>INTERNE</v>
          </cell>
          <cell r="AL53" t="str">
            <v>/</v>
          </cell>
          <cell r="AM53" t="str">
            <v>Jardins de Seeyok, Singell et Selimbong</v>
          </cell>
        </row>
        <row r="54">
          <cell r="A54" t="str">
            <v>BC0977</v>
          </cell>
          <cell r="B54"/>
          <cell r="C54"/>
          <cell r="D54"/>
          <cell r="E54"/>
          <cell r="F54"/>
          <cell r="G54"/>
          <cell r="H54" t="str">
            <v>LES GRANDS CLASSIQUES</v>
          </cell>
          <cell r="I54"/>
          <cell r="J54" t="str">
            <v>Bio Campagne</v>
          </cell>
          <cell r="K54" t="str">
            <v>/</v>
          </cell>
          <cell r="L54" t="str">
            <v>Thé noir</v>
          </cell>
          <cell r="M54" t="str">
            <v>Inde - Darjeeling</v>
          </cell>
          <cell r="N54" t="str">
            <v>AB</v>
          </cell>
          <cell r="O54" t="str">
            <v>WFTO</v>
          </cell>
          <cell r="P54" t="str">
            <v>/</v>
          </cell>
          <cell r="Q54" t="str">
            <v>/</v>
          </cell>
          <cell r="R54" t="str">
            <v>/</v>
          </cell>
          <cell r="S54" t="str">
            <v>/</v>
          </cell>
          <cell r="T54" t="str">
            <v>Agriculture Inde</v>
          </cell>
          <cell r="U54"/>
          <cell r="V54" t="str">
            <v>En provenance des contreforts de l'Himalaya, ce Darjeeling ravira tous les amateurs. Sa saveur douce et fruitée ainsi que son parfum frais et fleuri en font un thé à consommer tout au long de la journée.</v>
          </cell>
          <cell r="W54" t="str">
            <v>S27</v>
          </cell>
          <cell r="X54" t="str">
            <v xml:space="preserve">En provenance des contreforts de l'Himalaya, ce thé noir fruit d’une récolte automnale est une perle pour les amateurs de thé rond et mature. Ses saveurs douces et fruitées ainsi que son parfum frais aux accents floraux en font un Darjeeling que l’on a plaisir à retrouver fidèlement dans sa théière. </v>
          </cell>
          <cell r="Y54"/>
          <cell r="Z54" t="str">
            <v>Ingrédient : thé noir*. *Issu de l'agriculture biologique.</v>
          </cell>
          <cell r="AA54" t="str">
            <v>/</v>
          </cell>
          <cell r="AB54" t="str">
            <v>Membre certifié World Fair Trade Organization, Les Jardins de Gaïa s’engagent pour un commerce plus juste et répondent aux exigences du commerce équitable. Pour en savoir plus : www.wfto.com.</v>
          </cell>
          <cell r="AC54">
            <v>1</v>
          </cell>
          <cell r="AD54" t="str">
            <v>3</v>
          </cell>
          <cell r="AE54" t="str">
            <v>85-90</v>
          </cell>
          <cell r="AF54">
            <v>2</v>
          </cell>
          <cell r="AG54">
            <v>500</v>
          </cell>
          <cell r="AH54">
            <v>3582810209776</v>
          </cell>
          <cell r="AI54" t="str">
            <v>/</v>
          </cell>
          <cell r="AJ54" t="str">
            <v>INTERNE</v>
          </cell>
          <cell r="AK54" t="str">
            <v>INTERNE</v>
          </cell>
          <cell r="AL54" t="str">
            <v>/</v>
          </cell>
          <cell r="AM54" t="str">
            <v>Jardins de Seeyok, Singell et Selimbong</v>
          </cell>
        </row>
        <row r="55">
          <cell r="A55" t="str">
            <v>BC0975</v>
          </cell>
          <cell r="B55"/>
          <cell r="C55"/>
          <cell r="D55"/>
          <cell r="E55"/>
          <cell r="F55"/>
          <cell r="G55"/>
          <cell r="H55" t="str">
            <v>LES GRANDS CLASSIQUES</v>
          </cell>
          <cell r="I55"/>
          <cell r="J55" t="str">
            <v>Bio Campagne</v>
          </cell>
          <cell r="K55" t="str">
            <v>/</v>
          </cell>
          <cell r="L55" t="str">
            <v>Thé noir</v>
          </cell>
          <cell r="M55" t="str">
            <v>Inde - Darjeeling</v>
          </cell>
          <cell r="N55" t="str">
            <v>AB</v>
          </cell>
          <cell r="O55" t="str">
            <v>WFTO</v>
          </cell>
          <cell r="P55" t="str">
            <v>/</v>
          </cell>
          <cell r="Q55" t="str">
            <v>/</v>
          </cell>
          <cell r="R55" t="str">
            <v>/</v>
          </cell>
          <cell r="S55" t="str">
            <v>/</v>
          </cell>
          <cell r="T55" t="str">
            <v>Agriculture Inde</v>
          </cell>
          <cell r="U55"/>
          <cell r="V55" t="str">
            <v>En provenance des contreforts de l'Himalaya, ce Darjeeling ravira tous les amateurs. Sa saveur douce et fruitée ainsi que son parfum frais et fleuri en font un thé à consommer tout au long de la journée.</v>
          </cell>
          <cell r="W55" t="str">
            <v>S27</v>
          </cell>
          <cell r="X55" t="str">
            <v xml:space="preserve">En provenance des contreforts de l'Himalaya, ce thé noir fruit d’une récolte automnale est une perle pour les amateurs de thé rond et mature. Ses saveurs douces et fruitées ainsi que son parfum frais aux accents floraux en font un Darjeeling que l’on a plaisir à retrouver fidèlement dans sa théière. </v>
          </cell>
          <cell r="Y55"/>
          <cell r="Z55" t="str">
            <v>Ingrédient : thé noir*. *Issu de l'agriculture biologique.</v>
          </cell>
          <cell r="AA55" t="str">
            <v>/</v>
          </cell>
          <cell r="AB55" t="str">
            <v>Membre certifié World Fair Trade Organization, Les Jardins de Gaïa s’engagent pour un commerce plus juste et répondent aux exigences du commerce équitable. Pour en savoir plus : www.wfto.com.</v>
          </cell>
          <cell r="AC55">
            <v>500</v>
          </cell>
          <cell r="AD55" t="str">
            <v>3</v>
          </cell>
          <cell r="AE55" t="str">
            <v>85-90</v>
          </cell>
          <cell r="AF55">
            <v>2</v>
          </cell>
          <cell r="AG55">
            <v>250</v>
          </cell>
          <cell r="AH55">
            <v>3582810209752</v>
          </cell>
          <cell r="AI55" t="str">
            <v>/</v>
          </cell>
          <cell r="AJ55" t="str">
            <v>INTERNE</v>
          </cell>
          <cell r="AK55" t="str">
            <v>INTERNE</v>
          </cell>
          <cell r="AL55" t="str">
            <v>/</v>
          </cell>
          <cell r="AM55" t="str">
            <v>Jardins de Seeyok, Singell et Selimbong</v>
          </cell>
        </row>
        <row r="56">
          <cell r="A56" t="str">
            <v>BC0972</v>
          </cell>
          <cell r="B56"/>
          <cell r="C56" t="str">
            <v>x</v>
          </cell>
          <cell r="D56" t="str">
            <v>x</v>
          </cell>
          <cell r="E56" t="str">
            <v>x</v>
          </cell>
          <cell r="F56"/>
          <cell r="G56"/>
          <cell r="H56" t="str">
            <v>LES GRANDS CLASSIQUES</v>
          </cell>
          <cell r="I56"/>
          <cell r="J56" t="str">
            <v>Bio Campagne</v>
          </cell>
          <cell r="K56" t="str">
            <v>/</v>
          </cell>
          <cell r="L56" t="str">
            <v>Thé noir</v>
          </cell>
          <cell r="M56" t="str">
            <v>Inde - Darjeeling</v>
          </cell>
          <cell r="N56" t="str">
            <v>AB</v>
          </cell>
          <cell r="O56" t="str">
            <v>WFTO</v>
          </cell>
          <cell r="P56" t="str">
            <v>/</v>
          </cell>
          <cell r="Q56" t="str">
            <v>/</v>
          </cell>
          <cell r="R56" t="str">
            <v>/</v>
          </cell>
          <cell r="S56" t="str">
            <v>/</v>
          </cell>
          <cell r="T56" t="str">
            <v>Agriculture Inde</v>
          </cell>
          <cell r="U56"/>
          <cell r="V56" t="str">
            <v>En provenance des contreforts de l'Himalaya, ce Darjeeling ravira tous les amateurs. Sa saveur douce et fruitée ainsi que son parfum frais et fleuri en font un thé à consommer tout au long de la journée.</v>
          </cell>
          <cell r="W56" t="str">
            <v>S24</v>
          </cell>
          <cell r="X56" t="str">
            <v xml:space="preserve">En provenance des contreforts de l'Himalaya, ce thé noir fruit d’une récolte automnale est une perle pour les amateurs de thé rond et mature. Ses saveurs douces et fruitées ainsi que son parfum frais aux accents floraux en font un Darjeeling que l’on a plaisir à retrouver fidèlement dans sa théière. </v>
          </cell>
          <cell r="Y56"/>
          <cell r="Z56" t="str">
            <v>Ingrédient : thé noir*. *Issu de l'agriculture biologique.</v>
          </cell>
          <cell r="AA56" t="str">
            <v>/</v>
          </cell>
          <cell r="AB56" t="str">
            <v>Membre certifié World Fair Trade Organization, Les Jardins de Gaïa s’engagent pour un commerce plus juste et répondent aux exigences du commerce équitable. Pour en savoir plus : www.wfto.com.</v>
          </cell>
          <cell r="AC56">
            <v>250</v>
          </cell>
          <cell r="AD56" t="str">
            <v>3</v>
          </cell>
          <cell r="AE56" t="str">
            <v>85-90</v>
          </cell>
          <cell r="AF56">
            <v>2</v>
          </cell>
          <cell r="AG56">
            <v>125</v>
          </cell>
          <cell r="AH56">
            <v>3582810200971</v>
          </cell>
          <cell r="AI56" t="str">
            <v>/</v>
          </cell>
          <cell r="AJ56" t="str">
            <v>ETBC0972</v>
          </cell>
          <cell r="AK56" t="str">
            <v>ETBC0972V5</v>
          </cell>
          <cell r="AL56" t="str">
            <v>ETCBC0972V5</v>
          </cell>
          <cell r="AM56" t="str">
            <v>Jardins de Seeyok, Singell et Selimbong</v>
          </cell>
        </row>
        <row r="57">
          <cell r="A57" t="str">
            <v>TN5505</v>
          </cell>
          <cell r="B57"/>
          <cell r="C57"/>
          <cell r="D57"/>
          <cell r="E57"/>
          <cell r="F57"/>
          <cell r="G57"/>
          <cell r="H57" t="str">
            <v>LES GRAND CRUS</v>
          </cell>
          <cell r="I57"/>
          <cell r="J57" t="str">
            <v>Black Evidence</v>
          </cell>
          <cell r="K57" t="str">
            <v>/</v>
          </cell>
          <cell r="L57" t="str">
            <v>Thé noir d'origine</v>
          </cell>
          <cell r="M57" t="str">
            <v>Nouvelle-Zélande - Waikato</v>
          </cell>
          <cell r="N57" t="str">
            <v>AB</v>
          </cell>
          <cell r="O57" t="str">
            <v>/</v>
          </cell>
          <cell r="P57" t="str">
            <v>/</v>
          </cell>
          <cell r="Q57" t="str">
            <v>/</v>
          </cell>
          <cell r="R57" t="str">
            <v>/</v>
          </cell>
          <cell r="S57" t="str">
            <v>/</v>
          </cell>
          <cell r="T57" t="str">
            <v>Agriculture Nouvelle-Zélande</v>
          </cell>
          <cell r="U57"/>
          <cell r="V57" t="str">
            <v>Thé de caractère. Feuilles et bourgeons torsadés. Saveurs intenses de biscuit, chocolat et fruits rouges.</v>
          </cell>
          <cell r="W57" t="str">
            <v>S27</v>
          </cell>
          <cell r="X57" t="str">
            <v>Produit dans la région préservée de Waikato, au nord de la Nouvelle-Zélande, ce thé noir se démarque par son caractère intense et gourmand. Ses feuilles et bourgeons finement torsadés offrent une liqueur aux délicieuses saveurs chocolatées et biscuitées accompagnées de subtiles notes de fruits rouges…</v>
          </cell>
          <cell r="Y57"/>
          <cell r="Z57" t="str">
            <v>Ingrédient : thé noir*. *Issu de l'agriculture biologique.</v>
          </cell>
          <cell r="AA57" t="str">
            <v>/</v>
          </cell>
          <cell r="AB57" t="str">
            <v>/</v>
          </cell>
          <cell r="AC57">
            <v>500</v>
          </cell>
          <cell r="AD57" t="str">
            <v>4-5</v>
          </cell>
          <cell r="AE57">
            <v>95</v>
          </cell>
          <cell r="AF57">
            <v>2</v>
          </cell>
          <cell r="AG57">
            <v>250</v>
          </cell>
          <cell r="AH57">
            <v>3582810255056</v>
          </cell>
          <cell r="AI57" t="str">
            <v>Plusieurs infusions</v>
          </cell>
          <cell r="AJ57" t="str">
            <v>INTERNE</v>
          </cell>
          <cell r="AK57" t="str">
            <v>INTERNE</v>
          </cell>
          <cell r="AL57" t="str">
            <v>/</v>
          </cell>
          <cell r="AM57" t="str">
            <v>Zealong Tea Estate LTD</v>
          </cell>
        </row>
        <row r="58">
          <cell r="A58" t="str">
            <v>TN5502</v>
          </cell>
          <cell r="B58"/>
          <cell r="C58"/>
          <cell r="D58"/>
          <cell r="E58"/>
          <cell r="F58"/>
          <cell r="G58"/>
          <cell r="H58" t="str">
            <v>LES GRAND CRUS</v>
          </cell>
          <cell r="I58"/>
          <cell r="J58" t="str">
            <v>Black Evidence</v>
          </cell>
          <cell r="K58" t="str">
            <v>/</v>
          </cell>
          <cell r="L58" t="str">
            <v>Thé noir d'origine</v>
          </cell>
          <cell r="M58" t="str">
            <v>Nouvelle-Zélande - Waikato</v>
          </cell>
          <cell r="N58" t="str">
            <v>AB</v>
          </cell>
          <cell r="O58" t="str">
            <v>/</v>
          </cell>
          <cell r="P58" t="str">
            <v>/</v>
          </cell>
          <cell r="Q58" t="str">
            <v>/</v>
          </cell>
          <cell r="R58" t="str">
            <v>/</v>
          </cell>
          <cell r="S58" t="str">
            <v>/</v>
          </cell>
          <cell r="T58" t="str">
            <v>Agriculture Nouvelle-Zélande</v>
          </cell>
          <cell r="U58"/>
          <cell r="V58" t="str">
            <v>Thé de caractère. Feuilles et bourgeons torsadés. Saveurs intenses de biscuit, chocolat et fruits rouges.</v>
          </cell>
          <cell r="W58" t="str">
            <v>S27</v>
          </cell>
          <cell r="X58" t="str">
            <v>Produit dans la région préservée de Waikato, au nord de la Nouvelle-Zélande, ce thé noir se démarque par son caractère intense et gourmand. Ses feuilles et bourgeons finement torsadés offrent une liqueur aux délicieuses saveurs chocolatées et biscuitées accompagnées de subtiles notes de fruits rouges…</v>
          </cell>
          <cell r="Y58"/>
          <cell r="Z58" t="str">
            <v>Ingrédient : thé noir*. *Issu de l'agriculture biologique.</v>
          </cell>
          <cell r="AA58" t="str">
            <v>/</v>
          </cell>
          <cell r="AB58" t="str">
            <v>/</v>
          </cell>
          <cell r="AC58">
            <v>80</v>
          </cell>
          <cell r="AD58" t="str">
            <v>4-5</v>
          </cell>
          <cell r="AE58">
            <v>95</v>
          </cell>
          <cell r="AF58">
            <v>2</v>
          </cell>
          <cell r="AG58">
            <v>40</v>
          </cell>
          <cell r="AH58">
            <v>3582810255025</v>
          </cell>
          <cell r="AI58" t="str">
            <v>Plusieurs infusions</v>
          </cell>
          <cell r="AJ58" t="str">
            <v>ETNN550V5</v>
          </cell>
          <cell r="AK58" t="str">
            <v>ETNN550V5</v>
          </cell>
          <cell r="AL58" t="str">
            <v>Q de tube</v>
          </cell>
          <cell r="AM58" t="str">
            <v>Zealong Tea Estate LTD</v>
          </cell>
        </row>
        <row r="59">
          <cell r="A59" t="str">
            <v>TM0241</v>
          </cell>
          <cell r="B59"/>
          <cell r="C59"/>
          <cell r="D59"/>
          <cell r="E59"/>
          <cell r="F59"/>
          <cell r="G59"/>
          <cell r="H59" t="str">
            <v>LES GRANDS CLASSIQUES</v>
          </cell>
          <cell r="I59"/>
          <cell r="J59" t="str">
            <v>Blanche rose et Rose rouge</v>
          </cell>
          <cell r="K59" t="str">
            <v>Rose</v>
          </cell>
          <cell r="L59" t="str">
            <v>Mélange de thés parfumé</v>
          </cell>
          <cell r="M59" t="str">
            <v>Chine</v>
          </cell>
          <cell r="N59" t="str">
            <v>AB</v>
          </cell>
          <cell r="O59" t="str">
            <v>/</v>
          </cell>
          <cell r="P59" t="str">
            <v>/</v>
          </cell>
          <cell r="Q59" t="str">
            <v>/</v>
          </cell>
          <cell r="R59" t="str">
            <v>/</v>
          </cell>
          <cell r="S59" t="str">
            <v>/</v>
          </cell>
          <cell r="T59" t="str">
            <v>Agriculture non EU</v>
          </cell>
          <cell r="U59"/>
          <cell r="V59" t="str">
            <v>Équilibre parfait, inspiré d'un recueil du temps passé, ce mariage de la rose sauvage et de thés verts et noirs est empreint de poésie. À la fois rafraîchissante et réchauffante, délicate et précieuse, cette boisson est à partager pendant un moment de complicité.</v>
          </cell>
          <cell r="W59" t="str">
            <v>S27</v>
          </cell>
          <cell r="X59" t="str">
            <v>Clin d’œil au conte de Grimm, ce mariage harmonieux de la rose sauvage avec un mélange de thés verts et noirs est empreint de poésie. Les précieuses notes florales et capiteuses de la reine des fleurs forment des accords parfaits avec la fraîcheur et la profondeur qu’offrent les feuilles de thé.</v>
          </cell>
          <cell r="Y59"/>
          <cell r="Z59" t="str">
            <v>Ingrédients : thé noir*, thé vert*, pétales de rose* 6%. *Issu de l'agriculture biologique.</v>
          </cell>
          <cell r="AA59" t="str">
            <v>/</v>
          </cell>
          <cell r="AB59" t="str">
            <v>/</v>
          </cell>
          <cell r="AC59">
            <v>1.5</v>
          </cell>
          <cell r="AD59" t="str">
            <v>3</v>
          </cell>
          <cell r="AE59">
            <v>85</v>
          </cell>
          <cell r="AF59">
            <v>2</v>
          </cell>
          <cell r="AG59">
            <v>750</v>
          </cell>
          <cell r="AH59">
            <v>3582811202417</v>
          </cell>
          <cell r="AI59" t="str">
            <v>/</v>
          </cell>
          <cell r="AJ59" t="str">
            <v>INTERNE</v>
          </cell>
          <cell r="AK59" t="str">
            <v>INTERNE</v>
          </cell>
          <cell r="AL59" t="str">
            <v>/</v>
          </cell>
          <cell r="AM59" t="str">
            <v>Création maison</v>
          </cell>
        </row>
        <row r="60">
          <cell r="A60" t="str">
            <v>TM0242</v>
          </cell>
          <cell r="B60"/>
          <cell r="C60"/>
          <cell r="D60"/>
          <cell r="E60"/>
          <cell r="F60"/>
          <cell r="G60"/>
          <cell r="H60" t="str">
            <v>LES GRANDS CLASSIQUES</v>
          </cell>
          <cell r="I60"/>
          <cell r="J60" t="str">
            <v>Blanche rose et Rose rouge</v>
          </cell>
          <cell r="K60" t="str">
            <v>Rose</v>
          </cell>
          <cell r="L60" t="str">
            <v>Mélange de thés parfumé</v>
          </cell>
          <cell r="M60" t="str">
            <v>Chine</v>
          </cell>
          <cell r="N60" t="str">
            <v>AB</v>
          </cell>
          <cell r="O60" t="str">
            <v>/</v>
          </cell>
          <cell r="P60" t="str">
            <v>/</v>
          </cell>
          <cell r="Q60" t="str">
            <v>/</v>
          </cell>
          <cell r="R60" t="str">
            <v>/</v>
          </cell>
          <cell r="S60" t="str">
            <v>/</v>
          </cell>
          <cell r="T60" t="str">
            <v>Agriculture non EU</v>
          </cell>
          <cell r="U60"/>
          <cell r="V60" t="str">
            <v>Équilibre parfait, inspiré d'un recueil du temps passé, ce mariage de la rose sauvage et de thés verts et noirs est empreint de poésie. À la fois rafraîchissante et réchauffante, délicate et précieuse, cette boisson est à partager pendant un moment de complicité.</v>
          </cell>
          <cell r="W60" t="str">
            <v>S24</v>
          </cell>
          <cell r="X60" t="str">
            <v>Clin d’œil au conte de Grimm, ce mariage harmonieux de la rose sauvage avec un mélange de thés verts et noirs est empreint de poésie. Les précieuses notes florales et capiteuses de la reine des fleurs forment des accords parfaits avec la fraîcheur et la profondeur qu’offrent les feuilles de thé.</v>
          </cell>
          <cell r="Y60"/>
          <cell r="Z60" t="str">
            <v>Ingrédients : thé noir*, thé vert*, pétales de rose* 6%. *Issu de l'agriculture biologique.</v>
          </cell>
          <cell r="AA60" t="str">
            <v>/</v>
          </cell>
          <cell r="AB60" t="str">
            <v>/</v>
          </cell>
          <cell r="AC60">
            <v>100</v>
          </cell>
          <cell r="AD60" t="str">
            <v>3</v>
          </cell>
          <cell r="AE60">
            <v>85</v>
          </cell>
          <cell r="AF60">
            <v>2</v>
          </cell>
          <cell r="AG60">
            <v>50</v>
          </cell>
          <cell r="AH60">
            <v>3582811202424</v>
          </cell>
          <cell r="AI60" t="str">
            <v>/</v>
          </cell>
          <cell r="AJ60" t="str">
            <v>ETNM024V5</v>
          </cell>
          <cell r="AK60" t="str">
            <v>ETNM024V5</v>
          </cell>
          <cell r="AL60" t="str">
            <v>ETCNM0242V5</v>
          </cell>
          <cell r="AM60" t="str">
            <v>Création maison</v>
          </cell>
        </row>
        <row r="61">
          <cell r="A61" t="str">
            <v>TA7171</v>
          </cell>
          <cell r="B61"/>
          <cell r="C61"/>
          <cell r="D61"/>
          <cell r="E61"/>
          <cell r="F61"/>
          <cell r="G61"/>
          <cell r="H61" t="str">
            <v>LES GRANDS CLASSIQUES</v>
          </cell>
          <cell r="I61"/>
          <cell r="J61" t="str">
            <v>Bleu Citron</v>
          </cell>
          <cell r="K61" t="str">
            <v>Citron</v>
          </cell>
          <cell r="L61" t="str">
            <v>Thé noir aromatisé</v>
          </cell>
          <cell r="M61" t="str">
            <v>Vietnam - Chine - Inde</v>
          </cell>
          <cell r="N61" t="str">
            <v>AB</v>
          </cell>
          <cell r="O61" t="str">
            <v>WFTO</v>
          </cell>
          <cell r="P61" t="str">
            <v>/</v>
          </cell>
          <cell r="Q61" t="str">
            <v>/</v>
          </cell>
          <cell r="R61" t="str">
            <v>/</v>
          </cell>
          <cell r="S61" t="str">
            <v>/</v>
          </cell>
          <cell r="T61" t="str">
            <v>Agriculture UE/non UE</v>
          </cell>
          <cell r="U61"/>
          <cell r="V61" t="str">
            <v>Comme un vent chaud de Méditerranée, ce thé aux essences de citron sélectionnées, additionné d’écorces d’oranges, réchauffera le tea time de nos hivers rigoureux.
Pour les inconditionnels, peut s’accompagner d’un nuage de lait.</v>
          </cell>
          <cell r="W61" t="str">
            <v>S27</v>
          </cell>
          <cell r="X61" t="str">
            <v>Belle comme une journée ensoleillée sur le fond bleu de la Méditerranée, cette recette à base de thé noir, émaillée d’écorces d’oranges, est une vraie gourmandise. Les notes fraîches et lumineuses du citron sont agréablement mises en valeur par les accents chauds et taniques du thé.</v>
          </cell>
          <cell r="Y61"/>
          <cell r="Z61" t="str">
            <v>Ingrédients : thé noir*, huile essentielle de citron* 2%, écorces d'orange*. *Issu de l'agriculture biologique.</v>
          </cell>
          <cell r="AA61" t="str">
            <v>/</v>
          </cell>
          <cell r="AB61" t="str">
            <v>Membre certifié World Fair Trade Organization, Les Jardins de Gaïa s’engagent pour un commerce plus juste et répondent aux exigences du commerce équitable. Pour en savoir plus : www.wfto.com.</v>
          </cell>
          <cell r="AC61">
            <v>1.5</v>
          </cell>
          <cell r="AD61" t="str">
            <v>3-4</v>
          </cell>
          <cell r="AE61">
            <v>90</v>
          </cell>
          <cell r="AF61">
            <v>2</v>
          </cell>
          <cell r="AG61">
            <v>750</v>
          </cell>
          <cell r="AH61">
            <v>3582810471715</v>
          </cell>
          <cell r="AI61" t="str">
            <v>/</v>
          </cell>
          <cell r="AJ61" t="str">
            <v>INTERNE</v>
          </cell>
          <cell r="AK61" t="str">
            <v>INTERNE</v>
          </cell>
          <cell r="AL61" t="str">
            <v>/</v>
          </cell>
          <cell r="AM61" t="str">
            <v>Création maison</v>
          </cell>
        </row>
        <row r="62">
          <cell r="A62" t="str">
            <v>TA7172</v>
          </cell>
          <cell r="B62"/>
          <cell r="C62"/>
          <cell r="D62"/>
          <cell r="E62"/>
          <cell r="F62"/>
          <cell r="G62"/>
          <cell r="H62" t="str">
            <v>LES GRANDS CLASSIQUES</v>
          </cell>
          <cell r="I62"/>
          <cell r="J62" t="str">
            <v>Bleu Citron</v>
          </cell>
          <cell r="K62" t="str">
            <v>Citron</v>
          </cell>
          <cell r="L62" t="str">
            <v>Thé noir aromatisé</v>
          </cell>
          <cell r="M62" t="str">
            <v>Vietnam - Chine - Inde</v>
          </cell>
          <cell r="N62" t="str">
            <v>AB</v>
          </cell>
          <cell r="O62" t="str">
            <v>WFTO</v>
          </cell>
          <cell r="P62" t="str">
            <v>/</v>
          </cell>
          <cell r="Q62" t="str">
            <v>/</v>
          </cell>
          <cell r="R62" t="str">
            <v>/</v>
          </cell>
          <cell r="S62" t="str">
            <v>/</v>
          </cell>
          <cell r="T62" t="str">
            <v>Agriculture UE/non UE</v>
          </cell>
          <cell r="U62"/>
          <cell r="V62" t="str">
            <v>Comme un vent chaud de Méditerranée, ce thé aux essences de citron sélectionnées, additionné d’écorces d’oranges, réchauffera le tea time de nos hivers rigoureux.
Pour les inconditionnels, peut s’accompagner d’un nuage de lait.</v>
          </cell>
          <cell r="W62" t="str">
            <v>S24</v>
          </cell>
          <cell r="X62" t="str">
            <v>Belle comme une journée ensoleillée sur le fond bleu de la Méditerranée, cette recette à base de thé noir, émaillée d’écorces d’oranges, est une vraie gourmandise. Les notes fraîches et lumineuses du citron sont agréablement mises en valeur par les accents chauds et taniques du thé.</v>
          </cell>
          <cell r="Y62"/>
          <cell r="Z62" t="str">
            <v>Ingrédients : thé noir*, huile essentielle de citron* 2%, écorces d'orange*. *Issu de l'agriculture biologique.</v>
          </cell>
          <cell r="AA62" t="str">
            <v>/</v>
          </cell>
          <cell r="AB62" t="str">
            <v>Membre certifié World Fair Trade Organization, Les Jardins de Gaïa s’engagent pour un commerce plus juste et répondent aux exigences du commerce équitable. Pour en savoir plus : www.wfto.com.</v>
          </cell>
          <cell r="AC62">
            <v>100</v>
          </cell>
          <cell r="AD62" t="str">
            <v>3-4</v>
          </cell>
          <cell r="AE62">
            <v>90</v>
          </cell>
          <cell r="AF62">
            <v>2</v>
          </cell>
          <cell r="AG62">
            <v>50</v>
          </cell>
          <cell r="AH62">
            <v>3582810471722</v>
          </cell>
          <cell r="AI62" t="str">
            <v>/</v>
          </cell>
          <cell r="AJ62" t="str">
            <v>ETNA717</v>
          </cell>
          <cell r="AK62" t="str">
            <v>ETNA717V5</v>
          </cell>
          <cell r="AL62" t="str">
            <v>ETCNA7172V5</v>
          </cell>
          <cell r="AM62" t="str">
            <v>Création maison</v>
          </cell>
        </row>
        <row r="63">
          <cell r="A63" t="str">
            <v>TM6941</v>
          </cell>
          <cell r="B63"/>
          <cell r="C63"/>
          <cell r="D63"/>
          <cell r="E63"/>
          <cell r="F63"/>
          <cell r="G63"/>
          <cell r="H63" t="str">
            <v>LES GRANDS CLASSIQUES</v>
          </cell>
          <cell r="I63"/>
          <cell r="J63" t="str">
            <v>Bollywood flush</v>
          </cell>
          <cell r="K63" t="str">
            <v>Cardamome - Fleurs</v>
          </cell>
          <cell r="L63" t="str">
            <v>Thé vert parfumé</v>
          </cell>
          <cell r="M63" t="str">
            <v>Inde</v>
          </cell>
          <cell r="N63" t="str">
            <v>AB</v>
          </cell>
          <cell r="O63" t="str">
            <v>WFTO</v>
          </cell>
          <cell r="P63" t="str">
            <v>/</v>
          </cell>
          <cell r="Q63" t="str">
            <v>/</v>
          </cell>
          <cell r="R63" t="str">
            <v>/</v>
          </cell>
          <cell r="S63" t="str">
            <v>/</v>
          </cell>
          <cell r="T63" t="str">
            <v>Agriculture UE/non UE</v>
          </cell>
          <cell r="U63"/>
          <cell r="V63" t="str">
            <v>Déluge de couleurs et de saveurs. Frais, légèrement épicé et pétillant, ce thé vous emporte dans un tourbillon de pétales au cœur de la magie des fêtes indiennes traditionnelles. Pour apprécier l'Inde dans toute sa splendeur…</v>
          </cell>
          <cell r="W63" t="str">
            <v>S27</v>
          </cell>
          <cell r="X63" t="str">
            <v>Colorée, légèrement épicée et sacrément festive, cette recette qui marie la fraîcheur du thé vert aux notes douces et sucrées de la cardamome est un condensé de bonne humeur ! Elle vous emporte dans un tourbillon de saveurs et de couleurs au cœur de la magie des fêtes traditionnelles indiennes.</v>
          </cell>
          <cell r="Y63"/>
          <cell r="Z63" t="str">
            <v xml:space="preserve">Ingrédients : thé vert*, cardamome* 19%, pétales de fleurs (souci*, rose*, tournesol*, monarde*) 3%. *Issu de l'agriculture biologique. </v>
          </cell>
          <cell r="AA63" t="str">
            <v>/</v>
          </cell>
          <cell r="AB63" t="str">
            <v>Membre certifié World Fair Trade Organization, Les Jardins de Gaïa s’engagent pour un commerce plus juste et répondent aux exigences du commerce équitable. Pour en savoir plus : www.wfto.com.</v>
          </cell>
          <cell r="AC63">
            <v>1.5</v>
          </cell>
          <cell r="AD63" t="str">
            <v>3</v>
          </cell>
          <cell r="AE63">
            <v>75</v>
          </cell>
          <cell r="AF63">
            <v>2</v>
          </cell>
          <cell r="AG63">
            <v>750</v>
          </cell>
          <cell r="AH63">
            <v>3582810569412</v>
          </cell>
          <cell r="AI63" t="str">
            <v>/</v>
          </cell>
          <cell r="AJ63" t="str">
            <v>INTERNE</v>
          </cell>
          <cell r="AK63" t="str">
            <v>INTERNE</v>
          </cell>
          <cell r="AL63" t="str">
            <v>/</v>
          </cell>
          <cell r="AM63" t="str">
            <v>Création maison</v>
          </cell>
        </row>
        <row r="64">
          <cell r="A64" t="str">
            <v>TM6942</v>
          </cell>
          <cell r="B64"/>
          <cell r="C64"/>
          <cell r="D64"/>
          <cell r="E64"/>
          <cell r="F64"/>
          <cell r="G64"/>
          <cell r="H64" t="str">
            <v>LES GRANDS CLASSIQUES</v>
          </cell>
          <cell r="I64"/>
          <cell r="J64" t="str">
            <v>Bollywood flush</v>
          </cell>
          <cell r="K64" t="str">
            <v>Cardamome - Fleurs</v>
          </cell>
          <cell r="L64" t="str">
            <v>Thé vert parfumé</v>
          </cell>
          <cell r="M64" t="str">
            <v>Inde</v>
          </cell>
          <cell r="N64" t="str">
            <v>AB</v>
          </cell>
          <cell r="O64" t="str">
            <v>WFTO</v>
          </cell>
          <cell r="P64" t="str">
            <v>/</v>
          </cell>
          <cell r="Q64" t="str">
            <v>/</v>
          </cell>
          <cell r="R64" t="str">
            <v>/</v>
          </cell>
          <cell r="S64" t="str">
            <v>/</v>
          </cell>
          <cell r="T64" t="str">
            <v>Agriculture UE/non UE</v>
          </cell>
          <cell r="U64"/>
          <cell r="V64" t="str">
            <v>Déluge de couleurs et de saveurs. Frais, légèrement épicé et pétillant, ce thé vous emporte dans un tourbillon de pétales au cœur de la magie des fêtes indiennes traditionnelles. Pour apprécier l'Inde dans toute sa splendeur…</v>
          </cell>
          <cell r="W64" t="str">
            <v>S24</v>
          </cell>
          <cell r="X64" t="str">
            <v>Colorée, légèrement épicée et sacrément festive, cette recette qui marie la fraîcheur du thé vert aux notes douces et sucrées de la cardamome est un condensé de bonne humeur ! Elle vous emporte dans un tourbillon de saveurs et de couleurs au cœur de la magie des fêtes traditionnelles indiennes.</v>
          </cell>
          <cell r="Y64"/>
          <cell r="Z64" t="str">
            <v xml:space="preserve">Ingrédients : thé vert*, cardamome* 19%, pétales de fleurs (souci*, rose*, tournesol*, monarde*) 3%. *Issu de l'agriculture biologique. </v>
          </cell>
          <cell r="AA64" t="str">
            <v>/</v>
          </cell>
          <cell r="AB64" t="str">
            <v>Membre certifié World Fair Trade Organization, Les Jardins de Gaïa s’engagent pour un commerce plus juste et répondent aux exigences du commerce équitable. Pour en savoir plus : www.wfto.com.</v>
          </cell>
          <cell r="AC64">
            <v>100</v>
          </cell>
          <cell r="AD64" t="str">
            <v>3</v>
          </cell>
          <cell r="AE64">
            <v>75</v>
          </cell>
          <cell r="AF64">
            <v>2</v>
          </cell>
          <cell r="AG64">
            <v>50</v>
          </cell>
          <cell r="AH64">
            <v>3582810569429</v>
          </cell>
          <cell r="AI64" t="str">
            <v>/</v>
          </cell>
          <cell r="AJ64" t="str">
            <v>ETVM694V5</v>
          </cell>
          <cell r="AK64" t="str">
            <v>ETVM694V5</v>
          </cell>
          <cell r="AL64" t="str">
            <v>ETCVM6942V5</v>
          </cell>
          <cell r="AM64" t="str">
            <v>Création maison</v>
          </cell>
        </row>
        <row r="65">
          <cell r="A65" t="str">
            <v>TH5051</v>
          </cell>
          <cell r="B65"/>
          <cell r="C65"/>
          <cell r="D65"/>
          <cell r="E65"/>
          <cell r="F65"/>
          <cell r="G65"/>
          <cell r="H65" t="str">
            <v>LES GRANDS CLASSIQUES</v>
          </cell>
          <cell r="I65" t="str">
            <v>LES INFUSIONS DE PLANTES</v>
          </cell>
          <cell r="J65" t="str">
            <v>Bonne humeur</v>
          </cell>
          <cell r="K65" t="str">
            <v>Pétales de mauve - mélisse -  camomille</v>
          </cell>
          <cell r="L65" t="str">
            <v>Infusion de plantes</v>
          </cell>
          <cell r="M65" t="str">
            <v>/</v>
          </cell>
          <cell r="N65" t="str">
            <v>AB</v>
          </cell>
          <cell r="O65" t="str">
            <v>/</v>
          </cell>
          <cell r="P65" t="str">
            <v>/</v>
          </cell>
          <cell r="Q65" t="str">
            <v>/</v>
          </cell>
          <cell r="R65" t="str">
            <v>/</v>
          </cell>
          <cell r="S65" t="str">
            <v>/</v>
          </cell>
          <cell r="T65" t="str">
            <v>AT-BIO-302
Agriculture UE</v>
          </cell>
          <cell r="U65"/>
          <cell r="V65" t="str">
            <v>Mettez un zeste de fantaisie dans votre tasse ! Cette recette de plantes séduit par ses saveurs délicieusement fruitées, relevées par de pétillantes notes citronnées. Une tisane généreuse et haute en couleur qui donne envie de voir la vie du bon côté !</v>
          </cell>
          <cell r="W65"/>
          <cell r="X65" t="str">
            <v>Mettez un zeste de fantaisie dans votre tasse avec cette tisane généreuse et haute en couleur ! Ses saveurs délicieusement fruitées, relevées par de pétillantes notes citronnées donnent immédiatement envie de voir la vie du bon côté.</v>
          </cell>
          <cell r="Y65"/>
          <cell r="Z65" t="str">
            <v>Ingrédients : pétales de mauve* (Malva sylvestris) 30%, mélisse* (Melissa officinalis) 30%, achillée millefeuille* (Achillea millefolium), camomille* (Matricaria chamomilla) 15%, fenouil* (Foeniculum vulgare). *Issu de l'agriculture biologique.</v>
          </cell>
          <cell r="AA65" t="str">
            <v>/</v>
          </cell>
          <cell r="AB65" t="str">
            <v>/</v>
          </cell>
          <cell r="AC65" t="str">
            <v>?</v>
          </cell>
          <cell r="AD65" t="str">
            <v>5-10</v>
          </cell>
          <cell r="AE65">
            <v>95</v>
          </cell>
          <cell r="AF65">
            <v>2</v>
          </cell>
          <cell r="AG65" t="str">
            <v>?</v>
          </cell>
          <cell r="AH65" t="str">
            <v>?</v>
          </cell>
          <cell r="AI65" t="str">
            <v>/</v>
          </cell>
          <cell r="AJ65" t="str">
            <v>INTERNE</v>
          </cell>
          <cell r="AK65" t="str">
            <v>INTERNE</v>
          </cell>
          <cell r="AL65" t="str">
            <v>/</v>
          </cell>
          <cell r="AM65" t="str">
            <v>Sonnentor</v>
          </cell>
        </row>
        <row r="66">
          <cell r="A66" t="str">
            <v>TH505</v>
          </cell>
          <cell r="B66"/>
          <cell r="C66" t="str">
            <v>X</v>
          </cell>
          <cell r="D66" t="str">
            <v>X</v>
          </cell>
          <cell r="E66"/>
          <cell r="F66" t="str">
            <v>GRAI</v>
          </cell>
          <cell r="G66">
            <v>45408</v>
          </cell>
          <cell r="H66" t="str">
            <v>LES GRANDS CLASSIQUES</v>
          </cell>
          <cell r="I66" t="str">
            <v>LES INFUSIONS DE PLANTES</v>
          </cell>
          <cell r="J66" t="str">
            <v>Bonne humeur</v>
          </cell>
          <cell r="K66" t="str">
            <v>Pétales de mauve - mélisse -  camomille</v>
          </cell>
          <cell r="L66" t="str">
            <v>Infusion de plantes</v>
          </cell>
          <cell r="M66" t="str">
            <v>/</v>
          </cell>
          <cell r="N66" t="str">
            <v>AB</v>
          </cell>
          <cell r="O66" t="str">
            <v>/</v>
          </cell>
          <cell r="P66" t="str">
            <v>/</v>
          </cell>
          <cell r="Q66" t="str">
            <v>/</v>
          </cell>
          <cell r="R66" t="str">
            <v>/</v>
          </cell>
          <cell r="S66" t="str">
            <v>/</v>
          </cell>
          <cell r="T66" t="str">
            <v>AT-BIO-302
Agriculture UE</v>
          </cell>
          <cell r="U66"/>
          <cell r="V66" t="str">
            <v>Mettez un zeste de fantaisie dans votre tasse ! Cette recette de plantes séduit par ses saveurs délicieusement fruitées, relevées par de pétillantes notes citronnées. Une tisane généreuse et haute en couleur qui donne envie de voir la vie du bon côté !</v>
          </cell>
          <cell r="W66"/>
          <cell r="X66" t="str">
            <v>Mettez un zeste de fantaisie dans votre tasse avec cette tisane généreuse et haute en couleur ! Ses saveurs délicieusement fruitées, relevées par de pétillantes notes citronnées donnent immédiatement envie de voir la vie du bon côté.</v>
          </cell>
          <cell r="Y66"/>
          <cell r="Z66" t="str">
            <v>Ingrédients : pétales de mauve* (Malva sylvestris) 30%, mélisse* (Melissa officinalis) 30%, achillée millefeuille* (Achillea millefolium), camomille* (Matricaria chamomilla) 15%, fenouil* (Foeniculum vulgare). *Issu de l'agriculture biologique.</v>
          </cell>
          <cell r="AA66" t="str">
            <v>/</v>
          </cell>
          <cell r="AB66" t="str">
            <v>/</v>
          </cell>
          <cell r="AC66">
            <v>50</v>
          </cell>
          <cell r="AD66" t="str">
            <v>5-10</v>
          </cell>
          <cell r="AE66">
            <v>95</v>
          </cell>
          <cell r="AF66">
            <v>2</v>
          </cell>
          <cell r="AG66">
            <v>25</v>
          </cell>
          <cell r="AH66">
            <v>3582811005056</v>
          </cell>
          <cell r="AI66" t="str">
            <v>/</v>
          </cell>
          <cell r="AJ66" t="str">
            <v>ETHN5050V5</v>
          </cell>
          <cell r="AK66" t="str">
            <v>ETHN5050V5</v>
          </cell>
          <cell r="AL66" t="str">
            <v>/</v>
          </cell>
          <cell r="AM66" t="str">
            <v>Sonnentor</v>
          </cell>
        </row>
        <row r="67">
          <cell r="A67" t="str">
            <v>TH0611</v>
          </cell>
          <cell r="B67"/>
          <cell r="C67"/>
          <cell r="D67"/>
          <cell r="E67"/>
          <cell r="F67"/>
          <cell r="G67"/>
          <cell r="H67" t="str">
            <v>LES BIENFAITRICES</v>
          </cell>
          <cell r="I67" t="str">
            <v>LES INFUSIONS DE PLANTES</v>
          </cell>
          <cell r="J67" t="str">
            <v>Bonne mine</v>
          </cell>
          <cell r="K67" t="str">
            <v>Antioxydante
Cannelle - Violette - Verveine</v>
          </cell>
          <cell r="L67" t="str">
            <v>Infusion de plantes</v>
          </cell>
          <cell r="M67" t="str">
            <v>/</v>
          </cell>
          <cell r="N67" t="str">
            <v>AB</v>
          </cell>
          <cell r="O67" t="str">
            <v>/</v>
          </cell>
          <cell r="P67" t="str">
            <v>/</v>
          </cell>
          <cell r="Q67" t="str">
            <v>/</v>
          </cell>
          <cell r="R67" t="str">
            <v>/</v>
          </cell>
          <cell r="S67" t="str">
            <v>/</v>
          </cell>
          <cell r="T67" t="str">
            <v>Agriculture UE/non UE</v>
          </cell>
          <cell r="U67"/>
          <cell r="V67" t="str">
            <v>Cette recette à base de plantes réputées pour leurs vertus antioxydantes est une alliée précieuse pour se protéger du stress et garder un teint lumineux en toutes saisons. Ses senteurs qui évoquent le pain d’épices provoquent un vrai plaisir olfactif suivi en bouche par des saveurs acidulées, anisées et miellées très agréables. Une tisane qui donne bonne mine rien que par les bienfaits qu’elle procure en la dégustant…</v>
          </cell>
          <cell r="W67" t="str">
            <v>S11</v>
          </cell>
          <cell r="X67" t="str">
            <v>Ayez toujours bonne mine avec cette tisane de plantes réputées pour leurs vertus antioxydantes. Le plaisir que procurent ses senteurs de pain d’épices gourmandes et ses saveurs acidulées, anisées et miellées donne le sourire dès les premières gorgées.</v>
          </cell>
          <cell r="Y67"/>
          <cell r="Z67" t="str">
            <v>Ingrédients : fenouil* (Foeniculum vulgare), cannelle* 24% (Cinnamomum zeylanicum), hibiscus* (Hibiscus sabdariffa), violette* 12% (Viola odorata), gingembre* (Zingiber officinale), verveine* 4% (Aloysia triphylla), stévia* (Stevia rebaudiana). *Issu de l'agriculture biologique.</v>
          </cell>
          <cell r="AA67"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67" t="str">
            <v>/</v>
          </cell>
          <cell r="AC67">
            <v>750</v>
          </cell>
          <cell r="AD67" t="str">
            <v>5-10</v>
          </cell>
          <cell r="AE67">
            <v>95</v>
          </cell>
          <cell r="AF67">
            <v>2</v>
          </cell>
          <cell r="AG67">
            <v>375</v>
          </cell>
          <cell r="AH67">
            <v>3582811006114</v>
          </cell>
          <cell r="AI67" t="str">
            <v>/</v>
          </cell>
          <cell r="AJ67" t="str">
            <v>INTERNE</v>
          </cell>
          <cell r="AK67" t="str">
            <v>INTERNE</v>
          </cell>
          <cell r="AL67" t="str">
            <v>/</v>
          </cell>
          <cell r="AM67" t="str">
            <v>?</v>
          </cell>
        </row>
        <row r="68">
          <cell r="A68" t="str">
            <v>TH0612</v>
          </cell>
          <cell r="B68"/>
          <cell r="C68" t="str">
            <v>X</v>
          </cell>
          <cell r="D68" t="str">
            <v>X</v>
          </cell>
          <cell r="E68"/>
          <cell r="F68" t="str">
            <v>GRAI</v>
          </cell>
          <cell r="G68">
            <v>45408</v>
          </cell>
          <cell r="H68" t="str">
            <v>LES BIENFAITRICES</v>
          </cell>
          <cell r="I68" t="str">
            <v>LES INFUSIONS DE PLANTES</v>
          </cell>
          <cell r="J68" t="str">
            <v>Bonne mine</v>
          </cell>
          <cell r="K68" t="str">
            <v>Antioxydante
Cannelle - Violette - Verveine</v>
          </cell>
          <cell r="L68" t="str">
            <v>Infusion de plantes</v>
          </cell>
          <cell r="M68" t="str">
            <v>/</v>
          </cell>
          <cell r="N68" t="str">
            <v>AB</v>
          </cell>
          <cell r="O68" t="str">
            <v>/</v>
          </cell>
          <cell r="P68" t="str">
            <v>/</v>
          </cell>
          <cell r="Q68" t="str">
            <v>/</v>
          </cell>
          <cell r="R68" t="str">
            <v>/</v>
          </cell>
          <cell r="S68" t="str">
            <v>/</v>
          </cell>
          <cell r="T68" t="str">
            <v>Agriculture UE/non UE</v>
          </cell>
          <cell r="U68"/>
          <cell r="V68" t="str">
            <v>Cette recette à base de plantes réputées pour leurs vertus antioxydantes est une alliée précieuse pour se protéger du stress et garder un teint lumineux en toutes saisons. Ses senteurs qui évoquent le pain d’épices provoquent un vrai plaisir olfactif suivi en bouche par des saveurs acidulées, anisées et miellées très agréables. Une tisane qui donne bonne mine rien que par les bienfaits qu’elle procure en la dégustant…</v>
          </cell>
          <cell r="W68" t="str">
            <v>S11</v>
          </cell>
          <cell r="X68" t="str">
            <v>Ayez toujours bonne mine avec cette tisane de plantes réputées pour leurs vertus antioxydantes. Le plaisir que procurent ses senteurs de pain d’épices gourmandes et ses saveurs acidulées, anisées et miellées donne le sourire dès les premières gorgées.</v>
          </cell>
          <cell r="Y68"/>
          <cell r="Z68" t="str">
            <v>Ingrédients : fenouil* (Foeniculum vulgare), cannelle* 24% (Cinnamomum zeylanicum), hibiscus* (Hibiscus sabdariffa), violette* 12% (Viola odorata), gingembre* (Zingiber officinale), verveine* 4% (Aloysia triphylla), stévia* (Stevia rebaudiana). *Issu de l'agriculture biologique.</v>
          </cell>
          <cell r="AA68"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68" t="str">
            <v>/</v>
          </cell>
          <cell r="AC68">
            <v>70</v>
          </cell>
          <cell r="AD68" t="str">
            <v>5-10</v>
          </cell>
          <cell r="AE68">
            <v>95</v>
          </cell>
          <cell r="AF68">
            <v>2</v>
          </cell>
          <cell r="AG68">
            <v>35</v>
          </cell>
          <cell r="AH68">
            <v>3582811006121</v>
          </cell>
          <cell r="AI68" t="str">
            <v>/</v>
          </cell>
          <cell r="AJ68" t="str">
            <v>ETHN0610V5</v>
          </cell>
          <cell r="AK68" t="str">
            <v>ETHN0610V5</v>
          </cell>
          <cell r="AL68" t="str">
            <v>/</v>
          </cell>
          <cell r="AM68" t="str">
            <v>?</v>
          </cell>
        </row>
        <row r="69">
          <cell r="A69" t="str">
            <v>TH5021</v>
          </cell>
          <cell r="B69"/>
          <cell r="C69"/>
          <cell r="D69"/>
          <cell r="E69"/>
          <cell r="F69"/>
          <cell r="G69"/>
          <cell r="H69" t="str">
            <v>LES BIENFAITRICES</v>
          </cell>
          <cell r="I69" t="str">
            <v>LES INFUSIONS DE PLANTES</v>
          </cell>
          <cell r="J69" t="str">
            <v>Bonne nuit</v>
          </cell>
          <cell r="K69" t="str">
            <v>Apaisante
Mélisse - Tilleul - Lavande</v>
          </cell>
          <cell r="L69" t="str">
            <v>Infusion de plantes</v>
          </cell>
          <cell r="M69" t="str">
            <v>/</v>
          </cell>
          <cell r="N69" t="str">
            <v>AB</v>
          </cell>
          <cell r="O69" t="str">
            <v>/</v>
          </cell>
          <cell r="P69" t="str">
            <v>/</v>
          </cell>
          <cell r="Q69" t="str">
            <v>/</v>
          </cell>
          <cell r="R69" t="str">
            <v>/</v>
          </cell>
          <cell r="S69" t="str">
            <v>/</v>
          </cell>
          <cell r="T69" t="str">
            <v>AT-BIO-301
Agriculture UE</v>
          </cell>
          <cell r="U69"/>
          <cell r="V69" t="str">
            <v>Dès les premières gorgées de cette délicieuse infusion aux saveurs douces et légèrement sucrées, l'humeur devient plus sereine… Ses vertus apaisantes sont une invitation à glisser tout en douceur au pays des rêves pour un sommeil profond et réparateur. Une amie du quotidien que l'on aime retrouver le soir venu. Fermez vos paupières, elle fera le reste…</v>
          </cell>
          <cell r="W69"/>
          <cell r="X69" t="str">
            <v xml:space="preserve">Cette délicieuse infusion aux saveurs douces et légèrement sucrées vous transportera dès les premières gorgées. Les vertus apaisantes de la mélisse, du tilleul et de la lavande sont une invitation à glisser tout en douceur au pays des rêves. </v>
          </cell>
          <cell r="Y69"/>
          <cell r="Z69" t="str">
            <v>Ingrédients : mélisse* 30% (Melissa officinalis), fleurs de tilleul* 30% (Tiliae flos), camomille* (Matricaria chamomilla), lavande* 10% (Lavandula angustifolia). *Issu de l'agriculture biologique.</v>
          </cell>
          <cell r="AA69"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69" t="str">
            <v>/</v>
          </cell>
          <cell r="AC69">
            <v>300</v>
          </cell>
          <cell r="AD69" t="str">
            <v>5-10</v>
          </cell>
          <cell r="AE69">
            <v>95</v>
          </cell>
          <cell r="AF69">
            <v>2</v>
          </cell>
          <cell r="AG69">
            <v>150</v>
          </cell>
          <cell r="AH69">
            <v>3582811050216</v>
          </cell>
          <cell r="AI69" t="str">
            <v>/</v>
          </cell>
          <cell r="AJ69" t="str">
            <v>INTERNE</v>
          </cell>
          <cell r="AK69" t="str">
            <v>INTERNE</v>
          </cell>
          <cell r="AL69" t="str">
            <v>/</v>
          </cell>
          <cell r="AM69" t="str">
            <v>Sonnentor</v>
          </cell>
        </row>
        <row r="70">
          <cell r="A70" t="str">
            <v>TH502</v>
          </cell>
          <cell r="B70"/>
          <cell r="C70" t="str">
            <v>X</v>
          </cell>
          <cell r="D70" t="str">
            <v>X</v>
          </cell>
          <cell r="E70"/>
          <cell r="F70" t="str">
            <v>GRAI</v>
          </cell>
          <cell r="G70">
            <v>45383</v>
          </cell>
          <cell r="H70" t="str">
            <v>LES BIENFAITRICES</v>
          </cell>
          <cell r="I70" t="str">
            <v>LES INFUSIONS DE PLANTES</v>
          </cell>
          <cell r="J70" t="str">
            <v>Bonne nuit</v>
          </cell>
          <cell r="K70" t="str">
            <v>Apaisante
Mélisse - Tilleul - Lavande</v>
          </cell>
          <cell r="L70" t="str">
            <v>Infusion de plantes</v>
          </cell>
          <cell r="M70" t="str">
            <v>/</v>
          </cell>
          <cell r="N70" t="str">
            <v>AB</v>
          </cell>
          <cell r="O70" t="str">
            <v>/</v>
          </cell>
          <cell r="P70" t="str">
            <v>/</v>
          </cell>
          <cell r="Q70" t="str">
            <v>/</v>
          </cell>
          <cell r="R70" t="str">
            <v>/</v>
          </cell>
          <cell r="S70" t="str">
            <v>/</v>
          </cell>
          <cell r="T70" t="str">
            <v>AT-BIO-301
Agriculture UE</v>
          </cell>
          <cell r="U70"/>
          <cell r="V70" t="str">
            <v>Dès les premières gorgées de cette délicieuse infusion aux saveurs douces et légèrement sucrées, l'humeur devient plus sereine… Ses vertus apaisantes sont une invitation à glisser tout en douceur au pays des rêves pour un sommeil profond et réparateur. Une amie du quotidien que l'on aime retrouver le soir venu. Fermez vos paupières, elle fera le reste…</v>
          </cell>
          <cell r="W70"/>
          <cell r="X70" t="str">
            <v xml:space="preserve">Cette délicieuse infusion aux saveurs douces et légèrement sucrées vous transportera dès les premières gorgées. Les vertus apaisantes de la mélisse, du tilleul et de la lavande sont une invitation à glisser tout en douceur au pays des rêves. </v>
          </cell>
          <cell r="Y70"/>
          <cell r="Z70" t="str">
            <v>Ingrédients : mélisse* 30% (Melissa officinalis), fleurs de tilleul* 30% (Tiliae flos), camomille* (Matricaria chamomilla), lavande* 10% (Lavandula angustifolia). *Issu de l'agriculture biologique.</v>
          </cell>
          <cell r="AA70"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70" t="str">
            <v>/</v>
          </cell>
          <cell r="AC70">
            <v>50</v>
          </cell>
          <cell r="AD70" t="str">
            <v>5-10</v>
          </cell>
          <cell r="AE70">
            <v>95</v>
          </cell>
          <cell r="AF70">
            <v>2</v>
          </cell>
          <cell r="AG70">
            <v>25</v>
          </cell>
          <cell r="AH70">
            <v>3582811005025</v>
          </cell>
          <cell r="AI70" t="str">
            <v>/</v>
          </cell>
          <cell r="AJ70" t="str">
            <v>ETHN5020V5</v>
          </cell>
          <cell r="AK70" t="str">
            <v>ETHN5020V5</v>
          </cell>
          <cell r="AL70" t="str">
            <v>/</v>
          </cell>
          <cell r="AM70" t="str">
            <v>Sonnentor</v>
          </cell>
        </row>
        <row r="71">
          <cell r="A71" t="str">
            <v>TUTH5026</v>
          </cell>
          <cell r="B71"/>
          <cell r="C71"/>
          <cell r="D71"/>
          <cell r="E71"/>
          <cell r="F71"/>
          <cell r="G71"/>
          <cell r="H71" t="str">
            <v>LES BIENFAITRICES</v>
          </cell>
          <cell r="I71" t="str">
            <v>LES INFUSIONS DE PLANTES</v>
          </cell>
          <cell r="J71" t="str">
            <v>Bonne nuit</v>
          </cell>
          <cell r="K71" t="str">
            <v>Apaisante
Mélisse - Tilleul - Lavande</v>
          </cell>
          <cell r="L71" t="str">
            <v>Infusion de plantes</v>
          </cell>
          <cell r="M71" t="str">
            <v>/</v>
          </cell>
          <cell r="N71" t="str">
            <v>AB</v>
          </cell>
          <cell r="O71" t="str">
            <v>/</v>
          </cell>
          <cell r="P71" t="str">
            <v>/</v>
          </cell>
          <cell r="Q71" t="str">
            <v>/</v>
          </cell>
          <cell r="R71" t="str">
            <v>/</v>
          </cell>
          <cell r="S71" t="str">
            <v>/</v>
          </cell>
          <cell r="T71" t="str">
            <v>Agriculture UE</v>
          </cell>
          <cell r="U71"/>
          <cell r="V71" t="str">
            <v>Dès les premières gorgées de cette délicieuse infusion aux saveurs douces et légèrement sucrées, l'humeur devient plus sereine… Ses vertus apaisantes sont une invitation à glisser tout en douceur au pays des rêves pour un sommeil profond et réparateur. Une amie du quotidien que l'on aime retrouver le soir venu. Fermez vos paupières, elle fera le reste…</v>
          </cell>
          <cell r="W71"/>
          <cell r="X71" t="str">
            <v xml:space="preserve">Cette délicieuse infusion aux saveurs douces et légèrement sucrées vous transportera dès les premières gorgées. Les vertus apaisantes de la mélisse, du tilleul et de la lavande sont une invitation à glisser tout en douceur au pays des rêves. </v>
          </cell>
          <cell r="Y71"/>
          <cell r="Z71" t="str">
            <v>Ingrédients : mélisse* 30% (Melissa officinalis), fleurs de tilleul* 30% (Tiliae flos), camomille* (Matricaria chamomilla), lavande* 10% (Lavandula angustifolia). *Issu de l'agriculture biologique.</v>
          </cell>
          <cell r="AA71"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71" t="str">
            <v>/</v>
          </cell>
          <cell r="AC71">
            <v>30</v>
          </cell>
          <cell r="AD71" t="str">
            <v>5-10</v>
          </cell>
          <cell r="AE71">
            <v>95</v>
          </cell>
          <cell r="AF71">
            <v>2</v>
          </cell>
          <cell r="AG71">
            <v>15</v>
          </cell>
          <cell r="AH71">
            <v>3582815650269</v>
          </cell>
          <cell r="AI71" t="str">
            <v>/</v>
          </cell>
          <cell r="AJ71" t="str">
            <v>ETTUTH5026V5</v>
          </cell>
          <cell r="AK71" t="str">
            <v>ETTUTH5026V5</v>
          </cell>
          <cell r="AL71" t="str">
            <v>/</v>
          </cell>
          <cell r="AM71" t="str">
            <v>Sonnentor</v>
          </cell>
        </row>
        <row r="72">
          <cell r="A72" t="str">
            <v>TH1591</v>
          </cell>
          <cell r="B72"/>
          <cell r="C72"/>
          <cell r="D72"/>
          <cell r="E72"/>
          <cell r="F72"/>
          <cell r="G72"/>
          <cell r="H72" t="str">
            <v>LES GRANDS CLASSIQUES</v>
          </cell>
          <cell r="I72" t="str">
            <v>LES INFUSIONS DE PLANTES</v>
          </cell>
          <cell r="J72" t="str">
            <v>Boutons de rose</v>
          </cell>
          <cell r="K72" t="str">
            <v>Roses de Damas</v>
          </cell>
          <cell r="L72" t="str">
            <v>Infusion de plante</v>
          </cell>
          <cell r="M72" t="str">
            <v>Iran</v>
          </cell>
          <cell r="N72" t="str">
            <v>AB</v>
          </cell>
          <cell r="O72" t="str">
            <v>/</v>
          </cell>
          <cell r="P72" t="str">
            <v>/</v>
          </cell>
          <cell r="Q72" t="str">
            <v>/</v>
          </cell>
          <cell r="R72" t="str">
            <v>/</v>
          </cell>
          <cell r="S72" t="str">
            <v>/</v>
          </cell>
          <cell r="T72" t="str">
            <v>Agriculture non UE pour ne met-on pas Agriculture Iran ?</v>
          </cell>
          <cell r="U72"/>
          <cell r="V72" t="str">
            <v>Délicatement cueillis à la main, ces boutons de rose de Damas ont simplement été séchés au soleil pour qu'ils préservent leur parfum et leur couleur délicate. L'infusion envoûtante, florale et aérienne rappelle l'émoi de sentir une fleur épanouie au cœur d'une roseraie. À infuser tel quel, en accompagnement d'un thé ou dans une recette orientale pour en magnifier les saveurs.</v>
          </cell>
          <cell r="W72"/>
          <cell r="X72" t="str">
            <v xml:space="preserve">Délicatement cueillis à la main, les boutons de rose de Damas qui composent cette tisane ont simplement été séchés au soleil afin qu'ils préservent leurs parfums et leurs couleurs délicates. L'infusion envoûtante, florale et aérienne rappelle l'émoi de sentir une fleur épanouie au cœur d'une roseraie. </v>
          </cell>
          <cell r="Y72"/>
          <cell r="Z72" t="str">
            <v>Ingrédient : boutons de rose* (Rosa damascena Mill.). *Issu de l’agriculture biologique.</v>
          </cell>
          <cell r="AA72" t="str">
            <v>/</v>
          </cell>
          <cell r="AB72" t="str">
            <v>/</v>
          </cell>
          <cell r="AC72">
            <v>500</v>
          </cell>
          <cell r="AD72" t="str">
            <v>3-5</v>
          </cell>
          <cell r="AE72">
            <v>95</v>
          </cell>
          <cell r="AF72">
            <v>2</v>
          </cell>
          <cell r="AG72">
            <v>250</v>
          </cell>
          <cell r="AH72">
            <v>3582811015918</v>
          </cell>
          <cell r="AI72" t="str">
            <v>/</v>
          </cell>
          <cell r="AJ72" t="str">
            <v>INTERNE</v>
          </cell>
          <cell r="AK72" t="str">
            <v>INTERNE</v>
          </cell>
          <cell r="AL72" t="str">
            <v>/</v>
          </cell>
          <cell r="AM72" t="str">
            <v>?</v>
          </cell>
        </row>
        <row r="73">
          <cell r="A73" t="str">
            <v>TH1592</v>
          </cell>
          <cell r="B73"/>
          <cell r="C73" t="str">
            <v>X</v>
          </cell>
          <cell r="D73" t="str">
            <v>X</v>
          </cell>
          <cell r="E73"/>
          <cell r="F73" t="str">
            <v>GRAI</v>
          </cell>
          <cell r="G73">
            <v>45408</v>
          </cell>
          <cell r="H73" t="str">
            <v>LES GRANDS CLASSIQUES</v>
          </cell>
          <cell r="I73" t="str">
            <v>LES INFUSIONS DE PLANTES</v>
          </cell>
          <cell r="J73" t="str">
            <v>Boutons de rose</v>
          </cell>
          <cell r="K73" t="str">
            <v>Roses de Damas</v>
          </cell>
          <cell r="L73" t="str">
            <v>Infusion de plante</v>
          </cell>
          <cell r="M73" t="str">
            <v>Iran</v>
          </cell>
          <cell r="N73" t="str">
            <v>AB</v>
          </cell>
          <cell r="O73" t="str">
            <v>/</v>
          </cell>
          <cell r="P73" t="str">
            <v>/</v>
          </cell>
          <cell r="Q73" t="str">
            <v>/</v>
          </cell>
          <cell r="R73" t="str">
            <v>/</v>
          </cell>
          <cell r="S73" t="str">
            <v>/</v>
          </cell>
          <cell r="T73" t="str">
            <v>Agriculture non UE pour ne met-on pas Agriculture Iran ?</v>
          </cell>
          <cell r="U73"/>
          <cell r="V73" t="str">
            <v>Délicatement cueillis à la main, ces boutons de rose de Damas ont simplement été séchés au soleil pour qu'ils préservent leur parfum et leur couleur délicate. L'infusion envoûtante, florale et aérienne rappelle l'émoi de sentir une fleur épanouie au cœur d'une roseraie. À infuser tel quel, en accompagnement d'un thé ou dans une recette orientale pour en magnifier les saveurs.</v>
          </cell>
          <cell r="W73"/>
          <cell r="X73" t="str">
            <v xml:space="preserve">Délicatement cueillis à la main, les boutons de rose de Damas qui composent cette tisane ont simplement été séchés au soleil afin qu'ils préservent leurs parfums et leurs couleurs délicates. L'infusion envoûtante, florale et aérienne rappelle l'émoi de sentir une fleur épanouie au cœur d'une roseraie. </v>
          </cell>
          <cell r="Y73"/>
          <cell r="Z73" t="str">
            <v>Ingrédient : boutons de rose* (Rosa damascena Mill.). *Issu de l’agriculture biologique.</v>
          </cell>
          <cell r="AA73" t="str">
            <v>/</v>
          </cell>
          <cell r="AB73" t="str">
            <v>/</v>
          </cell>
          <cell r="AC73">
            <v>100</v>
          </cell>
          <cell r="AD73" t="str">
            <v>3-5</v>
          </cell>
          <cell r="AE73">
            <v>95</v>
          </cell>
          <cell r="AF73">
            <v>2</v>
          </cell>
          <cell r="AG73">
            <v>50</v>
          </cell>
          <cell r="AH73">
            <v>3582811015925</v>
          </cell>
          <cell r="AI73" t="str">
            <v>/</v>
          </cell>
          <cell r="AJ73" t="str">
            <v>ETHN1590V5</v>
          </cell>
          <cell r="AK73" t="str">
            <v>ETHN1590V5</v>
          </cell>
          <cell r="AL73" t="str">
            <v>/</v>
          </cell>
          <cell r="AM73" t="str">
            <v>?</v>
          </cell>
        </row>
        <row r="74">
          <cell r="A74" t="str">
            <v>COF1202</v>
          </cell>
          <cell r="B74"/>
          <cell r="C74"/>
          <cell r="D74"/>
          <cell r="E74"/>
          <cell r="F74"/>
          <cell r="G74"/>
          <cell r="H74" t="str">
            <v>LES GRAND CRUS</v>
          </cell>
          <cell r="I74"/>
          <cell r="J74" t="str">
            <v>Brique pu'er Amour</v>
          </cell>
          <cell r="K74" t="str">
            <v>Millésime 2007</v>
          </cell>
          <cell r="L74" t="str">
            <v xml:space="preserve">Thé sombre pu'er compressé </v>
          </cell>
          <cell r="M74" t="str">
            <v>Chine - Yunnan</v>
          </cell>
          <cell r="N74" t="str">
            <v>AB</v>
          </cell>
          <cell r="O74" t="str">
            <v>WFTO</v>
          </cell>
          <cell r="P74" t="str">
            <v>/</v>
          </cell>
          <cell r="Q74" t="str">
            <v>WT</v>
          </cell>
          <cell r="R74" t="str">
            <v>/</v>
          </cell>
          <cell r="S74" t="str">
            <v>/</v>
          </cell>
          <cell r="T74" t="str">
            <v>Agriculture Chine</v>
          </cell>
          <cell r="U74"/>
          <cell r="V74" t="str">
            <v>Sous sa forme de brique, ce pu'er millésime 2007 garanti d'origine, apporte l'Amour à ceux qui le détienne. Cette brique Amour a été façonnée spécialement pour vous et Les Jardins de Gaïa en série limitée. De par sa rareté et ses idéogrammes chinois, ce thé compressé est une pièce de collection bien que destiné à être dégusté en bonne compagnie. Nectar généreux et originel pour initier à l'Amour suprême, celui qui jaillit librement, danse au fond des cœurs, nourriture du corps, de l'esprit et de l'Âme.</v>
          </cell>
          <cell r="W74" t="str">
            <v>S21</v>
          </cell>
          <cell r="X74" t="str">
            <v>Produite en série limitée, cette brique de thé pu’er millésimée a été confectionnée en 2007 dans le Yunnan. Parée de ses idéogrammes chinois représentant l’amour, elle célèbre le plus beau des sentiments en offrant une douce liqueur aux notes épicées et minérales d’une belle longueur en bouche.</v>
          </cell>
          <cell r="Y74"/>
          <cell r="Z74" t="str">
            <v xml:space="preserve">Ingrédient : thé sombre pu'er*. *Issu de l'agriculture biologique. </v>
          </cell>
          <cell r="AA74" t="str">
            <v>/</v>
          </cell>
          <cell r="AB74" t="str">
            <v>Membre certifié World Fair Trade Organization, Les Jardins de Gaïa s’engagent pour un commerce plus juste et répondent aux exigences du commerce équitable. Pour en savoir plus : www.wfto.com.</v>
          </cell>
          <cell r="AC74">
            <v>100</v>
          </cell>
          <cell r="AD74" t="str">
            <v>3-4</v>
          </cell>
          <cell r="AE74">
            <v>95</v>
          </cell>
          <cell r="AF74">
            <v>2</v>
          </cell>
          <cell r="AG74">
            <v>50</v>
          </cell>
          <cell r="AH74">
            <v>3582811612025</v>
          </cell>
          <cell r="AI74" t="str">
            <v>Plusieurs infusions</v>
          </cell>
          <cell r="AJ74" t="str">
            <v>ETCOF1202</v>
          </cell>
          <cell r="AK74" t="str">
            <v>ETCOF1202V5</v>
          </cell>
          <cell r="AL74" t="str">
            <v>ETCCOF1202V5</v>
          </cell>
          <cell r="AM74" t="str">
            <v>Mannong Tea Association</v>
          </cell>
        </row>
        <row r="75">
          <cell r="A75" t="str">
            <v>COF1203</v>
          </cell>
          <cell r="B75"/>
          <cell r="C75"/>
          <cell r="D75"/>
          <cell r="E75"/>
          <cell r="F75"/>
          <cell r="G75"/>
          <cell r="H75" t="str">
            <v>LES GRAND CRUS</v>
          </cell>
          <cell r="I75"/>
          <cell r="J75" t="str">
            <v>Brique pu'er Harmonie</v>
          </cell>
          <cell r="K75" t="str">
            <v>Millésime 2008</v>
          </cell>
          <cell r="L75" t="str">
            <v xml:space="preserve">Thé sombre pu'er compressé </v>
          </cell>
          <cell r="M75" t="str">
            <v>Chine - Yunnan</v>
          </cell>
          <cell r="N75" t="str">
            <v>AB</v>
          </cell>
          <cell r="O75" t="str">
            <v>WFTO</v>
          </cell>
          <cell r="P75" t="str">
            <v>/</v>
          </cell>
          <cell r="Q75" t="str">
            <v>WT</v>
          </cell>
          <cell r="R75" t="str">
            <v>/</v>
          </cell>
          <cell r="S75" t="str">
            <v>/</v>
          </cell>
          <cell r="T75" t="str">
            <v>Agriculture Chine</v>
          </cell>
          <cell r="U75"/>
          <cell r="V75" t="str">
            <v>Sous sa forme de brique, ce pu'er millésime 2008, garanti d'origine, apporte l'Harmonie à ceux qui le détienne. Cette brique a été façonnée spécialement pour vous et Les Jardins de Gaïa en série limitée. De par sa rareté et ses idéogrammes chinois, ce thé compressé bien que destiné à être dégusté est une véritable pièce de collection. L’attaque de ce pu’er à l’infusion tirant vers le rouge sombre est particulièrement vive et laisse en bouche une harmonie d’arômes entre minéral et boisé. Un thé sombre qui réveille les palais avertis.</v>
          </cell>
          <cell r="W75" t="str">
            <v>S21</v>
          </cell>
          <cell r="X75" t="str">
            <v>Selon la légende, cette brique de pu’er confectionnée en série limitée en 2008, apporte l'Harmonie à ceux qui la détiennent. Ornée de ses idéogrammes chinois, cette véritable pièce de collection destinée aux amateurs offre une liqueur harmonieuse et veloutée aux saveurs boisées et minérales typiques.</v>
          </cell>
          <cell r="Y75"/>
          <cell r="Z75" t="str">
            <v>Ingrédient : thé sombre pu'er*. *Issu de l'agriculture biologique.</v>
          </cell>
          <cell r="AA75" t="str">
            <v>/</v>
          </cell>
          <cell r="AB75" t="str">
            <v>Membre certifié World Fair Trade Organization, Les Jardins de Gaïa s’engagent pour un commerce plus juste et répondent aux exigences du commerce équitable. Pour en savoir plus : www.wfto.com.</v>
          </cell>
          <cell r="AC75">
            <v>100</v>
          </cell>
          <cell r="AD75" t="str">
            <v>3-4</v>
          </cell>
          <cell r="AE75">
            <v>95</v>
          </cell>
          <cell r="AF75">
            <v>2</v>
          </cell>
          <cell r="AG75">
            <v>50</v>
          </cell>
          <cell r="AH75">
            <v>3582810112038</v>
          </cell>
          <cell r="AI75" t="str">
            <v>Plusieurs infusions</v>
          </cell>
          <cell r="AJ75" t="str">
            <v>ETCOF1203</v>
          </cell>
          <cell r="AK75" t="str">
            <v>ETCOF1203V5</v>
          </cell>
          <cell r="AL75" t="str">
            <v>ETCCOF1203V5</v>
          </cell>
          <cell r="AM75" t="str">
            <v>Mannong Tea Association</v>
          </cell>
        </row>
        <row r="76">
          <cell r="A76" t="str">
            <v>COF1201</v>
          </cell>
          <cell r="B76"/>
          <cell r="C76"/>
          <cell r="D76"/>
          <cell r="E76"/>
          <cell r="F76"/>
          <cell r="G76"/>
          <cell r="H76" t="str">
            <v>LES GRAND CRUS</v>
          </cell>
          <cell r="I76"/>
          <cell r="J76" t="str">
            <v>Brique pu'er Joie</v>
          </cell>
          <cell r="K76" t="str">
            <v>Millésime 2006</v>
          </cell>
          <cell r="L76" t="str">
            <v xml:space="preserve">Thé sombre pu'er compressé </v>
          </cell>
          <cell r="M76" t="str">
            <v>Chine - Yunnan</v>
          </cell>
          <cell r="N76" t="str">
            <v>AB</v>
          </cell>
          <cell r="O76" t="str">
            <v>WFTO</v>
          </cell>
          <cell r="P76" t="str">
            <v>/</v>
          </cell>
          <cell r="Q76" t="str">
            <v>WT</v>
          </cell>
          <cell r="R76" t="str">
            <v>/</v>
          </cell>
          <cell r="S76" t="str">
            <v>/</v>
          </cell>
          <cell r="T76" t="str">
            <v>Agriculture Chine</v>
          </cell>
          <cell r="U76"/>
          <cell r="V76" t="str">
            <v>Sous sa forme de brique, ce pu'er millésime 2006, garanti d'origine, procure un souffle de Joie à ceux qui le détienne. Cette brique Joie a été façonnée spécialement pour Les Jardins de Gaïa en série limitée. De par sa rareté et ses idéogrammes chinois, ce thé compressé est une pièce de collection bien que destiné à être dégusté joyeusement.</v>
          </cell>
          <cell r="W76" t="str">
            <v>S21</v>
          </cell>
          <cell r="X76" t="str">
            <v>Tel un talisman, cette brique de pu’er confectionnée en édition limitée en 2006, procure un souffle de Joie à ceux qui la détiennent. Ornée de ses idéogrammes chinois, elle a été façonnée spécialement pour Les Jardins de Gaïa pour offrir une liqueur souple aux jolies notes boisées et minérales.</v>
          </cell>
          <cell r="Y76"/>
          <cell r="Z76" t="str">
            <v xml:space="preserve">Ingrédient : thé sombre pu'er*. *Issu de l'agriculture biologique. </v>
          </cell>
          <cell r="AA76" t="str">
            <v>/</v>
          </cell>
          <cell r="AB76" t="str">
            <v>Membre certifié World Fair Trade Organization, Les Jardins de Gaïa s’engagent pour un commerce plus juste et répondent aux exigences du commerce équitable. Pour en savoir plus : www.wfto.com.</v>
          </cell>
          <cell r="AC76">
            <v>100</v>
          </cell>
          <cell r="AD76" t="str">
            <v>3-4</v>
          </cell>
          <cell r="AE76">
            <v>95</v>
          </cell>
          <cell r="AF76">
            <v>2</v>
          </cell>
          <cell r="AG76">
            <v>50</v>
          </cell>
          <cell r="AH76">
            <v>3582811612018</v>
          </cell>
          <cell r="AI76" t="str">
            <v>Plusieurs infusions</v>
          </cell>
          <cell r="AJ76" t="str">
            <v>ETCOF1201</v>
          </cell>
          <cell r="AK76" t="str">
            <v>ETCOF1201V5</v>
          </cell>
          <cell r="AL76" t="str">
            <v>ETCCOF1201V5</v>
          </cell>
          <cell r="AM76" t="str">
            <v>Jingmai Mangjing Ancient Tea Association</v>
          </cell>
        </row>
        <row r="77">
          <cell r="A77" t="str">
            <v>TH1411</v>
          </cell>
          <cell r="B77"/>
          <cell r="C77"/>
          <cell r="D77"/>
          <cell r="E77"/>
          <cell r="F77"/>
          <cell r="G77"/>
          <cell r="H77" t="str">
            <v>LES BIENFAITRICES</v>
          </cell>
          <cell r="I77" t="str">
            <v>LES INFUSIONS DE PLANTES</v>
          </cell>
          <cell r="J77" t="str">
            <v>Bruyère</v>
          </cell>
          <cell r="K77" t="str">
            <v>Élimination</v>
          </cell>
          <cell r="L77" t="str">
            <v>Infusion de plante</v>
          </cell>
          <cell r="M77" t="str">
            <v>?</v>
          </cell>
          <cell r="N77" t="str">
            <v>AB</v>
          </cell>
          <cell r="O77" t="str">
            <v>/</v>
          </cell>
          <cell r="P77" t="str">
            <v>/</v>
          </cell>
          <cell r="Q77" t="str">
            <v>/</v>
          </cell>
          <cell r="R77" t="str">
            <v>/</v>
          </cell>
          <cell r="S77" t="str">
            <v>/</v>
          </cell>
          <cell r="T77" t="str">
            <v>Agriculture UE</v>
          </cell>
          <cell r="U77"/>
          <cell r="V77" t="str">
            <v>Très appréciée dans les jardins pour ses jolies petites fleurs roses et violettes très mellifères, la bruyère est une plante particulièrement riche en saveur. Son infusion florale et sucrée d'une belle longueur en bouche évoque agréablement le miel dont elle est à l'origine. Une plante aux nombreux charmes, reconnue pour son action favorable sur le système urinaire et les fonctions d'élimination.</v>
          </cell>
          <cell r="W77"/>
          <cell r="X77" t="str">
            <v>Reconnues pour leur action positive sur le système urinaire et les fonctions d'élimination, les fleurs de bruyère particulièrement mellifères offrent une tisane florale et sucrée qui évoque agréablement le miel dont elles sont à l'origine.</v>
          </cell>
          <cell r="Y77"/>
          <cell r="Z77" t="str">
            <v>Ingrédient : bruyère* (Calluna vulgaris). *Issu de l'agriculture biologique.</v>
          </cell>
          <cell r="AA77"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77" t="str">
            <v>/</v>
          </cell>
          <cell r="AC77" t="str">
            <v>?</v>
          </cell>
          <cell r="AD77" t="str">
            <v>5-10</v>
          </cell>
          <cell r="AE77">
            <v>95</v>
          </cell>
          <cell r="AF77">
            <v>2</v>
          </cell>
          <cell r="AG77" t="str">
            <v>?</v>
          </cell>
          <cell r="AH77" t="str">
            <v>?</v>
          </cell>
          <cell r="AI77" t="str">
            <v>/</v>
          </cell>
          <cell r="AJ77" t="str">
            <v>INTERNE</v>
          </cell>
          <cell r="AK77" t="str">
            <v>INTERNE</v>
          </cell>
          <cell r="AL77" t="str">
            <v>/</v>
          </cell>
          <cell r="AM77" t="str">
            <v>?</v>
          </cell>
        </row>
        <row r="78">
          <cell r="A78" t="str">
            <v>TH1412</v>
          </cell>
          <cell r="B78"/>
          <cell r="C78" t="str">
            <v>X</v>
          </cell>
          <cell r="D78" t="str">
            <v>X</v>
          </cell>
          <cell r="E78"/>
          <cell r="F78" t="str">
            <v>GRAI</v>
          </cell>
          <cell r="G78">
            <v>45408</v>
          </cell>
          <cell r="H78" t="str">
            <v>LES BIENFAITRICES</v>
          </cell>
          <cell r="I78" t="str">
            <v>LES INFUSIONS DE PLANTES</v>
          </cell>
          <cell r="J78" t="str">
            <v>Bruyère</v>
          </cell>
          <cell r="K78" t="str">
            <v>Élimination</v>
          </cell>
          <cell r="L78" t="str">
            <v>Infusion de plante</v>
          </cell>
          <cell r="M78" t="str">
            <v>?</v>
          </cell>
          <cell r="N78" t="str">
            <v>AB</v>
          </cell>
          <cell r="O78" t="str">
            <v>/</v>
          </cell>
          <cell r="P78" t="str">
            <v>/</v>
          </cell>
          <cell r="Q78" t="str">
            <v>/</v>
          </cell>
          <cell r="R78" t="str">
            <v>/</v>
          </cell>
          <cell r="S78" t="str">
            <v>/</v>
          </cell>
          <cell r="T78" t="str">
            <v>Agriculture UE</v>
          </cell>
          <cell r="U78"/>
          <cell r="V78" t="str">
            <v>Très appréciée dans les jardins pour ses jolies petites fleurs roses et violettes très mellifères, la bruyère est une plante particulièrement riche en saveur. Son infusion florale et sucrée d'une belle longueur en bouche évoque agréablement le miel dont elle est à l'origine. Une plante aux nombreux charmes, reconnue pour son action favorable sur le système urinaire et les fonctions d'élimination.</v>
          </cell>
          <cell r="W78"/>
          <cell r="X78" t="str">
            <v>Reconnues pour leur action positive sur le système urinaire et les fonctions d'élimination, les fleurs de bruyère particulièrement mellifères offrent une tisane florale et sucrée qui évoque agréablement le miel dont elles sont à l'origine.</v>
          </cell>
          <cell r="Y78"/>
          <cell r="Z78" t="str">
            <v>Ingrédient : bruyère* (Calluna vulgaris). *Issu de l'agriculture biologique.</v>
          </cell>
          <cell r="AA78"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78" t="str">
            <v>/</v>
          </cell>
          <cell r="AC78">
            <v>100</v>
          </cell>
          <cell r="AD78" t="str">
            <v>5-10</v>
          </cell>
          <cell r="AE78">
            <v>95</v>
          </cell>
          <cell r="AF78">
            <v>2</v>
          </cell>
          <cell r="AG78">
            <v>50</v>
          </cell>
          <cell r="AH78">
            <v>3582811014126</v>
          </cell>
          <cell r="AI78" t="str">
            <v>/</v>
          </cell>
          <cell r="AJ78" t="str">
            <v>ETHN1410V5</v>
          </cell>
          <cell r="AK78" t="str">
            <v>ETHN1410V5</v>
          </cell>
          <cell r="AL78" t="str">
            <v>/</v>
          </cell>
          <cell r="AM78" t="str">
            <v>?</v>
          </cell>
        </row>
        <row r="79">
          <cell r="A79" t="str">
            <v>TUTJ0736</v>
          </cell>
          <cell r="B79"/>
          <cell r="C79"/>
          <cell r="D79"/>
          <cell r="E79"/>
          <cell r="F79"/>
          <cell r="G79"/>
          <cell r="H79" t="str">
            <v>LES PRECIEUX DU JAPON ET DE TAIWAN</v>
          </cell>
          <cell r="I79"/>
          <cell r="J79" t="str">
            <v>Buddha Amacha</v>
          </cell>
          <cell r="K79" t="str">
            <v>甘茶</v>
          </cell>
          <cell r="L79" t="str">
            <v>Infusion de plante</v>
          </cell>
          <cell r="M79" t="str">
            <v>Japon - Iwate</v>
          </cell>
          <cell r="N79" t="str">
            <v>/</v>
          </cell>
          <cell r="O79" t="str">
            <v>/</v>
          </cell>
          <cell r="P79" t="str">
            <v>/</v>
          </cell>
          <cell r="Q79" t="str">
            <v>/</v>
          </cell>
          <cell r="R79" t="str">
            <v>/</v>
          </cell>
          <cell r="S79" t="str">
            <v>/</v>
          </cell>
          <cell r="T79" t="str">
            <v>/</v>
          </cell>
          <cell r="U79"/>
          <cell r="V79" t="str">
            <v>Prestigieuse infusion d’une saveur exceptionnelle obtenue à partir de feuilles d’Hydrangea, le Buddha Amacha se consomme lors de cérémonies religieuses ou de grandes occasions. Les notes complexes et sucrées aux forts accents de réglisse procurent d’intenses émotions gustatives et spirituelles.</v>
          </cell>
          <cell r="W79" t="str">
            <v>S22</v>
          </cell>
          <cell r="X79" t="str">
            <v>Cette prestigieuse infusion obtenue à partir de feuilles de l’Hydrangea serrata (hortensia) se consomme traditionnellement au Japon lors de cérémonies religieuses ou de grandes occasions. Ses saveurs sucrées aux notes reglissées procurent d’intenses émotions autant gustatives que spirituelles.</v>
          </cell>
          <cell r="Y79"/>
          <cell r="Z79" t="str">
            <v xml:space="preserve">Ingrédient : amacha (Hydrangea macrophylla). Garanti sans résidus de pesticides. </v>
          </cell>
          <cell r="AA79" t="str">
            <v>/</v>
          </cell>
          <cell r="AB79" t="str">
            <v>/</v>
          </cell>
          <cell r="AC79">
            <v>25</v>
          </cell>
          <cell r="AD79" t="str">
            <v>1</v>
          </cell>
          <cell r="AE79">
            <v>100</v>
          </cell>
          <cell r="AF79">
            <v>2</v>
          </cell>
          <cell r="AG79">
            <v>13</v>
          </cell>
          <cell r="AH79">
            <v>3582815707369</v>
          </cell>
          <cell r="AI79" t="str">
            <v>Plusieurs infusions</v>
          </cell>
          <cell r="AJ79" t="str">
            <v>ETTUTJ0736</v>
          </cell>
          <cell r="AK79" t="str">
            <v>ETTUTJ0736V5</v>
          </cell>
          <cell r="AL79" t="str">
            <v>/</v>
          </cell>
          <cell r="AM79" t="str">
            <v>Japon - Kagoshima</v>
          </cell>
        </row>
        <row r="80">
          <cell r="A80" t="str">
            <v>TN2275</v>
          </cell>
          <cell r="B80"/>
          <cell r="C80"/>
          <cell r="D80"/>
          <cell r="E80"/>
          <cell r="F80"/>
          <cell r="G80"/>
          <cell r="H80" t="str">
            <v>LES GRAND CRUS</v>
          </cell>
          <cell r="I80"/>
          <cell r="J80" t="str">
            <v>Call of the Wild</v>
          </cell>
          <cell r="K80" t="str">
            <v>jardin de Putharjhora 
Ex.14.04.2023
cultivar AV-2</v>
          </cell>
          <cell r="L80" t="str">
            <v>Thé noir primeur</v>
          </cell>
          <cell r="M80" t="str">
            <v>Inde - Dooars</v>
          </cell>
          <cell r="N80" t="str">
            <v>AB</v>
          </cell>
          <cell r="O80" t="str">
            <v>WFTO</v>
          </cell>
          <cell r="P80" t="str">
            <v>D</v>
          </cell>
          <cell r="Q80" t="str">
            <v>/</v>
          </cell>
          <cell r="R80" t="str">
            <v>/</v>
          </cell>
          <cell r="S80" t="str">
            <v>EF</v>
          </cell>
          <cell r="T80" t="str">
            <v>Agriculture Inde</v>
          </cell>
          <cell r="U80"/>
          <cell r="V80" t="str">
            <v>Primeur exceptionnel issu de vieux théiers non taillés. Infusion cristalline, souple et intense. Notes : florales (muguet, lilas, jasmin) boisées et sucrées.</v>
          </cell>
          <cell r="W80" t="str">
            <v>S22</v>
          </cell>
          <cell r="X80" t="str">
            <v>Les théiers les plus anciens du jardin de Putharjhora, qui poussent désormais librement, nous offrent un thé noir primeur surprenant à la fois rustique et complexe. Sa liqueur libère des saveurs sucrées de fruits jaunes cuits, de cassonade caramélisée accompagnées de notes sauvages et boisées.
Texte court : Thé noir primeur rare issu de vieux théiers poussant librement. Infusion complexe aux accents rustiques. Notes : fruits jaunes cuits, cassonade caramélisé, sauvages, boisées.</v>
          </cell>
          <cell r="Y80"/>
          <cell r="Z80" t="str">
            <v>Ingrédient : thé noir**. **Issu de l'agriculture biologique et biodynamique. demeter est la marque des produits issus de l'agriculture biodynamique certifiée.</v>
          </cell>
          <cell r="AA80" t="str">
            <v>/</v>
          </cell>
          <cell r="AB80" t="str">
            <v>Membre certifié World Fair Trade Organization, Les Jardins de Gaïa s’engagent pour un commerce plus juste et répondent aux exigences du commerce équitable. Pour en savoir plus : www.wfto.com.</v>
          </cell>
          <cell r="AC80">
            <v>400</v>
          </cell>
          <cell r="AD80" t="str">
            <v>3</v>
          </cell>
          <cell r="AE80">
            <v>95</v>
          </cell>
          <cell r="AF80">
            <v>2</v>
          </cell>
          <cell r="AG80">
            <v>250</v>
          </cell>
          <cell r="AH80">
            <v>3582810222751</v>
          </cell>
          <cell r="AI80" t="str">
            <v>/</v>
          </cell>
          <cell r="AJ80" t="str">
            <v>INTERNE</v>
          </cell>
          <cell r="AK80" t="str">
            <v>INTERNE</v>
          </cell>
          <cell r="AL80" t="str">
            <v>/</v>
          </cell>
          <cell r="AM80" t="str">
            <v>Putharjhora Tea Estate</v>
          </cell>
        </row>
        <row r="81">
          <cell r="A81" t="str">
            <v>TN2276</v>
          </cell>
          <cell r="B81"/>
          <cell r="C81"/>
          <cell r="D81"/>
          <cell r="E81"/>
          <cell r="F81"/>
          <cell r="G81"/>
          <cell r="H81" t="str">
            <v>LES GRAND CRUS</v>
          </cell>
          <cell r="I81"/>
          <cell r="J81" t="str">
            <v>Call of the Wild</v>
          </cell>
          <cell r="K81" t="str">
            <v>jardin de Putharjhora 
Ex.14.04.2023
cultivar AV-2</v>
          </cell>
          <cell r="L81" t="str">
            <v>Thé noir primeur</v>
          </cell>
          <cell r="M81" t="str">
            <v>Inde - Dooars</v>
          </cell>
          <cell r="N81" t="str">
            <v>AB</v>
          </cell>
          <cell r="O81" t="str">
            <v>WFTO</v>
          </cell>
          <cell r="P81" t="str">
            <v>D</v>
          </cell>
          <cell r="Q81" t="str">
            <v>/</v>
          </cell>
          <cell r="R81" t="str">
            <v>/</v>
          </cell>
          <cell r="S81" t="str">
            <v>EF</v>
          </cell>
          <cell r="T81" t="str">
            <v>Agriculture Inde</v>
          </cell>
          <cell r="U81"/>
          <cell r="V81" t="str">
            <v>Primeur exceptionnel issu de vieux théiers non taillés. Infusion cristalline, souple et intense. Notes : florales (muguet, lilas, jasmin) boisées et sucrées.</v>
          </cell>
          <cell r="W81" t="str">
            <v>S22</v>
          </cell>
          <cell r="X81" t="str">
            <v>Les théiers les plus anciens du jardin de Putharjhora, qui poussent désormais librement, nous offrent un thé noir primeur surprenant à la fois rustique et complexe. Sa liqueur libère des saveurs sucrées de fruits jaunes cuits, de cassonade caramélisée accompagnées de notes sauvages et boisées.
Texte court : Thé noir primeur rare issu de vieux théiers poussant librement. Infusion complexe aux accents rustiques. Notes : fruits jaunes cuits, cassonade caramélisé, sauvages, boisées.</v>
          </cell>
          <cell r="Y81"/>
          <cell r="Z81" t="str">
            <v>Ingrédient : thé noir**. **Issu de l'agriculture biologique et biodynamique. demeter est la marque des produits issus de l'agriculture biodynamique certifiée.</v>
          </cell>
          <cell r="AA81" t="str">
            <v>/</v>
          </cell>
          <cell r="AB81" t="str">
            <v>Membre certifié World Fair Trade Organization, Les Jardins de Gaïa s’engagent pour un commerce plus juste et répondent aux exigences du commerce équitable. Pour en savoir plus : www.wfto.com.</v>
          </cell>
          <cell r="AC81">
            <v>50</v>
          </cell>
          <cell r="AD81" t="str">
            <v>3</v>
          </cell>
          <cell r="AE81">
            <v>95</v>
          </cell>
          <cell r="AF81">
            <v>2</v>
          </cell>
          <cell r="AG81">
            <v>25</v>
          </cell>
          <cell r="AH81">
            <v>3582810222768</v>
          </cell>
          <cell r="AI81" t="str">
            <v>/</v>
          </cell>
          <cell r="AJ81" t="str">
            <v>ETNN227FF22</v>
          </cell>
          <cell r="AK81" t="str">
            <v>ETNN227FF22V5</v>
          </cell>
          <cell r="AL81" t="str">
            <v>/</v>
          </cell>
          <cell r="AM81" t="str">
            <v>Putharjhora Tea Estate</v>
          </cell>
        </row>
        <row r="82">
          <cell r="A82" t="str">
            <v>TH5081</v>
          </cell>
          <cell r="B82"/>
          <cell r="C82"/>
          <cell r="D82"/>
          <cell r="E82"/>
          <cell r="F82"/>
          <cell r="G82"/>
          <cell r="H82" t="str">
            <v>LES BIENFAITRICES</v>
          </cell>
          <cell r="I82" t="str">
            <v>LES INFUSIONS DE PLANTES</v>
          </cell>
          <cell r="J82" t="str">
            <v>Calmetoux</v>
          </cell>
          <cell r="K82" t="str">
            <v>Expectorante &amp; Apaisante
Thym - Fleurs de sureau</v>
          </cell>
          <cell r="L82" t="str">
            <v>Infusion de plantes</v>
          </cell>
          <cell r="M82" t="str">
            <v>/</v>
          </cell>
          <cell r="N82" t="str">
            <v>AB</v>
          </cell>
          <cell r="O82" t="str">
            <v>/</v>
          </cell>
          <cell r="P82" t="str">
            <v>/</v>
          </cell>
          <cell r="Q82" t="str">
            <v>/</v>
          </cell>
          <cell r="R82" t="str">
            <v>/</v>
          </cell>
          <cell r="S82" t="str">
            <v>/</v>
          </cell>
          <cell r="T82" t="str">
            <v>AT-BIO-302
Agriculture UE</v>
          </cell>
          <cell r="U82"/>
          <cell r="V82" t="str">
            <v>Inspirée d’une recette de grand-mère, cette infusion aide à soulager les voies respiratoires malmenées par son action expectorante. Toux, maux de gorge, refroidissement, rhume… Vous trouverez dans ce mélange de plantes un allié pour traverser sereinement l’hiver !</v>
          </cell>
          <cell r="W82"/>
          <cell r="X82" t="str">
            <v>Cette infusion à base de thym et de fleurs de sureau aide à soulager les voies respiratoires malmenées grâce à son action expectorante. Vous trouverez dans ce mélange de plantes, inspiré d’une recette de grand-mère, un allié pour traiter vos petits maux et traverser l’hiver sereinement !</v>
          </cell>
          <cell r="Y82"/>
          <cell r="Z82" t="str">
            <v>Ingrédients : menthe poivrée* (Mentha piperita), plantain lancéolé* (Plantago lanceolata), sauge* (Salvia officinalis), thym* 12% (Thymus vulgaris), camomille* (Matricaria chamomilla), fleurs de sureau* 5% (Sambucus nigra), fleurs de tilleul* (Tiliae flos). *Issu de l’agriculture biologique.</v>
          </cell>
          <cell r="AA82" t="str">
            <v>Consommation journalière conseillée : 1,5 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82" t="str">
            <v>/</v>
          </cell>
          <cell r="AC82">
            <v>300</v>
          </cell>
          <cell r="AD82" t="str">
            <v>5-10</v>
          </cell>
          <cell r="AE82">
            <v>95</v>
          </cell>
          <cell r="AF82">
            <v>2</v>
          </cell>
          <cell r="AG82">
            <v>150</v>
          </cell>
          <cell r="AH82">
            <v>3582811050810</v>
          </cell>
          <cell r="AI82" t="str">
            <v>/</v>
          </cell>
          <cell r="AJ82" t="str">
            <v>INTERNE</v>
          </cell>
          <cell r="AK82" t="str">
            <v>INTERNE</v>
          </cell>
          <cell r="AL82" t="str">
            <v>/</v>
          </cell>
          <cell r="AM82" t="str">
            <v>Sonnentor</v>
          </cell>
        </row>
        <row r="83">
          <cell r="A83" t="str">
            <v>TH508</v>
          </cell>
          <cell r="B83"/>
          <cell r="C83" t="str">
            <v>X</v>
          </cell>
          <cell r="D83" t="str">
            <v>X</v>
          </cell>
          <cell r="E83"/>
          <cell r="F83" t="str">
            <v>GRAI</v>
          </cell>
          <cell r="G83">
            <v>45383</v>
          </cell>
          <cell r="H83" t="str">
            <v>LES BIENFAITRICES</v>
          </cell>
          <cell r="I83" t="str">
            <v>LES INFUSIONS DE PLANTES</v>
          </cell>
          <cell r="J83" t="str">
            <v>Calmetoux</v>
          </cell>
          <cell r="K83" t="str">
            <v>Expectorante &amp; Apaisante
Thym - Fleurs de sureau</v>
          </cell>
          <cell r="L83" t="str">
            <v>Infusion de plantes</v>
          </cell>
          <cell r="M83" t="str">
            <v>/</v>
          </cell>
          <cell r="N83" t="str">
            <v>AB</v>
          </cell>
          <cell r="O83" t="str">
            <v>/</v>
          </cell>
          <cell r="P83" t="str">
            <v>/</v>
          </cell>
          <cell r="Q83" t="str">
            <v>/</v>
          </cell>
          <cell r="R83" t="str">
            <v>/</v>
          </cell>
          <cell r="S83" t="str">
            <v>/</v>
          </cell>
          <cell r="T83" t="str">
            <v>AT-BIO-302
Agriculture UE</v>
          </cell>
          <cell r="U83"/>
          <cell r="V83" t="str">
            <v>Inspirée d’une recette de grand-mère, cette infusion aide à soulager les voies respiratoires malmenées par son action expectorante. Toux, maux de gorge, refroidissement, rhume… Vous trouverez dans ce mélange de plantes un allié pour traverser sereinement l’hiver !</v>
          </cell>
          <cell r="W83"/>
          <cell r="X83" t="str">
            <v>Cette infusion à base de thym et de fleurs de sureau aide à soulager les voies respiratoires malmenées grâce à son action expectorante. Vous trouverez dans ce mélange de plantes, inspiré d’une recette de grand-mère, un allié pour traiter vos petits maux et traverser l’hiver sereinement !</v>
          </cell>
          <cell r="Y83"/>
          <cell r="Z83" t="str">
            <v>Ingrédients : menthe poivrée* (Mentha piperita), plantain lancéolé* (Plantago lanceolata), sauge* (Salvia officinalis), thym* 12% (Thymus vulgaris), camomille* (Matricaria chamomilla), fleurs de sureau* 5% (Sambucus nigra), fleurs de tilleul* (Tiliae flos). *Issu de l’agriculture biologique.</v>
          </cell>
          <cell r="AA83" t="str">
            <v>Consommation journalière conseillée : 1,5 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83" t="str">
            <v>/</v>
          </cell>
          <cell r="AC83">
            <v>50</v>
          </cell>
          <cell r="AD83" t="str">
            <v>5-10</v>
          </cell>
          <cell r="AE83">
            <v>95</v>
          </cell>
          <cell r="AF83">
            <v>2</v>
          </cell>
          <cell r="AG83">
            <v>25</v>
          </cell>
          <cell r="AH83">
            <v>3582811005087</v>
          </cell>
          <cell r="AI83" t="str">
            <v>/</v>
          </cell>
          <cell r="AJ83" t="str">
            <v>ETHN5080V5</v>
          </cell>
          <cell r="AK83" t="str">
            <v>ETHN5080V5</v>
          </cell>
          <cell r="AL83" t="str">
            <v>/</v>
          </cell>
          <cell r="AM83" t="str">
            <v>Sonnentor</v>
          </cell>
        </row>
        <row r="84">
          <cell r="A84" t="str">
            <v>TH2061</v>
          </cell>
          <cell r="B84"/>
          <cell r="C84"/>
          <cell r="D84"/>
          <cell r="E84"/>
          <cell r="F84"/>
          <cell r="G84"/>
          <cell r="H84" t="str">
            <v>LES BIENFAITRICES</v>
          </cell>
          <cell r="I84" t="str">
            <v>LES INFUSIONS DE PLANTES</v>
          </cell>
          <cell r="J84" t="str">
            <v xml:space="preserve">Camomille </v>
          </cell>
          <cell r="K84" t="str">
            <v>Apaisante</v>
          </cell>
          <cell r="L84" t="str">
            <v>Infusion de plante</v>
          </cell>
          <cell r="M84" t="str">
            <v>Autriche</v>
          </cell>
          <cell r="N84" t="str">
            <v>AB</v>
          </cell>
          <cell r="O84" t="str">
            <v>/</v>
          </cell>
          <cell r="P84" t="str">
            <v>/</v>
          </cell>
          <cell r="Q84" t="str">
            <v>/</v>
          </cell>
          <cell r="R84" t="str">
            <v>/</v>
          </cell>
          <cell r="S84" t="str">
            <v>/</v>
          </cell>
          <cell r="T84" t="str">
            <v>Agriculture UE</v>
          </cell>
          <cell r="U84"/>
          <cell r="V84" t="str">
            <v>Dans de nombreuses traditions, cette plante familière était considérée comme sacrée en raison de maux qu’elle soulage. Son infusion douce et agréable est particulièrement appréciée pour ses propriétés apaisantes et son action positive sur la sphère digestive. Une excellente compagne du quotidien, à boire seule ou additionnée d'autres plantes !</v>
          </cell>
          <cell r="W84"/>
          <cell r="X84" t="str">
            <v>L’infusion douce et agréable des fleurs de camomille est particulièrement appréciée pour ses propriétés apaisantes et son action positive sur la sphère digestive. Une excellente compagne au quotidien qui fait partie des tisanes « indispensables » à avoir dans son placard.</v>
          </cell>
          <cell r="Y84"/>
          <cell r="Z84" t="str">
            <v>Ingrédient : fleurs de camomille* (Matricaria chamomilla). *Issu de l’agriculture biologique.</v>
          </cell>
          <cell r="AA84"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84" t="str">
            <v>/</v>
          </cell>
          <cell r="AC84">
            <v>500</v>
          </cell>
          <cell r="AD84" t="str">
            <v>5-10</v>
          </cell>
          <cell r="AE84">
            <v>95</v>
          </cell>
          <cell r="AF84">
            <v>2</v>
          </cell>
          <cell r="AG84">
            <v>250</v>
          </cell>
          <cell r="AH84">
            <v>3582811020615</v>
          </cell>
          <cell r="AI84" t="str">
            <v>/</v>
          </cell>
          <cell r="AJ84" t="str">
            <v>INTERNE</v>
          </cell>
          <cell r="AK84" t="str">
            <v>INTERNE</v>
          </cell>
          <cell r="AL84" t="str">
            <v>/</v>
          </cell>
          <cell r="AM84" t="str">
            <v>Sonnentor</v>
          </cell>
        </row>
        <row r="85">
          <cell r="A85" t="str">
            <v>TH206</v>
          </cell>
          <cell r="B85"/>
          <cell r="C85" t="str">
            <v>X</v>
          </cell>
          <cell r="D85" t="str">
            <v>X</v>
          </cell>
          <cell r="E85"/>
          <cell r="F85" t="str">
            <v>GRAI</v>
          </cell>
          <cell r="G85">
            <v>45408</v>
          </cell>
          <cell r="H85" t="str">
            <v>LES BIENFAITRICES</v>
          </cell>
          <cell r="I85" t="str">
            <v>LES INFUSIONS DE PLANTES</v>
          </cell>
          <cell r="J85" t="str">
            <v xml:space="preserve">Camomille </v>
          </cell>
          <cell r="K85" t="str">
            <v>Apaisante</v>
          </cell>
          <cell r="L85" t="str">
            <v>Infusion de plante</v>
          </cell>
          <cell r="M85" t="str">
            <v>Autriche</v>
          </cell>
          <cell r="N85" t="str">
            <v>AB</v>
          </cell>
          <cell r="O85" t="str">
            <v>/</v>
          </cell>
          <cell r="P85" t="str">
            <v>/</v>
          </cell>
          <cell r="Q85" t="str">
            <v>/</v>
          </cell>
          <cell r="R85" t="str">
            <v>/</v>
          </cell>
          <cell r="S85" t="str">
            <v>/</v>
          </cell>
          <cell r="T85" t="str">
            <v>Agriculture UE</v>
          </cell>
          <cell r="U85"/>
          <cell r="V85" t="str">
            <v>Dans de nombreuses traditions, cette plante familière était considérée comme sacrée en raison de maux qu’elle soulage. Son infusion douce et agréable est particulièrement appréciée pour ses propriétés apaisantes et son action positive sur la sphère digestive. Une excellente compagne du quotidien, à boire seule ou additionnée d'autres plantes !</v>
          </cell>
          <cell r="W85"/>
          <cell r="X85" t="str">
            <v>L’infusion douce et agréable des fleurs de camomille est particulièrement appréciée pour ses propriétés apaisantes et son action positive sur la sphère digestive. Une excellente compagne au quotidien qui fait partie des tisanes « indispensables » à avoir dans son placard.</v>
          </cell>
          <cell r="Y85"/>
          <cell r="Z85" t="str">
            <v>Ingrédient : fleurs de camomille* (Matricaria chamomilla). *Issu de l’agriculture biologique.</v>
          </cell>
          <cell r="AA85"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85" t="str">
            <v>/</v>
          </cell>
          <cell r="AC85">
            <v>50</v>
          </cell>
          <cell r="AD85" t="str">
            <v>5-10</v>
          </cell>
          <cell r="AE85">
            <v>95</v>
          </cell>
          <cell r="AF85">
            <v>2</v>
          </cell>
          <cell r="AG85">
            <v>25</v>
          </cell>
          <cell r="AH85">
            <v>3582811002062</v>
          </cell>
          <cell r="AI85" t="str">
            <v>/</v>
          </cell>
          <cell r="AJ85" t="str">
            <v>ETHN2060V5</v>
          </cell>
          <cell r="AK85" t="str">
            <v>ETHN2060V5</v>
          </cell>
          <cell r="AL85" t="str">
            <v>/</v>
          </cell>
          <cell r="AM85" t="str">
            <v>Sonnentor</v>
          </cell>
        </row>
        <row r="86">
          <cell r="A86" t="str">
            <v>TN5891</v>
          </cell>
          <cell r="B86"/>
          <cell r="C86"/>
          <cell r="D86"/>
          <cell r="E86"/>
          <cell r="F86"/>
          <cell r="G86"/>
          <cell r="H86" t="str">
            <v>LES ENGAGÉS</v>
          </cell>
          <cell r="I86" t="str">
            <v>AGIR POUR LA NATURE</v>
          </cell>
          <cell r="J86" t="str">
            <v>Cap Ouganda</v>
          </cell>
          <cell r="K86" t="str">
            <v>/</v>
          </cell>
          <cell r="L86" t="str">
            <v>Thé noir d'origine</v>
          </cell>
          <cell r="M86" t="str">
            <v>Ouganda</v>
          </cell>
          <cell r="N86" t="str">
            <v>AB</v>
          </cell>
          <cell r="O86" t="str">
            <v>/</v>
          </cell>
          <cell r="P86" t="str">
            <v>/</v>
          </cell>
          <cell r="Q86" t="str">
            <v>/</v>
          </cell>
          <cell r="R86" t="str">
            <v>/</v>
          </cell>
          <cell r="S86" t="str">
            <v>/</v>
          </cell>
          <cell r="T86" t="str">
            <v>Agriculture Ouganda</v>
          </cell>
          <cell r="U86"/>
          <cell r="V86" t="str">
            <v>Produit en agroforesterie et entièrement élaboré à la main à proximité du Parc national de Kibale en Ouganda, ce thé noir séduit par sa belle complexité aromatique qui reflète la grande biodiversité de son terroir. En bouche, sa liqueur veloutée et dénuée d’amertume offre des saveurs fruitées qui évoquent la douceur de la mangue sur un fond malté et sucré particulièrement intense et gourmand.</v>
          </cell>
          <cell r="W86" t="str">
            <v>S22</v>
          </cell>
          <cell r="X86" t="str">
            <v>Produit en agroforesterie en Ouganda, ce thé noir séduit par sa belle complexité aromatique qui reflète la biodiversité de son terroir. Sa liqueur veloutée et dénuée d’amertume offre d’agréables saveurs fruitées qui évoquent la douceur de la mangue sur un fond malté et sucré intense et gourmand.</v>
          </cell>
          <cell r="Y86" t="str">
            <v>L'association Projet pour la Conservation des Grands Singes (PCGS) œuvre à la protection des chimpanzés sauvages et de leurs habitats, les forêts tropicales. helloasso.com/associations/projet-pour-la-conservation-des-grands-singes</v>
          </cell>
          <cell r="Z86" t="str">
            <v>Ingrédient : thé noir*. *Issu de l’agriculture biologique.</v>
          </cell>
          <cell r="AA86" t="str">
            <v>/</v>
          </cell>
          <cell r="AB86" t="str">
            <v>/</v>
          </cell>
          <cell r="AC86">
            <v>1.5</v>
          </cell>
          <cell r="AD86" t="str">
            <v>3-4</v>
          </cell>
          <cell r="AE86">
            <v>95</v>
          </cell>
          <cell r="AF86">
            <v>2</v>
          </cell>
          <cell r="AG86">
            <v>750</v>
          </cell>
          <cell r="AH86">
            <v>3582810258910</v>
          </cell>
          <cell r="AI86" t="str">
            <v>/</v>
          </cell>
          <cell r="AJ86" t="str">
            <v>INTERNE</v>
          </cell>
          <cell r="AK86" t="str">
            <v>INTERNE</v>
          </cell>
          <cell r="AL86" t="str">
            <v>/</v>
          </cell>
          <cell r="AM86" t="str">
            <v>Kahangi Estate</v>
          </cell>
        </row>
        <row r="87">
          <cell r="A87" t="str">
            <v>TN5896</v>
          </cell>
          <cell r="B87"/>
          <cell r="C87"/>
          <cell r="D87"/>
          <cell r="E87"/>
          <cell r="F87"/>
          <cell r="G87"/>
          <cell r="H87" t="str">
            <v>LES ENGAGÉS</v>
          </cell>
          <cell r="I87" t="str">
            <v>AGIR POUR LA NATURE</v>
          </cell>
          <cell r="J87" t="str">
            <v>Cap Ouganda</v>
          </cell>
          <cell r="K87" t="str">
            <v>/</v>
          </cell>
          <cell r="L87" t="str">
            <v>Thé noir d'origine</v>
          </cell>
          <cell r="M87" t="str">
            <v>Ouganda</v>
          </cell>
          <cell r="N87" t="str">
            <v>AB</v>
          </cell>
          <cell r="O87" t="str">
            <v>/</v>
          </cell>
          <cell r="P87" t="str">
            <v>/</v>
          </cell>
          <cell r="Q87" t="str">
            <v>/</v>
          </cell>
          <cell r="R87" t="str">
            <v>/</v>
          </cell>
          <cell r="S87" t="str">
            <v>/</v>
          </cell>
          <cell r="T87" t="str">
            <v>Agriculture Ouganda</v>
          </cell>
          <cell r="U87"/>
          <cell r="V87" t="str">
            <v>Produit en agroforesterie et entièrement élaboré à la main à proximité du Parc national de Kibale en Ouganda, ce thé noir séduit par sa belle complexité aromatique qui reflète la grande biodiversité de son terroir. En bouche, sa liqueur veloutée et dénuée d’amertume offre des saveurs fruitées qui évoquent la douceur de la mangue sur un fond malté et sucré particulièrement intense et gourmand.</v>
          </cell>
          <cell r="W87" t="str">
            <v>S22</v>
          </cell>
          <cell r="X87" t="str">
            <v>Produit en agroforesterie en Ouganda, ce thé noir séduit par sa belle complexité aromatique qui reflète la biodiversité de son terroir. Sa liqueur veloutée et dénuée d’amertume offre d’agréables saveurs fruitées qui évoquent la douceur de la mangue sur un fond malté et sucré intense et gourmand.</v>
          </cell>
          <cell r="Y87" t="str">
            <v>L'association Projet pour la Conservation des Grands Singes (PCGS) œuvre à la protection des chimpanzés sauvages et de leurs habitats, les forêts tropicales. helloasso.com/associations/projet-pour-la-conservation-des-grands-singes</v>
          </cell>
          <cell r="Z87" t="str">
            <v>Ingrédient : thé noir*. *Issu de l’agriculture biologique.</v>
          </cell>
          <cell r="AA87" t="str">
            <v>/</v>
          </cell>
          <cell r="AB87" t="str">
            <v>/</v>
          </cell>
          <cell r="AC87">
            <v>50</v>
          </cell>
          <cell r="AD87" t="str">
            <v>3-4</v>
          </cell>
          <cell r="AE87">
            <v>95</v>
          </cell>
          <cell r="AF87">
            <v>2</v>
          </cell>
          <cell r="AG87">
            <v>25</v>
          </cell>
          <cell r="AH87">
            <v>3582810258965</v>
          </cell>
          <cell r="AI87" t="str">
            <v>/</v>
          </cell>
          <cell r="AJ87" t="str">
            <v>ETNN589</v>
          </cell>
          <cell r="AK87" t="str">
            <v>ETNN589V5</v>
          </cell>
          <cell r="AL87" t="str">
            <v>ETCNN5896V5</v>
          </cell>
          <cell r="AM87" t="str">
            <v>Kahangi Estate</v>
          </cell>
        </row>
        <row r="88">
          <cell r="A88" t="str">
            <v>TA6741</v>
          </cell>
          <cell r="B88"/>
          <cell r="C88"/>
          <cell r="D88"/>
          <cell r="E88"/>
          <cell r="F88"/>
          <cell r="G88"/>
          <cell r="H88" t="str">
            <v>LES GRANDS CLASSIQUES</v>
          </cell>
          <cell r="I88"/>
          <cell r="J88" t="str">
            <v>Caprice gourmand</v>
          </cell>
          <cell r="K88" t="str">
            <v>Rhubarbe - Fraise</v>
          </cell>
          <cell r="L88" t="str">
            <v>Thé vert aromatisé</v>
          </cell>
          <cell r="M88" t="str">
            <v>Inde - Chine</v>
          </cell>
          <cell r="N88" t="str">
            <v>AB</v>
          </cell>
          <cell r="O88" t="str">
            <v>WFTO</v>
          </cell>
          <cell r="P88" t="str">
            <v>/</v>
          </cell>
          <cell r="Q88" t="str">
            <v>/</v>
          </cell>
          <cell r="R88" t="str">
            <v>/</v>
          </cell>
          <cell r="S88" t="str">
            <v>/</v>
          </cell>
          <cell r="T88" t="str">
            <v>Agriculture UE/non UE</v>
          </cell>
          <cell r="U88"/>
          <cell r="V88" t="str">
            <v>Gourmandise légère, cette jolie recette printanière parsemée de pétales de souci laisse délicieusement en bouche un goût de fruit sucré acidulé, arrondi par une douce et très agréable note vanillée. Un vrai moment de plaisir, à partager !</v>
          </cell>
          <cell r="W88"/>
          <cell r="X88" t="str">
            <v>Ce caprice gourmand associe la fraîcheur du thé vert à l’irrésistible duo sucré acidulé de la fraise et de la rhubarbe sur un fond de vanille, tout en velouté. Une recette qui se savoure aussi bien en infusion chaude que glacée, seul ou à plusieurs.</v>
          </cell>
          <cell r="Y88"/>
          <cell r="Z88" t="str">
            <v>Ingrédients : thé vert*, arômes naturels de (rhubarbe, fraise*) 7%, morceaux de fruits (rhubarbe*, fraise*) 2%, morceaux de vanille*. *Issu de l'agriculture biologique.</v>
          </cell>
          <cell r="AA88" t="str">
            <v>/</v>
          </cell>
          <cell r="AB88" t="str">
            <v>Membre certifié World Fair Trade Organization, Les Jardins de Gaïa s’engagent pour un commerce plus juste et répondent aux exigences du commerce équitable. Pour en savoir plus : www.wfto.com.</v>
          </cell>
          <cell r="AC88">
            <v>1.5</v>
          </cell>
          <cell r="AD88" t="str">
            <v>3</v>
          </cell>
          <cell r="AE88">
            <v>75</v>
          </cell>
          <cell r="AF88">
            <v>2</v>
          </cell>
          <cell r="AG88">
            <v>750</v>
          </cell>
          <cell r="AH88">
            <v>3582810867419</v>
          </cell>
          <cell r="AI88" t="str">
            <v>/</v>
          </cell>
          <cell r="AJ88" t="str">
            <v>INTERNE</v>
          </cell>
          <cell r="AK88" t="str">
            <v>INTERNE</v>
          </cell>
          <cell r="AL88" t="str">
            <v>/</v>
          </cell>
          <cell r="AM88" t="str">
            <v>Création maison</v>
          </cell>
        </row>
        <row r="89">
          <cell r="A89" t="str">
            <v>TA6742</v>
          </cell>
          <cell r="B89"/>
          <cell r="C89" t="str">
            <v>X</v>
          </cell>
          <cell r="D89" t="str">
            <v>x</v>
          </cell>
          <cell r="E89" t="str">
            <v>X</v>
          </cell>
          <cell r="F89" t="str">
            <v>GRAI</v>
          </cell>
          <cell r="G89">
            <v>45383</v>
          </cell>
          <cell r="H89" t="str">
            <v>LES GRANDS CLASSIQUES</v>
          </cell>
          <cell r="I89"/>
          <cell r="J89" t="str">
            <v>Caprice gourmand</v>
          </cell>
          <cell r="K89" t="str">
            <v>Rhubarbe - Fraise</v>
          </cell>
          <cell r="L89" t="str">
            <v>Thé vert aromatisé</v>
          </cell>
          <cell r="M89" t="str">
            <v>Chine - Vietnam</v>
          </cell>
          <cell r="N89" t="str">
            <v>AB</v>
          </cell>
          <cell r="O89" t="str">
            <v>WFTO</v>
          </cell>
          <cell r="P89" t="str">
            <v>/</v>
          </cell>
          <cell r="Q89" t="str">
            <v>/</v>
          </cell>
          <cell r="R89" t="str">
            <v>/</v>
          </cell>
          <cell r="S89" t="str">
            <v>/</v>
          </cell>
          <cell r="T89" t="str">
            <v>Agriculture UE/non UE</v>
          </cell>
          <cell r="U89"/>
          <cell r="V89" t="str">
            <v>Gourmandise légère, cette jolie recette printanière parsemée de pétales de souci laisse délicieusement en bouche un goût de fruit sucré acidulé, arrondi par une douce et très agréable note vanillée. Un vrai moment de plaisir, à partager !</v>
          </cell>
          <cell r="W89"/>
          <cell r="X89" t="str">
            <v>Ce caprice gourmand associe la fraîcheur du thé vert à l’irrésistible duo sucré acidulé de la fraise et de la rhubarbe sur un fond de vanille, tout en velouté. Une recette qui se savoure aussi bien en infusion chaude que glacée, seul ou à plusieurs.</v>
          </cell>
          <cell r="Y89"/>
          <cell r="Z89" t="str">
            <v>Ingrédients : thé vert*, arômes naturels de (rhubarbe, fraise*) 7%, morceaux de fruits (rhubarbe*, fraise*) 2%, morceaux de vanille*. *Issu de l'agriculture biologique.</v>
          </cell>
          <cell r="AA89" t="str">
            <v>/</v>
          </cell>
          <cell r="AB89" t="str">
            <v>Membre certifié World Fair Trade Organization, Les Jardins de Gaïa s’engagent pour un commerce plus juste et répondent aux exigences du commerce équitable. Pour en savoir plus : www.wfto.com.</v>
          </cell>
          <cell r="AC89">
            <v>100</v>
          </cell>
          <cell r="AD89" t="str">
            <v>3</v>
          </cell>
          <cell r="AE89">
            <v>75</v>
          </cell>
          <cell r="AF89">
            <v>2</v>
          </cell>
          <cell r="AG89">
            <v>50</v>
          </cell>
          <cell r="AH89">
            <v>3582810867426</v>
          </cell>
          <cell r="AI89" t="str">
            <v>/</v>
          </cell>
          <cell r="AJ89" t="str">
            <v>ETVA674V5</v>
          </cell>
          <cell r="AK89" t="str">
            <v>ETVA674V5</v>
          </cell>
          <cell r="AL89" t="str">
            <v>ETCVA6742V5</v>
          </cell>
          <cell r="AM89" t="str">
            <v>Guzhang Gaofeng Organic Tea Association</v>
          </cell>
        </row>
        <row r="90">
          <cell r="A90" t="str">
            <v>TM6861</v>
          </cell>
          <cell r="B90"/>
          <cell r="C90"/>
          <cell r="D90"/>
          <cell r="E90"/>
          <cell r="F90"/>
          <cell r="G90"/>
          <cell r="H90" t="str">
            <v>LES GRANDS CLASSIQUES</v>
          </cell>
          <cell r="I90"/>
          <cell r="J90" t="str">
            <v>Casablanca Dream</v>
          </cell>
          <cell r="K90" t="str">
            <v>Menthe poivrée</v>
          </cell>
          <cell r="L90" t="str">
            <v>Thé vert parfumé</v>
          </cell>
          <cell r="M90" t="str">
            <v>Inde - Chine</v>
          </cell>
          <cell r="N90" t="str">
            <v>AB</v>
          </cell>
          <cell r="O90" t="str">
            <v>WFTO</v>
          </cell>
          <cell r="P90" t="str">
            <v>/</v>
          </cell>
          <cell r="Q90" t="str">
            <v>/</v>
          </cell>
          <cell r="R90" t="str">
            <v>/</v>
          </cell>
          <cell r="S90" t="str">
            <v>/</v>
          </cell>
          <cell r="T90" t="str">
            <v>Agriculture UE/non UE</v>
          </cell>
          <cell r="U90"/>
          <cell r="V90" t="str">
            <v>Ce mariage réussi d'un thé vert de caractère et de menthe vous emportera aux confins du désert, autour d'un feu…  Préparé à l'occidentale, ou de manière plus traditionnelle, extrêmement rafraîchissant et digeste, il se déguste entre amis à chaque instant !</v>
          </cell>
          <cell r="W90"/>
          <cell r="X90" t="str">
            <v>Avec ce mariage d’un thé vert à l’incomparable fraîcheur désaltérante de la menthe, transportez vos sens aux confins du désert… Ce thé vert à la menthe, qui se déguste nature ou agrémenté de sucre à la manière traditionnelle, est la meilleure manière de se retrouver entre amis autour d’une théière.</v>
          </cell>
          <cell r="Y90"/>
          <cell r="Z90" t="str">
            <v xml:space="preserve">Ingrédients : thé vert*, menthe poivrée* 10% et menthe nana*. *Issu de l'agriculture biologique. </v>
          </cell>
          <cell r="AA90" t="str">
            <v>/</v>
          </cell>
          <cell r="AB90" t="str">
            <v>Membre certifié World Fair Trade Organization, Les Jardins de Gaïa s’engagent pour un commerce plus juste et répondent aux exigences du commerce équitable. Pour en savoir plus : www.wfto.com.</v>
          </cell>
          <cell r="AC90">
            <v>1.5</v>
          </cell>
          <cell r="AD90" t="str">
            <v>3</v>
          </cell>
          <cell r="AE90">
            <v>75</v>
          </cell>
          <cell r="AF90">
            <v>2</v>
          </cell>
          <cell r="AG90">
            <v>750</v>
          </cell>
          <cell r="AH90">
            <v>3582811768616</v>
          </cell>
          <cell r="AI90" t="str">
            <v>/</v>
          </cell>
          <cell r="AJ90" t="str">
            <v>INTERNE</v>
          </cell>
          <cell r="AK90" t="str">
            <v>INTERNE</v>
          </cell>
          <cell r="AL90" t="str">
            <v>/</v>
          </cell>
          <cell r="AM90" t="str">
            <v>Création maison</v>
          </cell>
        </row>
        <row r="91">
          <cell r="A91" t="str">
            <v>TM6862</v>
          </cell>
          <cell r="B91"/>
          <cell r="C91" t="str">
            <v>X</v>
          </cell>
          <cell r="D91" t="str">
            <v>x</v>
          </cell>
          <cell r="E91" t="str">
            <v>x</v>
          </cell>
          <cell r="F91" t="str">
            <v>GRAI</v>
          </cell>
          <cell r="G91">
            <v>45383</v>
          </cell>
          <cell r="H91" t="str">
            <v>LES GRANDS CLASSIQUES</v>
          </cell>
          <cell r="I91"/>
          <cell r="J91" t="str">
            <v>Casablanca Dream</v>
          </cell>
          <cell r="K91" t="str">
            <v>Menthe poivrée</v>
          </cell>
          <cell r="L91" t="str">
            <v>Thé vert parfumé</v>
          </cell>
          <cell r="M91" t="str">
            <v>Inde - Chine</v>
          </cell>
          <cell r="N91" t="str">
            <v>AB</v>
          </cell>
          <cell r="O91" t="str">
            <v>WFTO</v>
          </cell>
          <cell r="P91" t="str">
            <v>/</v>
          </cell>
          <cell r="Q91" t="str">
            <v>/</v>
          </cell>
          <cell r="R91" t="str">
            <v>/</v>
          </cell>
          <cell r="S91" t="str">
            <v>/</v>
          </cell>
          <cell r="T91" t="str">
            <v>Agriculture UE/non UE</v>
          </cell>
          <cell r="U91"/>
          <cell r="V91" t="str">
            <v>Ce mariage réussi d'un thé vert de caractère et de menthe vous emportera aux confins du désert, autour d'un feu…  Préparé à l'occidentale, ou de manière plus traditionnelle, extrêmement rafraîchissant et digeste, il se déguste entre amis à chaque instant !</v>
          </cell>
          <cell r="W91"/>
          <cell r="X91" t="str">
            <v>Avec ce mariage d’un thé vert à l’incomparable fraîcheur désaltérante de la menthe, transportez vos sens aux confins du désert… Ce thé vert à la menthe, qui se déguste nature ou agrémenté de sucre à la manière traditionnelle, est la meilleure manière de se retrouver entre amis autour d’une théière.</v>
          </cell>
          <cell r="Y91"/>
          <cell r="Z91" t="str">
            <v xml:space="preserve">Ingrédients : thé vert*, menthe poivrée* 10% et menthe nana*. *Issu de l'agriculture biologique. </v>
          </cell>
          <cell r="AA91" t="str">
            <v>/</v>
          </cell>
          <cell r="AB91" t="str">
            <v>Membre certifié World Fair Trade Organization, Les Jardins de Gaïa s’engagent pour un commerce plus juste et répondent aux exigences du commerce équitable. Pour en savoir plus : www.wfto.com.</v>
          </cell>
          <cell r="AC91">
            <v>100</v>
          </cell>
          <cell r="AD91" t="str">
            <v>3</v>
          </cell>
          <cell r="AE91">
            <v>75</v>
          </cell>
          <cell r="AF91">
            <v>2</v>
          </cell>
          <cell r="AG91"/>
          <cell r="AH91">
            <v>3582811768623</v>
          </cell>
          <cell r="AI91" t="str">
            <v>/</v>
          </cell>
          <cell r="AJ91" t="str">
            <v>ETVM686</v>
          </cell>
          <cell r="AK91" t="str">
            <v>ETVM686V5</v>
          </cell>
          <cell r="AL91" t="str">
            <v>ETCVM6862V5</v>
          </cell>
          <cell r="AM91" t="str">
            <v>Putharjhora + Xuan En Yisheng Tea Cooperative</v>
          </cell>
        </row>
        <row r="92">
          <cell r="A92" t="str">
            <v>TH5381</v>
          </cell>
          <cell r="B92"/>
          <cell r="C92"/>
          <cell r="D92"/>
          <cell r="E92"/>
          <cell r="F92"/>
          <cell r="G92"/>
          <cell r="H92" t="str">
            <v>LES GRANDS CLASSIQUES</v>
          </cell>
          <cell r="I92" t="str">
            <v>LES INFUSIONS DE PLANTES</v>
          </cell>
          <cell r="J92" t="str">
            <v>Ce que racontent les étoiles</v>
          </cell>
          <cell r="K92" t="str">
            <v>Lemongrass - feuilles de framboisier - mélisse</v>
          </cell>
          <cell r="L92" t="str">
            <v>Infusion de plantes</v>
          </cell>
          <cell r="M92" t="str">
            <v>/</v>
          </cell>
          <cell r="N92" t="str">
            <v>AB</v>
          </cell>
          <cell r="O92" t="str">
            <v>/</v>
          </cell>
          <cell r="P92" t="str">
            <v>/</v>
          </cell>
          <cell r="Q92" t="str">
            <v>/</v>
          </cell>
          <cell r="R92" t="str">
            <v>/</v>
          </cell>
          <cell r="S92" t="str">
            <v>/</v>
          </cell>
          <cell r="T92" t="str">
            <v>Agriculture UE
recette en cours d'internalisation oct 23</v>
          </cell>
          <cell r="U92"/>
          <cell r="V92" t="str">
            <v>Un soir de clair de lune, allongé sous les étoiles. Cette tisane douce et enveloppante, fleurie, au léger parfum de foin coupé est une invitation à la contemplation et à la sérénité. Savourez-la en début de soirée et écoutez la nature se livrer…</v>
          </cell>
          <cell r="W92"/>
          <cell r="X92" t="str">
            <v>Cette tisane douce et enveloppante aux saveurs florales et légèrement citronnées est une invitation à une sereine contemplation. À savourer idéalement sous les étoiles en écoutant les secrets qu’elles ont à livrer.</v>
          </cell>
          <cell r="Y92"/>
          <cell r="Z92" t="str">
            <v>Ingrédients : lemongrass* (Cymbopogon citratus) 32%, feuilles de framboisier* (Rubus idaeus) 32%, mélisse* (Melissa officinalis) 22%, fleurs de tilleul* (Tiliae flos), pétales de bleuet* (Centaurea cyanus), pétales de souci* (Calendula officinalis), pétales de rose* (Rosa damascena). *Issu de l'agriculture biologique.</v>
          </cell>
          <cell r="AA92" t="str">
            <v>/</v>
          </cell>
          <cell r="AB92" t="str">
            <v>/</v>
          </cell>
          <cell r="AC92" t="str">
            <v>?</v>
          </cell>
          <cell r="AD92" t="str">
            <v>5-10</v>
          </cell>
          <cell r="AE92">
            <v>95</v>
          </cell>
          <cell r="AF92">
            <v>2</v>
          </cell>
          <cell r="AG92" t="str">
            <v>?</v>
          </cell>
          <cell r="AH92" t="str">
            <v>?</v>
          </cell>
          <cell r="AI92" t="str">
            <v>/</v>
          </cell>
          <cell r="AJ92" t="str">
            <v>INTERNE</v>
          </cell>
          <cell r="AK92" t="str">
            <v>INTERNE</v>
          </cell>
          <cell r="AL92" t="str">
            <v>/</v>
          </cell>
          <cell r="AM92" t="str">
            <v>Sonnentor</v>
          </cell>
        </row>
        <row r="93">
          <cell r="A93" t="str">
            <v>TH538</v>
          </cell>
          <cell r="B93"/>
          <cell r="C93" t="str">
            <v>X</v>
          </cell>
          <cell r="D93" t="str">
            <v>X</v>
          </cell>
          <cell r="E93"/>
          <cell r="F93" t="str">
            <v>GRAI</v>
          </cell>
          <cell r="G93">
            <v>45408</v>
          </cell>
          <cell r="H93" t="str">
            <v>LES GRANDS CLASSIQUES</v>
          </cell>
          <cell r="I93" t="str">
            <v>LES INFUSIONS DE PLANTES</v>
          </cell>
          <cell r="J93" t="str">
            <v>Ce que racontent les étoiles</v>
          </cell>
          <cell r="K93" t="str">
            <v>Lemongrass - feuilles de framboisier - mélisse</v>
          </cell>
          <cell r="L93" t="str">
            <v>Infusion de plantes</v>
          </cell>
          <cell r="M93" t="str">
            <v>/</v>
          </cell>
          <cell r="N93" t="str">
            <v>AB</v>
          </cell>
          <cell r="O93" t="str">
            <v>/</v>
          </cell>
          <cell r="P93" t="str">
            <v>/</v>
          </cell>
          <cell r="Q93" t="str">
            <v>/</v>
          </cell>
          <cell r="R93" t="str">
            <v>/</v>
          </cell>
          <cell r="S93" t="str">
            <v>/</v>
          </cell>
          <cell r="T93" t="str">
            <v>Agriculture UE
recette en cours d'internalisation oct 23</v>
          </cell>
          <cell r="U93"/>
          <cell r="V93" t="str">
            <v>Un soir de clair de lune, allongé sous les étoiles. Cette tisane douce et enveloppante, fleurie, au léger parfum de foin coupé est une invitation à la contemplation et à la sérénité. Savourez-la en début de soirée et écoutez la nature se livrer…</v>
          </cell>
          <cell r="W93"/>
          <cell r="X93" t="str">
            <v>Cette tisane douce et enveloppante aux saveurs florales et légèrement citronnées est une invitation à une sereine contemplation. À savourer idéalement sous les étoiles en écoutant les secrets qu’elles ont à livrer.</v>
          </cell>
          <cell r="Y93"/>
          <cell r="Z93" t="str">
            <v>Ingrédients : lemongrass* (Cymbopogon citratus) 32%, feuilles de framboisier* (Rubus idaeus) 32%, mélisse* (Melissa officinalis) 22%, fleurs de tilleul* (Tiliae flos), pétales de bleuet* (Centaurea cyanus), pétales de souci* (Calendula officinalis), pétales de rose* (Rosa damascena). *Issu de l'agriculture biologique.</v>
          </cell>
          <cell r="AA93" t="str">
            <v>/</v>
          </cell>
          <cell r="AB93" t="str">
            <v>/</v>
          </cell>
          <cell r="AC93">
            <v>50</v>
          </cell>
          <cell r="AD93" t="str">
            <v>5-10</v>
          </cell>
          <cell r="AE93">
            <v>95</v>
          </cell>
          <cell r="AF93">
            <v>2</v>
          </cell>
          <cell r="AG93">
            <v>25</v>
          </cell>
          <cell r="AH93">
            <v>3582811005384</v>
          </cell>
          <cell r="AI93" t="str">
            <v>/</v>
          </cell>
          <cell r="AJ93" t="str">
            <v>ETHN5380V5</v>
          </cell>
          <cell r="AK93" t="str">
            <v>ETHN5380V5</v>
          </cell>
          <cell r="AL93" t="str">
            <v>/</v>
          </cell>
          <cell r="AM93" t="str">
            <v>Sonnentor</v>
          </cell>
        </row>
        <row r="94">
          <cell r="A94" t="str">
            <v>TA7391</v>
          </cell>
          <cell r="B94"/>
          <cell r="C94"/>
          <cell r="D94"/>
          <cell r="E94"/>
          <cell r="F94"/>
          <cell r="G94"/>
          <cell r="H94" t="str">
            <v>LES GRANDS CLASSIQUES</v>
          </cell>
          <cell r="I94"/>
          <cell r="J94" t="str">
            <v>C'est un secret…</v>
          </cell>
          <cell r="K94" t="str">
            <v>Saveur noisette</v>
          </cell>
          <cell r="L94" t="str">
            <v>Thé sombre pu'er aromatisé</v>
          </cell>
          <cell r="M94" t="str">
            <v>Chine</v>
          </cell>
          <cell r="N94" t="str">
            <v>AB</v>
          </cell>
          <cell r="O94" t="str">
            <v>WFTO</v>
          </cell>
          <cell r="P94" t="str">
            <v>/</v>
          </cell>
          <cell r="Q94" t="str">
            <v>WT</v>
          </cell>
          <cell r="R94" t="str">
            <v>/</v>
          </cell>
          <cell r="S94" t="str">
            <v>/</v>
          </cell>
          <cell r="T94" t="str">
            <v>Agriculture UE/non UE</v>
          </cell>
          <cell r="U94"/>
          <cell r="V94" t="str">
            <v>Ce thé, doux comme un chuchotement, se dévoile en laissant échapper un bouquet boisé et gourmand. Les parfums ronds de la vanille et de la noisette se mêlent avec bonheur aux notes complexes du pu'er pour nous transporter dans des contrées inexplorées. Mais chut…</v>
          </cell>
          <cell r="W94" t="str">
            <v>S27</v>
          </cell>
          <cell r="X94" t="str">
            <v>Douce comme un chuchotement, cette recette à base de thé pu’er dévoile gorgée après gorgée l’étendue secrète de sa gourmandise. Les notes rondes de la vanille et de la noisette se mêlent avec bonheur avec les saveurs veloutées et délicatement boisées du pu'er. Une révélation !</v>
          </cell>
          <cell r="Y94"/>
          <cell r="Z94" t="str">
            <v>Ingrédients : thé sombre pu'er*, arôme naturel de (noisette* 5%, vanille*), pétales de tournesol*, fleurs d'osmanthe*. *Issu de l'agriculture biologique.</v>
          </cell>
          <cell r="AA94" t="str">
            <v>/</v>
          </cell>
          <cell r="AB94" t="str">
            <v>Membre certifié World Fair Trade Organization, Les Jardins de Gaïa s’engagent pour un commerce plus juste et répondent aux exigences du commerce équitable. Pour en savoir plus : www.wfto.com.</v>
          </cell>
          <cell r="AC94">
            <v>1.5</v>
          </cell>
          <cell r="AD94" t="str">
            <v>3-4</v>
          </cell>
          <cell r="AE94">
            <v>90</v>
          </cell>
          <cell r="AF94">
            <v>2</v>
          </cell>
          <cell r="AG94">
            <v>750</v>
          </cell>
          <cell r="AH94">
            <v>3582810473917</v>
          </cell>
          <cell r="AI94" t="str">
            <v>Plusieurs infusions</v>
          </cell>
          <cell r="AJ94" t="str">
            <v>INTERNE</v>
          </cell>
          <cell r="AK94" t="str">
            <v>INTERNE</v>
          </cell>
          <cell r="AL94" t="str">
            <v>/</v>
          </cell>
          <cell r="AM94" t="str">
            <v>Création maison</v>
          </cell>
        </row>
        <row r="95">
          <cell r="A95" t="str">
            <v>TA7392</v>
          </cell>
          <cell r="B95"/>
          <cell r="C95"/>
          <cell r="D95"/>
          <cell r="E95"/>
          <cell r="F95"/>
          <cell r="G95"/>
          <cell r="H95" t="str">
            <v>LES GRANDS CLASSIQUES</v>
          </cell>
          <cell r="I95"/>
          <cell r="J95" t="str">
            <v>C'est un secret…</v>
          </cell>
          <cell r="K95" t="str">
            <v>Saveur noisette</v>
          </cell>
          <cell r="L95" t="str">
            <v>Thé sombre pu'er aromatisé</v>
          </cell>
          <cell r="M95" t="str">
            <v>Chine</v>
          </cell>
          <cell r="N95" t="str">
            <v>AB</v>
          </cell>
          <cell r="O95" t="str">
            <v>WFTO</v>
          </cell>
          <cell r="P95" t="str">
            <v>/</v>
          </cell>
          <cell r="Q95" t="str">
            <v>WT</v>
          </cell>
          <cell r="R95" t="str">
            <v>/</v>
          </cell>
          <cell r="S95" t="str">
            <v>/</v>
          </cell>
          <cell r="T95" t="str">
            <v>Agriculture UE/non UE</v>
          </cell>
          <cell r="U95"/>
          <cell r="V95" t="str">
            <v>Ce thé, doux comme un chuchotement, se dévoile en laissant échapper un bouquet boisé et gourmand. Les parfums ronds de la vanille et de la noisette se mêlent avec bonheur aux notes complexes du pu'er pour nous transporter dans des contrées inexplorées. Mais chut…</v>
          </cell>
          <cell r="W95" t="str">
            <v>S24</v>
          </cell>
          <cell r="X95" t="str">
            <v>Douce comme un chuchotement, cette recette à base de thé pu’er dévoile gorgée après gorgée l’étendue secrète de sa gourmandise. Les notes rondes de la vanille et de la noisette se mêlent avec bonheur avec les saveurs veloutées et délicatement boisées du pu'er. Une révélation !</v>
          </cell>
          <cell r="Y95"/>
          <cell r="Z95" t="str">
            <v>Ingrédients : thé sombre pu'er*, arôme naturel de (noisette* 5%, vanille*), pétales de tournesol*, fleurs d'osmanthe*. *Issu de l'agriculture biologique.</v>
          </cell>
          <cell r="AA95" t="str">
            <v>/</v>
          </cell>
          <cell r="AB95" t="str">
            <v>Membre certifié World Fair Trade Organization, Les Jardins de Gaïa s’engagent pour un commerce plus juste et répondent aux exigences du commerce équitable. Pour en savoir plus : www.wfto.com.</v>
          </cell>
          <cell r="AC95">
            <v>100</v>
          </cell>
          <cell r="AD95" t="str">
            <v>3-4</v>
          </cell>
          <cell r="AE95">
            <v>90</v>
          </cell>
          <cell r="AF95">
            <v>2</v>
          </cell>
          <cell r="AG95">
            <v>50</v>
          </cell>
          <cell r="AH95">
            <v>3582810473924</v>
          </cell>
          <cell r="AI95" t="str">
            <v>Plusieurs infusions</v>
          </cell>
          <cell r="AJ95" t="str">
            <v>ETNA739V5</v>
          </cell>
          <cell r="AK95" t="str">
            <v>ETNA739V5</v>
          </cell>
          <cell r="AL95" t="str">
            <v>ETCNA7392V5</v>
          </cell>
          <cell r="AM95" t="str">
            <v>Création maison</v>
          </cell>
        </row>
        <row r="96">
          <cell r="A96" t="str">
            <v>TO1215</v>
          </cell>
          <cell r="B96"/>
          <cell r="C96"/>
          <cell r="D96"/>
          <cell r="E96"/>
          <cell r="F96"/>
          <cell r="G96"/>
          <cell r="H96" t="str">
            <v>LES GRAND CRUS</v>
          </cell>
          <cell r="I96"/>
          <cell r="J96" t="str">
            <v>Charming wulong</v>
          </cell>
          <cell r="K96" t="str">
            <v>/</v>
          </cell>
          <cell r="L96" t="str">
            <v>Thé wulong d'origine</v>
          </cell>
          <cell r="M96" t="str">
            <v>Nouvelle-Zélande - Waikato</v>
          </cell>
          <cell r="N96" t="str">
            <v>AB</v>
          </cell>
          <cell r="O96" t="str">
            <v>/</v>
          </cell>
          <cell r="P96" t="str">
            <v>/</v>
          </cell>
          <cell r="Q96" t="str">
            <v>/</v>
          </cell>
          <cell r="R96" t="str">
            <v>/</v>
          </cell>
          <cell r="S96" t="str">
            <v>/</v>
          </cell>
          <cell r="T96" t="str">
            <v>Agriculture Nouvelle-Zélande</v>
          </cell>
          <cell r="U96"/>
          <cell r="V96" t="str">
            <v>wulong torréfié. Notes de miel de fleurs de garrigue, cassonade, fruits compotés, biscuits au thym toastés.</v>
          </cell>
          <cell r="W96" t="str">
            <v>S22</v>
          </cell>
          <cell r="X96" t="str">
            <v>Né dans la région préservée de Waikato, ce thé wulong de Nouvelle-Zélande est à l'image de son riche terroir. Ses feuilles légèrement torréfiées offrent une liqueur d'une belle longueur en bouche aux notes complexes de fleurs de garrigue, de cassonade, de fruits compotés et de biscuits au thym toastés.
Texte court : wulong torréfié. Notes de fleurs de garrigue, cassonade, fruits compotés, biscuits au thym toastés.</v>
          </cell>
          <cell r="Y96"/>
          <cell r="Z96" t="str">
            <v>Ingrédient : thé wulong*. *Issu de l'agriculture biologique.</v>
          </cell>
          <cell r="AA96" t="str">
            <v>/</v>
          </cell>
          <cell r="AB96" t="str">
            <v>/</v>
          </cell>
          <cell r="AC96">
            <v>500</v>
          </cell>
          <cell r="AD96" t="str">
            <v>3-4</v>
          </cell>
          <cell r="AE96">
            <v>95</v>
          </cell>
          <cell r="AF96">
            <v>2</v>
          </cell>
          <cell r="AG96">
            <v>250</v>
          </cell>
          <cell r="AH96">
            <v>3582810712153</v>
          </cell>
          <cell r="AI96" t="str">
            <v>Plusieurs infusions</v>
          </cell>
          <cell r="AJ96" t="str">
            <v>INTERNE</v>
          </cell>
          <cell r="AK96" t="str">
            <v>INTERNE</v>
          </cell>
          <cell r="AL96" t="str">
            <v>/</v>
          </cell>
          <cell r="AM96" t="str">
            <v>Zealong Tea Estate LTD</v>
          </cell>
        </row>
        <row r="97">
          <cell r="A97" t="str">
            <v>TO1212</v>
          </cell>
          <cell r="B97"/>
          <cell r="C97"/>
          <cell r="D97"/>
          <cell r="E97"/>
          <cell r="F97"/>
          <cell r="G97"/>
          <cell r="H97" t="str">
            <v>LES GRAND CRUS</v>
          </cell>
          <cell r="I97"/>
          <cell r="J97" t="str">
            <v>Charming wulong</v>
          </cell>
          <cell r="K97" t="str">
            <v>/</v>
          </cell>
          <cell r="L97" t="str">
            <v>Thé wulong d'origine</v>
          </cell>
          <cell r="M97" t="str">
            <v>Nouvelle-Zélande - Waikato</v>
          </cell>
          <cell r="N97" t="str">
            <v>AB</v>
          </cell>
          <cell r="O97" t="str">
            <v>/</v>
          </cell>
          <cell r="P97" t="str">
            <v>/</v>
          </cell>
          <cell r="Q97" t="str">
            <v>/</v>
          </cell>
          <cell r="R97" t="str">
            <v>/</v>
          </cell>
          <cell r="S97" t="str">
            <v>/</v>
          </cell>
          <cell r="T97" t="str">
            <v>Agriculture Nouvelle-Zélande</v>
          </cell>
          <cell r="U97"/>
          <cell r="V97" t="str">
            <v>wulong torréfié. Notes de miel de fleurs de garrigue, cassonade, fruits compotés, biscuits au thym toastés.</v>
          </cell>
          <cell r="W97" t="str">
            <v>S22</v>
          </cell>
          <cell r="X97" t="str">
            <v>Né dans la région préservée de Waikato, ce thé wulong de Nouvelle-Zélande est à l'image de son riche terroir. Ses feuilles légèrement torréfiées offrent une liqueur d'une belle longueur en bouche aux notes complexes de fleurs de garrigue, de cassonade, de fruits compotés et de biscuits au thym toastés.
Texte court : wulong torréfié. Notes de fleurs de garrigue, cassonade, fruits compotés, biscuits au thym toastés.</v>
          </cell>
          <cell r="Y97"/>
          <cell r="Z97" t="str">
            <v>Ingrédient : thé wulong*. *Issu de l'agriculture biologique.</v>
          </cell>
          <cell r="AA97" t="str">
            <v>/</v>
          </cell>
          <cell r="AB97" t="str">
            <v>/</v>
          </cell>
          <cell r="AC97">
            <v>80</v>
          </cell>
          <cell r="AD97" t="str">
            <v>3-4</v>
          </cell>
          <cell r="AE97">
            <v>95</v>
          </cell>
          <cell r="AF97">
            <v>2</v>
          </cell>
          <cell r="AG97">
            <v>40</v>
          </cell>
          <cell r="AH97">
            <v>3582810712122</v>
          </cell>
          <cell r="AI97" t="str">
            <v>Plusieurs infusions</v>
          </cell>
          <cell r="AJ97" t="str">
            <v>ETON121V5</v>
          </cell>
          <cell r="AK97" t="str">
            <v>ETON121V5</v>
          </cell>
          <cell r="AL97" t="str">
            <v>/</v>
          </cell>
          <cell r="AM97" t="str">
            <v>Zealong Tea Estate LTD</v>
          </cell>
        </row>
        <row r="98">
          <cell r="A98" t="str">
            <v>TB4041</v>
          </cell>
          <cell r="B98"/>
          <cell r="C98"/>
          <cell r="D98"/>
          <cell r="E98"/>
          <cell r="F98"/>
          <cell r="G98"/>
          <cell r="H98" t="str">
            <v>LES GRANDS CLASSIQUES</v>
          </cell>
          <cell r="I98"/>
          <cell r="J98" t="str">
            <v>Ché Chun</v>
          </cell>
          <cell r="K98" t="str">
            <v>Pivoine blanche</v>
          </cell>
          <cell r="L98" t="str">
            <v>Thé blanc d'origine</v>
          </cell>
          <cell r="M98" t="str">
            <v>Vietnam - Yen Bai</v>
          </cell>
          <cell r="N98" t="str">
            <v>AB</v>
          </cell>
          <cell r="O98" t="str">
            <v>WFTO</v>
          </cell>
          <cell r="P98" t="str">
            <v>/</v>
          </cell>
          <cell r="Q98" t="str">
            <v>WT</v>
          </cell>
          <cell r="R98" t="str">
            <v>/</v>
          </cell>
          <cell r="S98" t="str">
            <v>/</v>
          </cell>
          <cell r="T98" t="str">
            <v>Agriculture Vietnam</v>
          </cell>
          <cell r="U98"/>
          <cell r="V98" t="str">
            <v>Lors de la cueillette, les bourgeons et deux premières feuilles de ce thé blanc issu de théiers anciens du Vietnam sont travaillés à la manière d’un Bai Mu Dan. Son infusion orange pâle exhale un parfum frais de prairie fleurie. Sa saveur légèrement fruitée, subtile et douce, ses faibles teneurs en théine et en tanins en font une boisson légère et fraîche, idéale pour tous.</v>
          </cell>
          <cell r="W98" t="str">
            <v>S27</v>
          </cell>
          <cell r="X98" t="str">
            <v>Les bourgeons et deux premières feuilles de ce thé blanc issu de théiers anciens du Vietnam ont été travaillés à la manière d’un Bai Mu Dan. Son infusion aux parfums de prairie sauvage et aux saveurs délicatement fruitées est à la fois légère et fraîche. Une boisson idéale pour les beaux jours.</v>
          </cell>
          <cell r="Y98"/>
          <cell r="Z98" t="str">
            <v xml:space="preserve">Ingrédient : thé blanc*. *Issu de l'agriculture biologique. </v>
          </cell>
          <cell r="AA98" t="str">
            <v>/</v>
          </cell>
          <cell r="AB98" t="str">
            <v>Membre certifié World Fair Trade Organization, Les Jardins de Gaïa s’engagent pour un commerce plus juste et répondent aux exigences du commerce équitable. Pour en savoir plus : www.wfto.com.</v>
          </cell>
          <cell r="AC98">
            <v>1.5</v>
          </cell>
          <cell r="AD98" t="str">
            <v>4-5</v>
          </cell>
          <cell r="AE98">
            <v>85</v>
          </cell>
          <cell r="AF98">
            <v>2</v>
          </cell>
          <cell r="AG98">
            <v>750</v>
          </cell>
          <cell r="AH98">
            <v>3582810640418</v>
          </cell>
          <cell r="AI98" t="str">
            <v>/</v>
          </cell>
          <cell r="AJ98" t="str">
            <v>INTERNE</v>
          </cell>
          <cell r="AK98" t="str">
            <v>INTERNE</v>
          </cell>
          <cell r="AL98" t="str">
            <v>/</v>
          </cell>
          <cell r="AM98" t="str">
            <v>Van Chan Bio Farmers Club</v>
          </cell>
        </row>
        <row r="99">
          <cell r="A99" t="str">
            <v>TB4042</v>
          </cell>
          <cell r="B99"/>
          <cell r="C99" t="str">
            <v>X</v>
          </cell>
          <cell r="D99" t="str">
            <v>X</v>
          </cell>
          <cell r="E99" t="str">
            <v>X</v>
          </cell>
          <cell r="F99"/>
          <cell r="G99"/>
          <cell r="H99" t="str">
            <v>LES GRANDS CLASSIQUES</v>
          </cell>
          <cell r="I99"/>
          <cell r="J99" t="str">
            <v>Ché Chun</v>
          </cell>
          <cell r="K99" t="str">
            <v>Pivoine blanche</v>
          </cell>
          <cell r="L99" t="str">
            <v>Thé blanc d'origine</v>
          </cell>
          <cell r="M99" t="str">
            <v>Vietnam - Yen Bai</v>
          </cell>
          <cell r="N99" t="str">
            <v>AB</v>
          </cell>
          <cell r="O99" t="str">
            <v>WFTO</v>
          </cell>
          <cell r="P99" t="str">
            <v>/</v>
          </cell>
          <cell r="Q99" t="str">
            <v>WT</v>
          </cell>
          <cell r="R99" t="str">
            <v>/</v>
          </cell>
          <cell r="S99" t="str">
            <v>/</v>
          </cell>
          <cell r="T99" t="str">
            <v>Agriculture Vietnam</v>
          </cell>
          <cell r="U99"/>
          <cell r="V99" t="str">
            <v>Lors de la cueillette, les bourgeons et deux premières feuilles de ce thé blanc issu de théiers anciens du Vietnam sont travaillés à la manière d’un Bai Mu Dan. Son infusion orange pâle exhale un parfum frais de prairie fleurie. Sa saveur légèrement fruitée, subtile et douce, ses faibles teneurs en théine et en tanins en font une boisson légère et fraîche, idéale pour tous.</v>
          </cell>
          <cell r="W99" t="str">
            <v>S24</v>
          </cell>
          <cell r="X99" t="str">
            <v>Les bourgeons et deux premières feuilles de ce thé blanc issu de théiers anciens du Vietnam ont été travaillés à la manière d’un Bai Mu Dan. Son infusion aux parfums de prairie sauvage et aux saveurs délicatement fruitées est à la fois légère et fraîche. Une boisson idéale pour les beaux jours.</v>
          </cell>
          <cell r="Y99"/>
          <cell r="Z99" t="str">
            <v xml:space="preserve">Ingrédient : thé blanc*. *Issu de l'agriculture biologique. </v>
          </cell>
          <cell r="AA99" t="str">
            <v>/</v>
          </cell>
          <cell r="AB99" t="str">
            <v>Membre certifié World Fair Trade Organization, Les Jardins de Gaïa s’engagent pour un commerce plus juste et répondent aux exigences du commerce équitable. Pour en savoir plus : www.wfto.com.</v>
          </cell>
          <cell r="AC99">
            <v>100</v>
          </cell>
          <cell r="AD99" t="str">
            <v>4-5</v>
          </cell>
          <cell r="AE99">
            <v>85</v>
          </cell>
          <cell r="AF99">
            <v>2</v>
          </cell>
          <cell r="AG99">
            <v>50</v>
          </cell>
          <cell r="AH99">
            <v>3582810640425</v>
          </cell>
          <cell r="AI99" t="str">
            <v>/</v>
          </cell>
          <cell r="AJ99" t="str">
            <v>INTERNE</v>
          </cell>
          <cell r="AK99" t="str">
            <v>INTERNE</v>
          </cell>
          <cell r="AL99" t="str">
            <v>/</v>
          </cell>
          <cell r="AM99" t="str">
            <v>Van Chan Bio Farmers Club</v>
          </cell>
        </row>
        <row r="100">
          <cell r="A100" t="str">
            <v>TB4046</v>
          </cell>
          <cell r="B100"/>
          <cell r="C100"/>
          <cell r="D100"/>
          <cell r="E100"/>
          <cell r="F100"/>
          <cell r="G100"/>
          <cell r="H100" t="str">
            <v>LES GRANDS CLASSIQUES</v>
          </cell>
          <cell r="I100"/>
          <cell r="J100" t="str">
            <v>Ché Chun</v>
          </cell>
          <cell r="K100" t="str">
            <v>Pivoine blanche</v>
          </cell>
          <cell r="L100" t="str">
            <v>Thé blanc d'origine</v>
          </cell>
          <cell r="M100" t="str">
            <v>Vietnam - Yen Bai</v>
          </cell>
          <cell r="N100" t="str">
            <v>AB</v>
          </cell>
          <cell r="O100" t="str">
            <v>WFTO</v>
          </cell>
          <cell r="P100" t="str">
            <v>/</v>
          </cell>
          <cell r="Q100" t="str">
            <v>WT</v>
          </cell>
          <cell r="R100" t="str">
            <v>/</v>
          </cell>
          <cell r="S100" t="str">
            <v>/</v>
          </cell>
          <cell r="T100" t="str">
            <v>Agriculture Vietnam</v>
          </cell>
          <cell r="U100"/>
          <cell r="V100" t="str">
            <v>Lors de la cueillette, les bourgeons et deux premières feuilles de ce thé blanc issu de théiers anciens du Vietnam sont travaillés à la manière d’un Bai Mu Dan. Son infusion orange pâle exhale un parfum frais de prairie fleurie. Sa saveur légèrement fruitée, subtile et douce, ses faibles teneurs en théine et en tanins en font une boisson légère et fraîche, idéale pour tous.</v>
          </cell>
          <cell r="W100" t="str">
            <v>S24</v>
          </cell>
          <cell r="X100" t="str">
            <v>Les bourgeons et deux premières feuilles de ce thé blanc issu de théiers anciens du Vietnam ont été travaillés à la manière d’un Bai Mu Dan. Son infusion aux parfums de prairie sauvage et aux saveurs délicatement fruitées est à la fois légère et fraîche. Une boisson idéale pour les beaux jours.</v>
          </cell>
          <cell r="Y100"/>
          <cell r="Z100" t="str">
            <v xml:space="preserve">Ingrédient : thé blanc*. *Issu de l'agriculture biologique. </v>
          </cell>
          <cell r="AA100" t="str">
            <v>/</v>
          </cell>
          <cell r="AB100" t="str">
            <v>Membre certifié World Fair Trade Organization, Les Jardins de Gaïa s’engagent pour un commerce plus juste et répondent aux exigences du commerce équitable. Pour en savoir plus : www.wfto.com.</v>
          </cell>
          <cell r="AC100">
            <v>50</v>
          </cell>
          <cell r="AD100" t="str">
            <v>4-5</v>
          </cell>
          <cell r="AE100">
            <v>85</v>
          </cell>
          <cell r="AF100">
            <v>2</v>
          </cell>
          <cell r="AG100">
            <v>25</v>
          </cell>
          <cell r="AH100">
            <v>3582810640463</v>
          </cell>
          <cell r="AI100" t="str">
            <v>/</v>
          </cell>
          <cell r="AJ100" t="str">
            <v>INTERNE</v>
          </cell>
          <cell r="AK100" t="str">
            <v>ETBN404V5</v>
          </cell>
          <cell r="AL100" t="str">
            <v>ETCBN4046V5</v>
          </cell>
          <cell r="AM100" t="str">
            <v>Van Chan Bio Farmers Club</v>
          </cell>
        </row>
        <row r="101">
          <cell r="A101" t="str">
            <v>TJ508</v>
          </cell>
          <cell r="B101"/>
          <cell r="C101"/>
          <cell r="D101"/>
          <cell r="E101"/>
          <cell r="F101"/>
          <cell r="G101"/>
          <cell r="H101" t="str">
            <v>LES GRANDS CLASSIQUES</v>
          </cell>
          <cell r="I101"/>
          <cell r="J101" t="str">
            <v>Chocolat blanc au matcha bio</v>
          </cell>
          <cell r="K101" t="str">
            <v>Thé matcha &amp; Sencha Premium</v>
          </cell>
          <cell r="L101" t="str">
            <v>Chocolat au matcha</v>
          </cell>
          <cell r="M101" t="str">
            <v>Inde - Japon</v>
          </cell>
          <cell r="N101" t="str">
            <v>AB</v>
          </cell>
          <cell r="O101" t="str">
            <v>/</v>
          </cell>
          <cell r="P101" t="str">
            <v>/</v>
          </cell>
          <cell r="Q101" t="str">
            <v>/</v>
          </cell>
          <cell r="R101" t="str">
            <v>/</v>
          </cell>
          <cell r="S101" t="str">
            <v>/</v>
          </cell>
          <cell r="T101" t="str">
            <v>Agriculture UE/non UE</v>
          </cell>
          <cell r="U101"/>
          <cell r="V101" t="str">
            <v>/</v>
          </cell>
          <cell r="W101"/>
          <cell r="X101"/>
          <cell r="Y101"/>
          <cell r="Z101" t="str">
            <v>Ingrédients : beurre de cacao* 40%, sucre*, poudre de lait entier*, thés verts 4% (matcha*, sencha*). *Issu de l'agriculture biologique. Peut contenir des traces de gluten, fruit à coques et lait.</v>
          </cell>
          <cell r="AA101" t="str">
            <v>/</v>
          </cell>
          <cell r="AB101" t="str">
            <v>/</v>
          </cell>
          <cell r="AC101">
            <v>60</v>
          </cell>
          <cell r="AD101" t="str">
            <v>/</v>
          </cell>
          <cell r="AE101" t="str">
            <v>/</v>
          </cell>
          <cell r="AF101" t="str">
            <v>/</v>
          </cell>
          <cell r="AG101" t="str">
            <v>/</v>
          </cell>
          <cell r="AH101">
            <v>6676787690076</v>
          </cell>
          <cell r="AI101" t="str">
            <v>/</v>
          </cell>
          <cell r="AJ101" t="str">
            <v>FOURNISSEUR</v>
          </cell>
          <cell r="AK101" t="str">
            <v>FOURNISSEUR</v>
          </cell>
          <cell r="AL101" t="str">
            <v>/</v>
          </cell>
          <cell r="AM101" t="str">
            <v>Cacao Expérience</v>
          </cell>
        </row>
        <row r="102">
          <cell r="A102" t="str">
            <v>TV6481</v>
          </cell>
          <cell r="B102"/>
          <cell r="C102"/>
          <cell r="D102"/>
          <cell r="E102"/>
          <cell r="F102"/>
          <cell r="G102"/>
          <cell r="H102" t="str">
            <v>LES GRANDS CLASSIQUES</v>
          </cell>
          <cell r="I102"/>
          <cell r="J102" t="str">
            <v>Chun Mee Moon Palace</v>
          </cell>
          <cell r="K102" t="str">
            <v>/</v>
          </cell>
          <cell r="L102" t="str">
            <v>Thé vert d'origine</v>
          </cell>
          <cell r="M102" t="str">
            <v>Chine - Zhejiang</v>
          </cell>
          <cell r="N102" t="str">
            <v>AB</v>
          </cell>
          <cell r="O102" t="str">
            <v>WFTO</v>
          </cell>
          <cell r="P102" t="str">
            <v>/</v>
          </cell>
          <cell r="Q102" t="str">
            <v>/</v>
          </cell>
          <cell r="R102" t="str">
            <v>/</v>
          </cell>
          <cell r="S102" t="str">
            <v>/</v>
          </cell>
          <cell r="T102" t="str">
            <v>Agriculture Chine</v>
          </cell>
          <cell r="U102"/>
          <cell r="V102" t="str">
            <v>Séduisant thé vert. Ses petites feuilles fines et régulières donnent une liqueur limpide, douce et raffinée. Son parfum frais et fleuri, son goût suave en font un excellent thé de la détente. S’accommode à merveille de quelques feuilles de menthe fraîche.</v>
          </cell>
          <cell r="W102"/>
          <cell r="X102" t="str">
            <v>Les petites feuilles fines et régulières de ce thé vert réputé en forme de sourcil offrent une liqueur limpide, particulièrement douce et raffinée. Son parfum frais et floral, et sa douceur en bouche en font un thé idéal pour s’accorder un moment de détente dans la pure tradition chinoise.</v>
          </cell>
          <cell r="Y102"/>
          <cell r="Z102" t="str">
            <v>Ingrédient : thé vert*. *Issu de l'agriculture biologique.</v>
          </cell>
          <cell r="AA102" t="str">
            <v>/</v>
          </cell>
          <cell r="AB102" t="str">
            <v>Membre certifié World Fair Trade Organization, Les Jardins de Gaïa s’engagent pour un commerce plus juste et répondent aux exigences du commerce équitable. Pour en savoir plus : www.wfto.com.</v>
          </cell>
          <cell r="AC102">
            <v>1.5</v>
          </cell>
          <cell r="AD102" t="str">
            <v>3</v>
          </cell>
          <cell r="AE102">
            <v>75</v>
          </cell>
          <cell r="AF102">
            <v>2</v>
          </cell>
          <cell r="AG102">
            <v>750</v>
          </cell>
          <cell r="AH102">
            <v>3582810364819</v>
          </cell>
          <cell r="AI102" t="str">
            <v>/</v>
          </cell>
          <cell r="AJ102" t="str">
            <v>INTERNE</v>
          </cell>
          <cell r="AK102" t="str">
            <v>INTERNE</v>
          </cell>
          <cell r="AL102" t="str">
            <v>/</v>
          </cell>
          <cell r="AM102" t="str">
            <v>Dazhangshan Organic Tea Farmer Association</v>
          </cell>
        </row>
        <row r="103">
          <cell r="A103" t="str">
            <v>TV6482</v>
          </cell>
          <cell r="B103"/>
          <cell r="C103" t="str">
            <v>X</v>
          </cell>
          <cell r="D103" t="str">
            <v>x</v>
          </cell>
          <cell r="E103" t="str">
            <v>x</v>
          </cell>
          <cell r="F103" t="str">
            <v>GRAI</v>
          </cell>
          <cell r="G103">
            <v>45383</v>
          </cell>
          <cell r="H103" t="str">
            <v>LES GRANDS CLASSIQUES</v>
          </cell>
          <cell r="I103"/>
          <cell r="J103" t="str">
            <v>Chun Mee Moon Palace</v>
          </cell>
          <cell r="K103" t="str">
            <v>/</v>
          </cell>
          <cell r="L103" t="str">
            <v>Thé vert d'origine</v>
          </cell>
          <cell r="M103" t="str">
            <v>Chine - Zhejiang</v>
          </cell>
          <cell r="N103" t="str">
            <v>AB</v>
          </cell>
          <cell r="O103" t="str">
            <v>WFTO</v>
          </cell>
          <cell r="P103" t="str">
            <v>/</v>
          </cell>
          <cell r="Q103" t="str">
            <v>/</v>
          </cell>
          <cell r="R103" t="str">
            <v>/</v>
          </cell>
          <cell r="S103" t="str">
            <v>/</v>
          </cell>
          <cell r="T103" t="str">
            <v>Agriculture Chine</v>
          </cell>
          <cell r="U103"/>
          <cell r="V103" t="str">
            <v>Séduisant thé vert. Ses petites feuilles fines et régulières donnent une liqueur limpide, douce et raffinée. Son parfum frais et fleuri, son goût suave en font un excellent thé de la détente. S’accommode à merveille de quelques feuilles de menthe fraîche.</v>
          </cell>
          <cell r="W103"/>
          <cell r="X103" t="str">
            <v>Les petites feuilles fines et régulières de ce thé vert réputé en forme de sourcil offrent une liqueur limpide, particulièrement douce et raffinée. Son parfum frais et floral, et sa douceur en bouche en font un thé idéal pour s’accorder un moment de détente dans la pure tradition chinoise.</v>
          </cell>
          <cell r="Y103"/>
          <cell r="Z103" t="str">
            <v>Ingrédient : thé vert*. *Issu de l'agriculture biologique.</v>
          </cell>
          <cell r="AA103" t="str">
            <v>/</v>
          </cell>
          <cell r="AB103" t="str">
            <v>Membre certifié World Fair Trade Organization, Les Jardins de Gaïa s’engagent pour un commerce plus juste et répondent aux exigences du commerce équitable. Pour en savoir plus : www.wfto.com.</v>
          </cell>
          <cell r="AC103">
            <v>100</v>
          </cell>
          <cell r="AD103" t="str">
            <v>3</v>
          </cell>
          <cell r="AE103">
            <v>75</v>
          </cell>
          <cell r="AF103">
            <v>2</v>
          </cell>
          <cell r="AG103">
            <v>50</v>
          </cell>
          <cell r="AH103">
            <v>3582810364826</v>
          </cell>
          <cell r="AI103" t="str">
            <v>/</v>
          </cell>
          <cell r="AJ103" t="str">
            <v>ETVN648</v>
          </cell>
          <cell r="AK103" t="str">
            <v>ETVN648V5</v>
          </cell>
          <cell r="AL103" t="str">
            <v>ETCVN6482V5</v>
          </cell>
          <cell r="AM103" t="str">
            <v>Dazhangshan Organic Tea Farmer Association</v>
          </cell>
        </row>
        <row r="104">
          <cell r="A104" t="str">
            <v>TA6851</v>
          </cell>
          <cell r="B104"/>
          <cell r="C104"/>
          <cell r="D104"/>
          <cell r="E104"/>
          <cell r="F104"/>
          <cell r="G104"/>
          <cell r="H104" t="str">
            <v>LES GRANDS CLASSIQUES</v>
          </cell>
          <cell r="I104"/>
          <cell r="J104" t="str">
            <v>Citron</v>
          </cell>
          <cell r="K104" t="str">
            <v>Huile essentielle de citron</v>
          </cell>
          <cell r="L104" t="str">
            <v>Thé vert aromatisé</v>
          </cell>
          <cell r="M104" t="str">
            <v>Inde - Chine</v>
          </cell>
          <cell r="N104" t="str">
            <v>AB</v>
          </cell>
          <cell r="O104" t="str">
            <v>WFTO</v>
          </cell>
          <cell r="P104" t="str">
            <v>/</v>
          </cell>
          <cell r="Q104" t="str">
            <v>/</v>
          </cell>
          <cell r="R104" t="str">
            <v>/</v>
          </cell>
          <cell r="S104" t="str">
            <v>/</v>
          </cell>
          <cell r="T104" t="str">
            <v>Agriculture UE/non UE</v>
          </cell>
          <cell r="U104"/>
          <cell r="V104" t="str">
            <v>Une pointe d’acidité, un soupçon de fraîcheur, cette association d’un thé vert frais et fruité souligné subtilement d’une note citronnée est des plus équilibrées. Tonique et pétillant, ce thé est extrêmement rafraîchissant chaud ou glacé.</v>
          </cell>
          <cell r="W104"/>
          <cell r="X104" t="str">
            <v>Ce mariage harmonieux d’un thé vert aux saveurs végétales avec les notes zestées du citron offre une boisson particulièrement vive et rafraîchissante. Une recette qui s’apprécie aussi bien chaude que glacée.</v>
          </cell>
          <cell r="Y104"/>
          <cell r="Z104" t="str">
            <v>Ingrédients : thé vert*, écorces d'orange*, huile essentielle de citron* 2%. *Issu de l'agriculture biologique.</v>
          </cell>
          <cell r="AA104" t="str">
            <v>/</v>
          </cell>
          <cell r="AB104" t="str">
            <v>Membre certifié World Fair Trade Organization, Les Jardins de Gaïa s’engagent pour un commerce plus juste et répondent aux exigences du commerce équitable. Pour en savoir plus : www.wfto.com.</v>
          </cell>
          <cell r="AC104">
            <v>1.5</v>
          </cell>
          <cell r="AD104" t="str">
            <v>3</v>
          </cell>
          <cell r="AE104">
            <v>75</v>
          </cell>
          <cell r="AF104">
            <v>2</v>
          </cell>
          <cell r="AG104">
            <v>750</v>
          </cell>
          <cell r="AH104">
            <v>3582811768517</v>
          </cell>
          <cell r="AI104" t="str">
            <v>/</v>
          </cell>
          <cell r="AJ104" t="str">
            <v>INTERNE</v>
          </cell>
          <cell r="AK104" t="str">
            <v>INTERNE</v>
          </cell>
          <cell r="AL104" t="str">
            <v>/</v>
          </cell>
          <cell r="AM104" t="str">
            <v>Création maison</v>
          </cell>
        </row>
        <row r="105">
          <cell r="A105" t="str">
            <v>TA6852</v>
          </cell>
          <cell r="B105"/>
          <cell r="C105" t="str">
            <v>X</v>
          </cell>
          <cell r="D105" t="str">
            <v>x</v>
          </cell>
          <cell r="E105" t="str">
            <v>x</v>
          </cell>
          <cell r="F105" t="str">
            <v>GRAI</v>
          </cell>
          <cell r="G105">
            <v>45383</v>
          </cell>
          <cell r="H105" t="str">
            <v>LES GRANDS CLASSIQUES</v>
          </cell>
          <cell r="I105"/>
          <cell r="J105" t="str">
            <v>Citron</v>
          </cell>
          <cell r="K105" t="str">
            <v>Huile essentielle de citron</v>
          </cell>
          <cell r="L105" t="str">
            <v>Thé vert aromatisé</v>
          </cell>
          <cell r="M105" t="str">
            <v>Inde - Chine</v>
          </cell>
          <cell r="N105" t="str">
            <v>AB</v>
          </cell>
          <cell r="O105" t="str">
            <v>WFTO</v>
          </cell>
          <cell r="P105" t="str">
            <v>/</v>
          </cell>
          <cell r="Q105" t="str">
            <v>/</v>
          </cell>
          <cell r="R105" t="str">
            <v>/</v>
          </cell>
          <cell r="S105" t="str">
            <v>/</v>
          </cell>
          <cell r="T105" t="str">
            <v>Agriculture UE/non UE</v>
          </cell>
          <cell r="U105"/>
          <cell r="V105" t="str">
            <v>Une pointe d’acidité, un soupçon de fraîcheur, cette association d’un thé vert frais et fruité souligné subtilement d’une note citronnée est des plus équilibrées. Tonique et pétillant, ce thé est extrêmement rafraîchissant chaud ou glacé.</v>
          </cell>
          <cell r="W105"/>
          <cell r="X105" t="str">
            <v>Ce mariage harmonieux d’un thé vert aux saveurs végétales avec les notes zestées du citron offre une boisson particulièrement vive et rafraîchissante. Une recette qui s’apprécie aussi bien chaude que glacée.</v>
          </cell>
          <cell r="Y105"/>
          <cell r="Z105" t="str">
            <v>Ingrédients : thé vert*, écorces d'orange*, huile essentielle de citron* 2%. *Issu de l'agriculture biologique.</v>
          </cell>
          <cell r="AA105" t="str">
            <v>/</v>
          </cell>
          <cell r="AB105" t="str">
            <v>Membre certifié World Fair Trade Organization, Les Jardins de Gaïa s’engagent pour un commerce plus juste et répondent aux exigences du commerce équitable. Pour en savoir plus : www.wfto.com.</v>
          </cell>
          <cell r="AC105">
            <v>100</v>
          </cell>
          <cell r="AD105" t="str">
            <v>3</v>
          </cell>
          <cell r="AE105">
            <v>75</v>
          </cell>
          <cell r="AF105">
            <v>2</v>
          </cell>
          <cell r="AG105">
            <v>50</v>
          </cell>
          <cell r="AH105">
            <v>3582811768524</v>
          </cell>
          <cell r="AI105" t="str">
            <v>/</v>
          </cell>
          <cell r="AJ105" t="str">
            <v>ETVA685</v>
          </cell>
          <cell r="AK105" t="str">
            <v>ETVA685V5</v>
          </cell>
          <cell r="AL105" t="str">
            <v>ETCVA6852V5</v>
          </cell>
          <cell r="AM105" t="str">
            <v>Création maison</v>
          </cell>
        </row>
        <row r="106">
          <cell r="A106" t="str">
            <v>TA5041</v>
          </cell>
          <cell r="B106"/>
          <cell r="C106"/>
          <cell r="D106"/>
          <cell r="E106"/>
          <cell r="F106"/>
          <cell r="G106"/>
          <cell r="H106" t="str">
            <v>LES ENGAGÉS</v>
          </cell>
          <cell r="I106" t="str">
            <v>AGIR POUR LA CULTURE</v>
          </cell>
          <cell r="J106" t="str">
            <v>Come on baby</v>
          </cell>
          <cell r="K106" t="str">
            <v>géranium, rose</v>
          </cell>
          <cell r="L106" t="str">
            <v>Thé blanc aromatisé</v>
          </cell>
          <cell r="M106" t="str">
            <v>Chine - Fujian
Vietnam - Yen Bai</v>
          </cell>
          <cell r="N106" t="str">
            <v>AB</v>
          </cell>
          <cell r="O106" t="str">
            <v>WFTO</v>
          </cell>
          <cell r="P106" t="str">
            <v>/</v>
          </cell>
          <cell r="Q106" t="str">
            <v>/</v>
          </cell>
          <cell r="R106" t="str">
            <v>/</v>
          </cell>
          <cell r="S106" t="str">
            <v>/</v>
          </cell>
          <cell r="T106" t="str">
            <v>Agriculture UE/non UE</v>
          </cell>
          <cell r="U106"/>
          <cell r="V106" t="str">
            <v xml:space="preserve">Come on ! Laissez-vous approcher et conquérir par le côté glamour de cette création aussi inspirée qu’envoûtante. Sur une base d’un thé blanc qui cache bien son jeu, les mille facettes de cette recette se déploient dans un jeu de séduction permanent. Inutile de résister…  Dès la première gorgée les notes sensuelles de jasmin, de fleurs d’oranger et de vanille mettent délicieusement tous nos sens en émoi. </v>
          </cell>
          <cell r="W106" t="str">
            <v>S22</v>
          </cell>
          <cell r="X106" t="str">
            <v>Ne résistez pas à cette séduisante création à base de thé blanc qui cache bien son jeu. Les mille facettes de cette recette se dévoilent dans un jeu de séduction permanent sur des notes sensuelles et gourmandes de jasmin, de fleurs d’oranger et de vanille. Apprêtez-vous à mettre vos sens en émoi !</v>
          </cell>
          <cell r="Y106" t="str">
            <v>Be Together Académie, établissement d'enseignement artistique inclusif défend l'inclusion artistique et facilite l’intégration professionnelle des artistes en situation de handicap. be-together.eu</v>
          </cell>
          <cell r="Z106" t="str">
            <v>Ingrédients : thé blanc*, thé vert au jasmin*, géranium* 5%, pétales de rose* 7%, fleurs de violette*, pétales de souci*, extraits de (vanille*, rose* 1%), arôme naturel de fleur d’oranger*. *Issu de l’agriculture biologique.</v>
          </cell>
          <cell r="AA106" t="str">
            <v>/</v>
          </cell>
          <cell r="AB106" t="str">
            <v>Membre certifié World Fair Trade Organization, Les Jardins de Gaïa s’engagent pour un commerce plus juste et répondent aux exigences du commerce équitable. Pour en savoir plus : www.wfto.com.</v>
          </cell>
          <cell r="AC106">
            <v>1.5</v>
          </cell>
          <cell r="AD106" t="str">
            <v>3-4</v>
          </cell>
          <cell r="AE106">
            <v>85</v>
          </cell>
          <cell r="AF106">
            <v>2</v>
          </cell>
          <cell r="AG106">
            <v>750</v>
          </cell>
          <cell r="AH106">
            <v>3582810650417</v>
          </cell>
          <cell r="AI106" t="str">
            <v>/</v>
          </cell>
          <cell r="AJ106" t="str">
            <v>INTERNE</v>
          </cell>
          <cell r="AK106" t="str">
            <v>INTERNE</v>
          </cell>
          <cell r="AL106" t="str">
            <v>/</v>
          </cell>
          <cell r="AM106" t="str">
            <v>Création maison</v>
          </cell>
        </row>
        <row r="107">
          <cell r="A107" t="str">
            <v>TA5046</v>
          </cell>
          <cell r="B107"/>
          <cell r="C107"/>
          <cell r="D107"/>
          <cell r="E107"/>
          <cell r="F107"/>
          <cell r="G107"/>
          <cell r="H107" t="str">
            <v>LES ENGAGÉS</v>
          </cell>
          <cell r="I107" t="str">
            <v>AGIR POUR LA CULTURE</v>
          </cell>
          <cell r="J107" t="str">
            <v>Come on baby</v>
          </cell>
          <cell r="K107" t="str">
            <v>géranium, rose</v>
          </cell>
          <cell r="L107" t="str">
            <v>Thé blanc aromatisé</v>
          </cell>
          <cell r="M107" t="str">
            <v>Chine - Fujian
Vietnam - Yen Bai</v>
          </cell>
          <cell r="N107" t="str">
            <v>AB</v>
          </cell>
          <cell r="O107" t="str">
            <v>WFTO</v>
          </cell>
          <cell r="P107" t="str">
            <v>/</v>
          </cell>
          <cell r="Q107" t="str">
            <v>/</v>
          </cell>
          <cell r="R107" t="str">
            <v>/</v>
          </cell>
          <cell r="S107" t="str">
            <v>/</v>
          </cell>
          <cell r="T107" t="str">
            <v>Agriculture UE/non UE</v>
          </cell>
          <cell r="U107"/>
          <cell r="V107" t="str">
            <v xml:space="preserve">Come on ! Laissez-vous approcher et conquérir par le côté glamour de cette création aussi inspirée qu’envoûtante. Sur une base d’un thé blanc qui cache bien son jeu, les mille facettes de cette recette se déploient dans un jeu de séduction permanent. Inutile de résister…  Dès la première gorgée les notes sensuelles de jasmin, de fleurs d’oranger et de vanille mettent délicieusement tous nos sens en émoi. </v>
          </cell>
          <cell r="W107" t="str">
            <v>S22</v>
          </cell>
          <cell r="X107" t="str">
            <v>Ne résistez pas à cette séduisante création à base de thé blanc qui cache bien son jeu. Les mille facettes de cette recette se dévoilent dans un jeu de séduction permanent sur des notes sensuelles et gourmandes de jasmin, de fleurs d’oranger et de vanille. Apprêtez-vous à mettre vos sens en émoi !</v>
          </cell>
          <cell r="Y107" t="str">
            <v>Be Together Académie, établissement d'enseignement artistique inclusif défend l'inclusion artistique et facilite l’intégration professionnelle des artistes en situation de handicap. be-together.eu</v>
          </cell>
          <cell r="Z107" t="str">
            <v>Ingrédients : thé blanc*, thé vert au jasmin*, géranium* 5%, pétales de rose* 7%, fleurs de violette*, pétales de souci*, extraits de (vanille*, rose* 1%), arôme naturel de fleur d’oranger*. *Issu de l’agriculture biologique.</v>
          </cell>
          <cell r="AA107" t="str">
            <v>/</v>
          </cell>
          <cell r="AB107" t="str">
            <v>Membre certifié World Fair Trade Organization, Les Jardins de Gaïa s’engagent pour un commerce plus juste et répondent aux exigences du commerce équitable. Pour en savoir plus : www.wfto.com.</v>
          </cell>
          <cell r="AC107">
            <v>40</v>
          </cell>
          <cell r="AD107" t="str">
            <v>3-4</v>
          </cell>
          <cell r="AE107">
            <v>85</v>
          </cell>
          <cell r="AF107">
            <v>2</v>
          </cell>
          <cell r="AG107">
            <v>20</v>
          </cell>
          <cell r="AH107">
            <v>3582810650462</v>
          </cell>
          <cell r="AI107" t="str">
            <v>/</v>
          </cell>
          <cell r="AJ107" t="str">
            <v>INTERNE</v>
          </cell>
          <cell r="AK107" t="str">
            <v>INTERNE</v>
          </cell>
          <cell r="AL107" t="str">
            <v>/</v>
          </cell>
          <cell r="AM107" t="str">
            <v>Création maison</v>
          </cell>
        </row>
        <row r="108">
          <cell r="A108" t="str">
            <v>HB1741</v>
          </cell>
          <cell r="B108"/>
          <cell r="C108"/>
          <cell r="D108"/>
          <cell r="E108"/>
          <cell r="F108"/>
          <cell r="G108"/>
          <cell r="H108" t="str">
            <v>LES GRANDS CLASSIQUES</v>
          </cell>
          <cell r="I108" t="str">
            <v>LES INFUSIONS DE PLANTES</v>
          </cell>
          <cell r="J108" t="str">
            <v>Comme une caresse</v>
          </cell>
          <cell r="K108" t="str">
            <v>Honeybush - Cardamome</v>
          </cell>
          <cell r="L108" t="str">
            <v>Infusion de plantes et épices</v>
          </cell>
          <cell r="M108" t="str">
            <v>Afrique du Sud - Cap Occidental</v>
          </cell>
          <cell r="N108" t="str">
            <v>AB</v>
          </cell>
          <cell r="O108" t="str">
            <v>/</v>
          </cell>
          <cell r="P108" t="str">
            <v>/</v>
          </cell>
          <cell r="Q108" t="str">
            <v>/</v>
          </cell>
          <cell r="R108" t="str">
            <v>/</v>
          </cell>
          <cell r="S108" t="str">
            <v>/</v>
          </cell>
          <cell r="T108" t="str">
            <v>Agriculture UE/non UE</v>
          </cell>
          <cell r="U108"/>
          <cell r="V108" t="str">
            <v>Pause réconfort après une balade, cette tisane aux saveurs à la fois miellées et citronnées, accompagnées de notes de cardamome et d'anis, a la douceur d'une caresse… Dédiée aux aventuriers du quotidien, elle rend irrésistible le plaisir de retrouver son cocon.</v>
          </cell>
          <cell r="W108"/>
          <cell r="X108" t="str">
            <v>Pause réconfort après une balade, cette tisane aux saveurs à la fois miellées et citronnées, accompagnées de notes de cardamome et d'anis, a la douceur d'une caresse… Dédiée aux aventuriers du quotidien, elle rend irrésistible le plaisir de retrouver son cocon.</v>
          </cell>
          <cell r="Y108"/>
          <cell r="Z108" t="str">
            <v>Ingrédients : honeybush* 48% (Cyclopia subternata), anis* (Pimpinella anisum), gingembre* (Zingiber officinale), morceaux de pomme* (Malus domestica), cardamome* 7% (Elettaria cardamomum), cannelle* (Cinnamomum zeylanicum), verveine* (Aloysia triphylla), fleurs de violette* (Viola odorata), pétales de bleuet* (Centaurea cyanus). *Issu de l’agriculture biologique.</v>
          </cell>
          <cell r="AA108" t="str">
            <v>/</v>
          </cell>
          <cell r="AB108" t="str">
            <v>/</v>
          </cell>
          <cell r="AC108">
            <v>1.5</v>
          </cell>
          <cell r="AD108" t="str">
            <v>5-7</v>
          </cell>
          <cell r="AE108">
            <v>95</v>
          </cell>
          <cell r="AF108">
            <v>2</v>
          </cell>
          <cell r="AG108">
            <v>750</v>
          </cell>
          <cell r="AH108">
            <v>3582812417414</v>
          </cell>
          <cell r="AI108" t="str">
            <v>/</v>
          </cell>
          <cell r="AJ108" t="str">
            <v>INTERNE</v>
          </cell>
          <cell r="AK108" t="str">
            <v>INTERNE</v>
          </cell>
          <cell r="AL108" t="str">
            <v>/</v>
          </cell>
          <cell r="AM108" t="str">
            <v>Création maison</v>
          </cell>
        </row>
        <row r="109">
          <cell r="A109" t="str">
            <v>HB1742</v>
          </cell>
          <cell r="B109"/>
          <cell r="C109" t="str">
            <v>X PETITE ETIQUETTE GRAND CLASSIQUE + CONTRE</v>
          </cell>
          <cell r="D109"/>
          <cell r="E109"/>
          <cell r="F109" t="str">
            <v>BRODART</v>
          </cell>
          <cell r="G109"/>
          <cell r="H109" t="str">
            <v>LES GRANDS CLASSIQUES</v>
          </cell>
          <cell r="I109" t="str">
            <v>LES INFUSIONS DE PLANTES</v>
          </cell>
          <cell r="J109" t="str">
            <v>Comme une caresse</v>
          </cell>
          <cell r="K109" t="str">
            <v>Honeybush - Cardamome</v>
          </cell>
          <cell r="L109" t="str">
            <v>Infusion de plantes et épices</v>
          </cell>
          <cell r="M109" t="str">
            <v>Afrique du Sud - Cap Occidental</v>
          </cell>
          <cell r="N109" t="str">
            <v>AB</v>
          </cell>
          <cell r="O109" t="str">
            <v>/</v>
          </cell>
          <cell r="P109" t="str">
            <v>/</v>
          </cell>
          <cell r="Q109" t="str">
            <v>/</v>
          </cell>
          <cell r="R109" t="str">
            <v>/</v>
          </cell>
          <cell r="S109" t="str">
            <v>/</v>
          </cell>
          <cell r="T109" t="str">
            <v>Agriculture UE/non UE</v>
          </cell>
          <cell r="U109"/>
          <cell r="V109" t="str">
            <v>Pause réconfort après une balade, cette tisane aux saveurs à la fois miellées et citronnées, accompagnées de notes de cardamome et d'anis, a la douceur d'une caresse… Dédiée aux aventuriers du quotidien, elle rend irrésistible le plaisir de retrouver son cocon.</v>
          </cell>
          <cell r="W109"/>
          <cell r="X109" t="str">
            <v>Pause réconfort après une balade, cette tisane aux saveurs à la fois miellées et citronnées, accompagnées de notes de cardamome et d'anis, a la douceur d'une caresse… Dédiée aux aventuriers du quotidien, elle rend irrésistible le plaisir de retrouver son cocon.</v>
          </cell>
          <cell r="Y109"/>
          <cell r="Z109" t="str">
            <v>Ingrédients : honeybush* 48% (Cyclopia subternata), anis* (Pimpinella anisum), gingembre* (Zingiber officinale), morceaux de pomme* (Malus domestica), cardamome* 7% (Elettaria cardamomum), cannelle* (Cinnamomum zeylanicum), verveine* (Aloysia triphylla), fleurs de violette* (Viola odorata), pétales de bleuet* (Centaurea cyanus). *Issu de l’agriculture biologique.</v>
          </cell>
          <cell r="AA109" t="str">
            <v>/</v>
          </cell>
          <cell r="AB109" t="str">
            <v>/</v>
          </cell>
          <cell r="AC109">
            <v>100</v>
          </cell>
          <cell r="AD109" t="str">
            <v>5-7</v>
          </cell>
          <cell r="AE109">
            <v>95</v>
          </cell>
          <cell r="AF109">
            <v>2</v>
          </cell>
          <cell r="AG109">
            <v>50</v>
          </cell>
          <cell r="AH109">
            <v>3582812417421</v>
          </cell>
          <cell r="AI109" t="str">
            <v>/</v>
          </cell>
          <cell r="AJ109" t="str">
            <v>ETHB174</v>
          </cell>
          <cell r="AK109" t="str">
            <v>ETHB174V5</v>
          </cell>
          <cell r="AL109" t="str">
            <v>ETCHB1742V5</v>
          </cell>
          <cell r="AM109" t="str">
            <v>Création maison</v>
          </cell>
        </row>
        <row r="110">
          <cell r="A110" t="str">
            <v>TH0851</v>
          </cell>
          <cell r="B110"/>
          <cell r="C110"/>
          <cell r="D110"/>
          <cell r="E110"/>
          <cell r="F110"/>
          <cell r="G110"/>
          <cell r="H110" t="str">
            <v>LES GRANDS CLASSIQUES</v>
          </cell>
          <cell r="I110" t="str">
            <v>LES INFUSIONS DE PLANTES</v>
          </cell>
          <cell r="J110" t="str">
            <v>Crapaudine des montagnes</v>
          </cell>
          <cell r="K110" t="str">
            <v>/</v>
          </cell>
          <cell r="L110" t="str">
            <v>Infusion de plante</v>
          </cell>
          <cell r="M110" t="str">
            <v>Grèce</v>
          </cell>
          <cell r="N110" t="str">
            <v>AB</v>
          </cell>
          <cell r="O110" t="str">
            <v>/</v>
          </cell>
          <cell r="P110" t="str">
            <v>/</v>
          </cell>
          <cell r="Q110" t="str">
            <v>/</v>
          </cell>
          <cell r="R110" t="str">
            <v>/</v>
          </cell>
          <cell r="S110" t="str">
            <v>/</v>
          </cell>
          <cell r="T110" t="str">
            <v>Agriculture UE</v>
          </cell>
          <cell r="U110"/>
          <cell r="V110" t="str">
            <v>L’infusion de cette plante aux notes singulières de fleurs sauvages et de miel est particulièrement douce et agréable au palais. Les Grecs en ont fait leur boisson nationale tandis que les Crétois la considèrent traditionnellement comme une boisson de longue vie. La crapaudine s’apprécie au quotidien pour son bouquet aromatique riche, mais aussi en cas de refroidissement ou pour une fin de repas tout en légèreté. Une tisane pleine de charme !</v>
          </cell>
          <cell r="W110"/>
          <cell r="X110" t="str">
            <v>L’infusion de crapaudine aux saveurs de fleurs sauvages et de miel est d’une douceur incomparable. Très populaire en Grèce, elle s’apprécie au quotidien pour son bouquet aromatique, mais aussi en cas de refroidissement ou pour une fin de repas tout en légèreté. Une tisane pleine de ressources !</v>
          </cell>
          <cell r="Y110"/>
          <cell r="Z110" t="str">
            <v>Ingrédient : crapaudine* (Sideritis raeseri). *Issu de l’agriculture biologique.</v>
          </cell>
          <cell r="AA110" t="str">
            <v>/</v>
          </cell>
          <cell r="AB110" t="str">
            <v>/</v>
          </cell>
          <cell r="AC110">
            <v>200</v>
          </cell>
          <cell r="AD110" t="str">
            <v>5-10</v>
          </cell>
          <cell r="AE110">
            <v>95</v>
          </cell>
          <cell r="AF110">
            <v>2</v>
          </cell>
          <cell r="AG110">
            <v>100</v>
          </cell>
          <cell r="AH110">
            <v>3582811008514</v>
          </cell>
          <cell r="AI110" t="str">
            <v>/</v>
          </cell>
          <cell r="AJ110" t="str">
            <v>INTERNE</v>
          </cell>
          <cell r="AK110" t="str">
            <v>INTERNE</v>
          </cell>
          <cell r="AL110" t="str">
            <v>/</v>
          </cell>
          <cell r="AM110"/>
        </row>
        <row r="111">
          <cell r="A111" t="str">
            <v>TH0856</v>
          </cell>
          <cell r="B111"/>
          <cell r="C111" t="str">
            <v>X</v>
          </cell>
          <cell r="D111" t="str">
            <v>X</v>
          </cell>
          <cell r="E111"/>
          <cell r="F111" t="str">
            <v>GRAI</v>
          </cell>
          <cell r="G111">
            <v>45408</v>
          </cell>
          <cell r="H111" t="str">
            <v>LES GRANDS CLASSIQUES</v>
          </cell>
          <cell r="I111" t="str">
            <v>LES INFUSIONS DE PLANTES</v>
          </cell>
          <cell r="J111" t="str">
            <v>Crapaudine des montagnes</v>
          </cell>
          <cell r="K111" t="str">
            <v>/</v>
          </cell>
          <cell r="L111" t="str">
            <v>Infusion de plante</v>
          </cell>
          <cell r="M111" t="str">
            <v>Grèce</v>
          </cell>
          <cell r="N111" t="str">
            <v>AB</v>
          </cell>
          <cell r="O111" t="str">
            <v>/</v>
          </cell>
          <cell r="P111" t="str">
            <v>/</v>
          </cell>
          <cell r="Q111" t="str">
            <v>/</v>
          </cell>
          <cell r="R111" t="str">
            <v>/</v>
          </cell>
          <cell r="S111" t="str">
            <v>/</v>
          </cell>
          <cell r="T111" t="str">
            <v>Agriculture UE</v>
          </cell>
          <cell r="U111"/>
          <cell r="V111" t="str">
            <v>L’infusion de cette plante aux notes singulières de fleurs sauvages et de miel est particulièrement douce et agréable au palais. Les Grecs en ont fait leur boisson nationale tandis que les Crétois la considèrent traditionnellement comme une boisson de longue vie. La crapaudine s’apprécie au quotidien pour son bouquet aromatique riche, mais aussi en cas de refroidissement ou pour une fin de repas tout en légèreté. Une tisane pleine de charme !</v>
          </cell>
          <cell r="W111"/>
          <cell r="X111" t="str">
            <v>L’infusion de crapaudine aux saveurs de fleurs sauvages et de miel est d’une douceur incomparable. Très populaire en Grèce, elle s’apprécie au quotidien pour son bouquet aromatique, mais aussi en cas de refroidissement ou pour une fin de repas tout en légèreté. Une tisane pleine de ressources !</v>
          </cell>
          <cell r="Y111"/>
          <cell r="Z111" t="str">
            <v>Ingrédient : crapaudine* (Sideritis raeseri). *Issu de l’agriculture biologique.</v>
          </cell>
          <cell r="AA111" t="str">
            <v>/</v>
          </cell>
          <cell r="AB111" t="str">
            <v>/</v>
          </cell>
          <cell r="AC111">
            <v>40</v>
          </cell>
          <cell r="AD111" t="str">
            <v>5-10</v>
          </cell>
          <cell r="AE111">
            <v>95</v>
          </cell>
          <cell r="AF111">
            <v>2</v>
          </cell>
          <cell r="AG111">
            <v>20</v>
          </cell>
          <cell r="AH111">
            <v>3582811008569</v>
          </cell>
          <cell r="AI111" t="str">
            <v>/</v>
          </cell>
          <cell r="AJ111" t="str">
            <v>ETHN0850V5</v>
          </cell>
          <cell r="AK111" t="str">
            <v>ETHN0850V5</v>
          </cell>
          <cell r="AL111" t="str">
            <v>/</v>
          </cell>
          <cell r="AM111"/>
        </row>
        <row r="112">
          <cell r="A112" t="str">
            <v>TUTN3252</v>
          </cell>
          <cell r="B112"/>
          <cell r="C112"/>
          <cell r="D112"/>
          <cell r="E112"/>
          <cell r="F112"/>
          <cell r="G112"/>
          <cell r="H112" t="str">
            <v>LES GRANDS CLASSIQUES</v>
          </cell>
          <cell r="I112"/>
          <cell r="J112" t="str">
            <v xml:space="preserve">Darjeeling Gaïa Bari  </v>
          </cell>
          <cell r="K112" t="str">
            <v>FTGFOP1 SF - Jardin de Potong</v>
          </cell>
          <cell r="L112" t="str">
            <v>Thé noir d'origine</v>
          </cell>
          <cell r="M112" t="str">
            <v>Inde - Darjeeling</v>
          </cell>
          <cell r="N112" t="str">
            <v>AB</v>
          </cell>
          <cell r="O112" t="str">
            <v>WFTO</v>
          </cell>
          <cell r="P112" t="str">
            <v>D</v>
          </cell>
          <cell r="Q112" t="str">
            <v>/</v>
          </cell>
          <cell r="R112" t="str">
            <v>IGP</v>
          </cell>
          <cell r="S112" t="str">
            <v>/</v>
          </cell>
          <cell r="T112" t="str">
            <v>Agriculture Inde</v>
          </cell>
          <cell r="U112"/>
          <cell r="V112" t="str">
            <v>Littéralement “le jardin de Gaïa” en népalais, ce thé est pour nous l’aboutissement d’une belle collaboration avec le jardin Potong. Issu de théiers sélectionnés avec soin, il libère un nez floral et sucré qui révèle une infusion aux notes gourmandes de pain grillé accompagnées d’accents de pâte de fruits et de pointes discrètes de fleur de macis. Belle réussite, rare et cher à notre cœur, ce thé est un cadeau que nous sommes fiers de partager !</v>
          </cell>
          <cell r="W112" t="str">
            <v>S24</v>
          </cell>
          <cell r="X112" t="str">
            <v xml:space="preserve">Littéralement “le jardin de Gaïa” en népalais, ce thé noir est l’aboutissement d’une belle collaboration avec le jardin de thé de Potong. Issu de théiers sélectionnés, il offre une infusion gourmande aux saveurs de pain grillé accompagnées de notes de pâte de fruits et d’une pointe de fleur de macis. </v>
          </cell>
          <cell r="Y112"/>
          <cell r="Z112" t="str">
            <v xml:space="preserve">Ingrédient : thé noir**. **Issu de l’agriculture biologique et biodynamique. demeter est la marque des produits issus de l’agriculture biodynamique certifiée. </v>
          </cell>
          <cell r="AA112" t="str">
            <v>/</v>
          </cell>
          <cell r="AB112" t="str">
            <v>Membre certifié World Fair Trade Organization, Les Jardins de Gaïa s’engagent pour un commerce plus juste et répondent aux exigences du commerce équitable. Pour en savoir plus : www.wfto.com.</v>
          </cell>
          <cell r="AC112">
            <v>100</v>
          </cell>
          <cell r="AD112" t="str">
            <v>3</v>
          </cell>
          <cell r="AE112">
            <v>90</v>
          </cell>
          <cell r="AF112">
            <v>2</v>
          </cell>
          <cell r="AG112">
            <v>50</v>
          </cell>
          <cell r="AH112">
            <v>3582815632524</v>
          </cell>
          <cell r="AI112" t="str">
            <v>/</v>
          </cell>
          <cell r="AJ112" t="str">
            <v>ETTUNN3252V5</v>
          </cell>
          <cell r="AK112" t="str">
            <v>ETTUNN3252V5</v>
          </cell>
          <cell r="AL112" t="str">
            <v>/</v>
          </cell>
          <cell r="AM112" t="str">
            <v>Potong Tea Workers Welfare Committee</v>
          </cell>
        </row>
        <row r="113">
          <cell r="A113" t="str">
            <v>TF1321</v>
          </cell>
          <cell r="B113"/>
          <cell r="C113"/>
          <cell r="D113"/>
          <cell r="E113"/>
          <cell r="F113"/>
          <cell r="G113"/>
          <cell r="H113" t="str">
            <v>LES GRANDS CLASSIQUES</v>
          </cell>
          <cell r="I113"/>
          <cell r="J113" t="str">
            <v>Délice des fruitiers</v>
          </cell>
          <cell r="K113" t="str">
            <v>Pêche - Saveur mûre</v>
          </cell>
          <cell r="L113" t="str">
            <v>Infusion de fruits aromatisée</v>
          </cell>
          <cell r="M113" t="str">
            <v>/</v>
          </cell>
          <cell r="N113" t="str">
            <v>AB</v>
          </cell>
          <cell r="O113" t="str">
            <v>/</v>
          </cell>
          <cell r="P113" t="str">
            <v>/</v>
          </cell>
          <cell r="Q113" t="str">
            <v>/</v>
          </cell>
          <cell r="R113" t="str">
            <v>/</v>
          </cell>
          <cell r="S113" t="str">
            <v>/</v>
          </cell>
          <cell r="T113" t="str">
            <v>Agriculture UE/non UE</v>
          </cell>
          <cell r="U113"/>
          <cell r="V113" t="str">
            <v>Gorgée de soleil, cette recette fruitée associe avec gourmandise les saveurs de la mûre et de la pêche, agréablement soulignées par les rafraîchissantes notes citronnées du lemongrass. Irrésistible !</v>
          </cell>
          <cell r="W113" t="str">
            <v>S27</v>
          </cell>
          <cell r="X113" t="str">
            <v>Gorgée de soleil et de gaieté, cette tisane de fruits marie avec gourmandise les saveurs de la mûre et de la pêche, le tout agréablement souligné par les rafraîchissantes notes citronnées du lemongrass. Un délice fruité pour toute la famille particulièrement agréable en infusion glacée !</v>
          </cell>
          <cell r="Y113"/>
          <cell r="Z113" t="str">
            <v>Ingrédients : morceaux de fruits (pomme* 37%, pêche* 3%, abricot* 2%), écorces d’églantine*, arômes naturels de (pêche* 8%, mûre* 6%, abricot*), écorces d’orange*, lemongrass*, hibiscus*, pétales de souci*. *Issu de l'agriculture biologique.</v>
          </cell>
          <cell r="AA113" t="str">
            <v>/</v>
          </cell>
          <cell r="AB113" t="str">
            <v>/</v>
          </cell>
          <cell r="AC113">
            <v>1.5</v>
          </cell>
          <cell r="AD113" t="str">
            <v>5-10</v>
          </cell>
          <cell r="AE113">
            <v>95</v>
          </cell>
          <cell r="AF113">
            <v>2</v>
          </cell>
          <cell r="AG113">
            <v>750</v>
          </cell>
          <cell r="AH113">
            <v>3582810113219</v>
          </cell>
          <cell r="AI113" t="str">
            <v>/</v>
          </cell>
          <cell r="AJ113" t="str">
            <v>INTERNE</v>
          </cell>
          <cell r="AK113" t="str">
            <v>INTERNE</v>
          </cell>
          <cell r="AL113" t="str">
            <v>/</v>
          </cell>
          <cell r="AM113" t="str">
            <v>Création maison</v>
          </cell>
        </row>
        <row r="114">
          <cell r="A114" t="str">
            <v>TF1322</v>
          </cell>
          <cell r="B114"/>
          <cell r="C114"/>
          <cell r="D114"/>
          <cell r="E114"/>
          <cell r="F114"/>
          <cell r="G114"/>
          <cell r="H114" t="str">
            <v>LES GRANDS CLASSIQUES</v>
          </cell>
          <cell r="I114"/>
          <cell r="J114" t="str">
            <v>Délice des fruitiers</v>
          </cell>
          <cell r="K114" t="str">
            <v>Pêche - Saveur mûre</v>
          </cell>
          <cell r="L114" t="str">
            <v>Infusion de fruits aromatisée</v>
          </cell>
          <cell r="M114" t="str">
            <v>/</v>
          </cell>
          <cell r="N114" t="str">
            <v>AB</v>
          </cell>
          <cell r="O114" t="str">
            <v>/</v>
          </cell>
          <cell r="P114" t="str">
            <v>/</v>
          </cell>
          <cell r="Q114" t="str">
            <v>/</v>
          </cell>
          <cell r="R114" t="str">
            <v>/</v>
          </cell>
          <cell r="S114" t="str">
            <v>/</v>
          </cell>
          <cell r="T114" t="str">
            <v>Agriculture UE/non UE</v>
          </cell>
          <cell r="U114"/>
          <cell r="V114" t="str">
            <v>Gorgée de soleil, cette recette fruitée associe avec gourmandise les saveurs de la mûre et de la pêche, agréablement soulignées par les rafraîchissantes notes citronnées du lemongrass. Irrésistible !</v>
          </cell>
          <cell r="W114" t="str">
            <v>S24</v>
          </cell>
          <cell r="X114" t="str">
            <v>Gorgée de soleil et de gaieté, cette tisane de fruits marie avec gourmandise les saveurs de la mûre et de la pêche, le tout agréablement souligné par les rafraîchissantes notes citronnées du lemongrass. Un délice fruité pour toute la famille particulièrement agréable en infusion glacée !</v>
          </cell>
          <cell r="Y114"/>
          <cell r="Z114" t="str">
            <v>Ingrédients : morceaux de fruits (pomme* 37%, pêche* 3%, abricot* 2%), écorces d’églantine*, arômes naturels de (pêche* 8%, mûre* 6%, abricot*), écorces d’orange*, lemongrass*, hibiscus*, pétales de souci*. *Issu de l'agriculture biologique.</v>
          </cell>
          <cell r="AA114" t="str">
            <v>/</v>
          </cell>
          <cell r="AB114" t="str">
            <v>/</v>
          </cell>
          <cell r="AC114">
            <v>100</v>
          </cell>
          <cell r="AD114" t="str">
            <v>5-10</v>
          </cell>
          <cell r="AE114">
            <v>95</v>
          </cell>
          <cell r="AF114">
            <v>2</v>
          </cell>
          <cell r="AG114">
            <v>50</v>
          </cell>
          <cell r="AH114">
            <v>3582810113226</v>
          </cell>
          <cell r="AI114" t="str">
            <v>/</v>
          </cell>
          <cell r="AJ114" t="str">
            <v>ETFA132V5</v>
          </cell>
          <cell r="AK114" t="str">
            <v>ETFA132V5</v>
          </cell>
          <cell r="AL114" t="str">
            <v>ETCFA1322V5</v>
          </cell>
          <cell r="AM114" t="str">
            <v>Création maison</v>
          </cell>
        </row>
        <row r="115">
          <cell r="A115" t="str">
            <v>TR2061</v>
          </cell>
          <cell r="B115"/>
          <cell r="C115"/>
          <cell r="D115"/>
          <cell r="E115"/>
          <cell r="F115"/>
          <cell r="G115"/>
          <cell r="H115" t="str">
            <v>LES GRANDS CLASSIQUES</v>
          </cell>
          <cell r="I115"/>
          <cell r="J115" t="str">
            <v>Délice du verger</v>
          </cell>
          <cell r="K115" t="str">
            <v>Saveur cerise</v>
          </cell>
          <cell r="L115" t="str">
            <v>Rooibos aromatisé</v>
          </cell>
          <cell r="M115" t="str">
            <v>Afrique du Sud - Cap Occidental</v>
          </cell>
          <cell r="N115" t="str">
            <v>AB</v>
          </cell>
          <cell r="O115" t="str">
            <v>WFTO</v>
          </cell>
          <cell r="P115" t="str">
            <v>/</v>
          </cell>
          <cell r="Q115" t="str">
            <v>/</v>
          </cell>
          <cell r="R115" t="str">
            <v>/</v>
          </cell>
          <cell r="S115" t="str">
            <v>/</v>
          </cell>
          <cell r="T115" t="str">
            <v>Agriculture UE/non UE</v>
          </cell>
          <cell r="U115"/>
          <cell r="V115" t="str">
            <v>Petits fruits rouges qui infusent doucement au soleil… Cette boisson surprenante, ronde et fruitée, exhale les parfums subtils de la cerise. Chaude ou glacée, elle sera d'une agréable compagnie pendant les longues discussions. Pour petits et grands.</v>
          </cell>
          <cell r="W115" t="str">
            <v>S27</v>
          </cell>
          <cell r="X115" t="str">
            <v>Cette recette de rooibos ensoleillée aux saveurs rondes, boisées et fruitées rappelle à quel point le goût de la cerise est irrésistible ! Un délice qui met en valeur la « reine des vergers », à partager en infusion chaude ou glacée !</v>
          </cell>
          <cell r="Y115"/>
          <cell r="Z115" t="str">
            <v>Ingrédients : rooibos*, arôme naturel de cerise* 7%, feuilles de fraisier*, airelles*, pétales de bleuet*. *Issu de l'agriculture biologique.</v>
          </cell>
          <cell r="AA115" t="str">
            <v>/</v>
          </cell>
          <cell r="AB115" t="str">
            <v>Membre certifié World Fair Trade Organization, Les Jardins de Gaïa s’engagent pour un commerce plus juste et répondent aux exigences du commerce équitable. Pour en savoir plus : www.wfto.com.</v>
          </cell>
          <cell r="AC115">
            <v>1.5</v>
          </cell>
          <cell r="AD115" t="str">
            <v>5-10</v>
          </cell>
          <cell r="AE115">
            <v>95</v>
          </cell>
          <cell r="AF115">
            <v>2</v>
          </cell>
          <cell r="AG115">
            <v>750</v>
          </cell>
          <cell r="AH115">
            <v>3582810920619</v>
          </cell>
          <cell r="AI115" t="str">
            <v>/</v>
          </cell>
          <cell r="AJ115" t="str">
            <v>INTERNE</v>
          </cell>
          <cell r="AK115" t="str">
            <v>INTERNE</v>
          </cell>
          <cell r="AL115" t="str">
            <v>/</v>
          </cell>
          <cell r="AM115" t="str">
            <v>Création maison</v>
          </cell>
        </row>
        <row r="116">
          <cell r="A116" t="str">
            <v>TR2062</v>
          </cell>
          <cell r="B116"/>
          <cell r="C116"/>
          <cell r="D116"/>
          <cell r="E116"/>
          <cell r="F116"/>
          <cell r="G116"/>
          <cell r="H116" t="str">
            <v>LES GRANDS CLASSIQUES</v>
          </cell>
          <cell r="I116"/>
          <cell r="J116" t="str">
            <v>Délice du verger</v>
          </cell>
          <cell r="K116" t="str">
            <v>Saveur cerise</v>
          </cell>
          <cell r="L116" t="str">
            <v>Rooibos aromatisé</v>
          </cell>
          <cell r="M116" t="str">
            <v>Afrique du Sud - Cap Occidental</v>
          </cell>
          <cell r="N116" t="str">
            <v>AB</v>
          </cell>
          <cell r="O116" t="str">
            <v>WFTO</v>
          </cell>
          <cell r="P116" t="str">
            <v>/</v>
          </cell>
          <cell r="Q116" t="str">
            <v>/</v>
          </cell>
          <cell r="R116" t="str">
            <v>/</v>
          </cell>
          <cell r="S116" t="str">
            <v>/</v>
          </cell>
          <cell r="T116" t="str">
            <v>Agriculture UE/non UE</v>
          </cell>
          <cell r="U116"/>
          <cell r="V116" t="str">
            <v>Petits fruits rouges qui infusent doucement au soleil… Cette boisson surprenante, ronde et fruitée, exhale les parfums subtils de la cerise. Chaude ou glacée, elle sera d'une agréable compagnie pendant les longues discussions. Pour petits et grands.</v>
          </cell>
          <cell r="W116" t="str">
            <v>S24</v>
          </cell>
          <cell r="X116" t="str">
            <v>Cette recette de rooibos ensoleillée aux saveurs rondes, boisées et fruitées rappelle à quel point le goût de la cerise est irrésistible ! Un délice qui met en valeur la « reine des vergers », à partager en infusion chaude ou glacée !</v>
          </cell>
          <cell r="Y116"/>
          <cell r="Z116" t="str">
            <v>Ingrédients : rooibos*, arôme naturel de cerise* 7%, feuilles de fraisier*, airelles*, pétales de bleuet*. *Issu de l'agriculture biologique.</v>
          </cell>
          <cell r="AA116" t="str">
            <v>/</v>
          </cell>
          <cell r="AB116" t="str">
            <v>Membre certifié World Fair Trade Organization, Les Jardins de Gaïa s’engagent pour un commerce plus juste et répondent aux exigences du commerce équitable. Pour en savoir plus : www.wfto.com.</v>
          </cell>
          <cell r="AC116">
            <v>100</v>
          </cell>
          <cell r="AD116" t="str">
            <v>5-10</v>
          </cell>
          <cell r="AE116">
            <v>95</v>
          </cell>
          <cell r="AF116">
            <v>2</v>
          </cell>
          <cell r="AG116">
            <v>50</v>
          </cell>
          <cell r="AH116">
            <v>3582810920626</v>
          </cell>
          <cell r="AI116" t="str">
            <v>/</v>
          </cell>
          <cell r="AJ116" t="str">
            <v>ETRA206V5</v>
          </cell>
          <cell r="AK116" t="str">
            <v>ETRA206V5</v>
          </cell>
          <cell r="AL116" t="str">
            <v>ETCRA2062V5</v>
          </cell>
          <cell r="AM116" t="str">
            <v>Création maison</v>
          </cell>
        </row>
        <row r="117">
          <cell r="A117" t="str">
            <v>TH7061</v>
          </cell>
          <cell r="B117"/>
          <cell r="C117"/>
          <cell r="D117"/>
          <cell r="E117"/>
          <cell r="F117"/>
          <cell r="G117"/>
          <cell r="H117" t="str">
            <v>LES BIENFAITRICES</v>
          </cell>
          <cell r="I117" t="str">
            <v>LES INFUSIONS DE PLANTES</v>
          </cell>
          <cell r="J117" t="str">
            <v>Des jambes si légères</v>
          </cell>
          <cell r="K117" t="str">
            <v>Drainante &amp; Revitalisante
Maté - Romarin</v>
          </cell>
          <cell r="L117" t="str">
            <v>Infusion de plantes</v>
          </cell>
          <cell r="M117" t="str">
            <v>/</v>
          </cell>
          <cell r="N117" t="str">
            <v>AB</v>
          </cell>
          <cell r="O117" t="str">
            <v>/</v>
          </cell>
          <cell r="P117" t="str">
            <v>/</v>
          </cell>
          <cell r="Q117" t="str">
            <v>/</v>
          </cell>
          <cell r="R117" t="str">
            <v>/</v>
          </cell>
          <cell r="S117" t="str">
            <v>/</v>
          </cell>
          <cell r="T117" t="str">
            <v>AT-BIO-301
Agriculture UE/non UE</v>
          </cell>
          <cell r="U117"/>
          <cell r="V117" t="str">
            <v>Tisane fraîche, tonique et épicée composée de plantes réputées pour leurs vertus drainantes, stimulantes et revitalisantes. Pour retrouver de jolies gambettes, légères et fuselées !</v>
          </cell>
          <cell r="W117"/>
          <cell r="X117" t="str">
            <v>Cette tisane fraîche, tonique et épicée est composée de plantes réputées pour leurs vertus drainantes, stimulantes et revitalisantes. Un agréable coup de pouce pour retrouver de jolies gambettes, légères et fuselées !</v>
          </cell>
          <cell r="Y117"/>
          <cell r="Z117" t="str">
            <v>Ingrédients : menthe odorante* (Mentha rotundifolia), mélisse* (Melissa officinalis), romarin* 19% (Rosmarinus officinalis), lemongrass* (Cymbopogon citratus), maté* 10% (Ilex paraguariensis), boutons de rose* (Rosa damascena). *Issu de l'agriculture biologique.</v>
          </cell>
          <cell r="AA117" t="str">
            <v>Consommation journalière conseillée : 1,5 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117" t="str">
            <v>/</v>
          </cell>
          <cell r="AC117" t="str">
            <v>?</v>
          </cell>
          <cell r="AD117" t="str">
            <v>5-10</v>
          </cell>
          <cell r="AE117">
            <v>95</v>
          </cell>
          <cell r="AF117">
            <v>2</v>
          </cell>
          <cell r="AG117" t="str">
            <v>?</v>
          </cell>
          <cell r="AH117" t="str">
            <v>?</v>
          </cell>
          <cell r="AI117" t="str">
            <v>/</v>
          </cell>
          <cell r="AJ117" t="str">
            <v>INTERNE</v>
          </cell>
          <cell r="AK117" t="str">
            <v>INTERNE</v>
          </cell>
          <cell r="AL117" t="str">
            <v>/</v>
          </cell>
          <cell r="AM117" t="str">
            <v>Sonnentor</v>
          </cell>
        </row>
        <row r="118">
          <cell r="A118" t="str">
            <v>TH706</v>
          </cell>
          <cell r="B118"/>
          <cell r="C118" t="str">
            <v>X</v>
          </cell>
          <cell r="D118" t="str">
            <v>X</v>
          </cell>
          <cell r="E118"/>
          <cell r="F118" t="str">
            <v>GRAI</v>
          </cell>
          <cell r="G118">
            <v>45408</v>
          </cell>
          <cell r="H118" t="str">
            <v>LES BIENFAITRICES</v>
          </cell>
          <cell r="I118" t="str">
            <v>LES INFUSIONS DE PLANTES</v>
          </cell>
          <cell r="J118" t="str">
            <v>Des jambes si légères</v>
          </cell>
          <cell r="K118" t="str">
            <v>Drainante &amp; Revitalisante
Maté - Romarin</v>
          </cell>
          <cell r="L118" t="str">
            <v>Infusion de plantes</v>
          </cell>
          <cell r="M118" t="str">
            <v>/</v>
          </cell>
          <cell r="N118" t="str">
            <v>AB</v>
          </cell>
          <cell r="O118" t="str">
            <v>/</v>
          </cell>
          <cell r="P118" t="str">
            <v>/</v>
          </cell>
          <cell r="Q118" t="str">
            <v>/</v>
          </cell>
          <cell r="R118" t="str">
            <v>/</v>
          </cell>
          <cell r="S118" t="str">
            <v>/</v>
          </cell>
          <cell r="T118" t="str">
            <v>AT-BIO-301
Agriculture UE/non UE</v>
          </cell>
          <cell r="U118"/>
          <cell r="V118" t="str">
            <v>Tisane fraîche, tonique et épicée composée de plantes réputées pour leurs vertus drainantes, stimulantes et revitalisantes. Pour retrouver de jolies gambettes, légères et fuselées !</v>
          </cell>
          <cell r="W118"/>
          <cell r="X118" t="str">
            <v>Cette tisane fraîche, tonique et épicée est composée de plantes réputées pour leurs vertus drainantes, stimulantes et revitalisantes. Un agréable coup de pouce pour retrouver de jolies gambettes, légères et fuselées !</v>
          </cell>
          <cell r="Y118"/>
          <cell r="Z118" t="str">
            <v>Ingrédients : menthe odorante* (Mentha rotundifolia), mélisse* (Melissa officinalis), romarin* 19% (Rosmarinus officinalis), lemongrass* (Cymbopogon citratus), maté* 10% (Ilex paraguariensis), boutons de rose* (Rosa damascena). *Issu de l'agriculture biologique.</v>
          </cell>
          <cell r="AA118" t="str">
            <v>Consommation journalière conseillée : 1,5 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118" t="str">
            <v>/</v>
          </cell>
          <cell r="AC118">
            <v>50</v>
          </cell>
          <cell r="AD118" t="str">
            <v>5-10</v>
          </cell>
          <cell r="AE118">
            <v>95</v>
          </cell>
          <cell r="AF118">
            <v>2</v>
          </cell>
          <cell r="AG118">
            <v>25</v>
          </cell>
          <cell r="AH118">
            <v>3582811007067</v>
          </cell>
          <cell r="AI118" t="str">
            <v>/</v>
          </cell>
          <cell r="AJ118" t="str">
            <v>ETHN7060V5</v>
          </cell>
          <cell r="AK118" t="str">
            <v>ETHN7060V5</v>
          </cell>
          <cell r="AL118" t="str">
            <v>/</v>
          </cell>
          <cell r="AM118" t="str">
            <v>Sonnentor</v>
          </cell>
        </row>
        <row r="119">
          <cell r="A119" t="str">
            <v>TM0281</v>
          </cell>
          <cell r="B119"/>
          <cell r="C119"/>
          <cell r="D119"/>
          <cell r="E119"/>
          <cell r="F119"/>
          <cell r="G119"/>
          <cell r="H119" t="str">
            <v>LES GRANDS CLASSIQUES</v>
          </cell>
          <cell r="I119" t="str">
            <v>LES MEDITATIONS</v>
          </cell>
          <cell r="J119" t="str">
            <v>Dhyāna AIR</v>
          </cell>
          <cell r="K119" t="str">
            <v>Thé de méditation
Pétales de rose - Fleurs de sureau et de violette</v>
          </cell>
          <cell r="L119" t="str">
            <v>Thé vert parfumé</v>
          </cell>
          <cell r="M119" t="str">
            <v>Corée du Sud - Chine</v>
          </cell>
          <cell r="N119" t="str">
            <v>AB</v>
          </cell>
          <cell r="O119" t="str">
            <v>WFTO</v>
          </cell>
          <cell r="P119" t="str">
            <v>/</v>
          </cell>
          <cell r="Q119" t="str">
            <v>/</v>
          </cell>
          <cell r="R119" t="str">
            <v>/</v>
          </cell>
          <cell r="S119" t="str">
            <v>/</v>
          </cell>
          <cell r="T119" t="str">
            <v>Agriculture UE/non UE</v>
          </cell>
          <cell r="U119"/>
          <cell r="V119" t="str">
            <v>Léger comme l'air, emporté par le vent, sentez le plaisir de voyager librement dans l'univers des possibles en explorant le monde sans contraintes. Cette recette aérienne à base de thé vert, aux saveurs florales de violette, buchu et fleur de sureau est une invitation à se libérer et prendre son envol en quelques gorgées de plaisir.</v>
          </cell>
          <cell r="W119" t="str">
            <v>S22</v>
          </cell>
          <cell r="X119" t="str">
            <v>Avec cette recette aérienne et inspirée à base de thé vert, ressentez le plaisir de laisser votre esprit voyager librement. Laissez-vous porter par l’harmonie de ses notes florales de violette, de buchu et de fleur de sureau qui sont une invitation à prendre son envol en quelques gorgées de plaisir.</v>
          </cell>
          <cell r="Y119"/>
          <cell r="Z119" t="str">
            <v>Ingrédients : thé vert*, pétales de rose* 6%, fleurs (sureau*, violette*) 10%, buchu*. *Issu de l’agriculture biologique.</v>
          </cell>
          <cell r="AA119" t="str">
            <v>/</v>
          </cell>
          <cell r="AB119" t="str">
            <v>Membre certifié World Fair Trade Organization, Les Jardins de Gaïa s’engagent pour un commerce plus juste et répondent aux exigences du commerce équitable. Pour en savoir plus : www.wfto.com.</v>
          </cell>
          <cell r="AC119">
            <v>1.5</v>
          </cell>
          <cell r="AD119" t="str">
            <v>3-4</v>
          </cell>
          <cell r="AE119">
            <v>85</v>
          </cell>
          <cell r="AF119">
            <v>2</v>
          </cell>
          <cell r="AG119">
            <v>750</v>
          </cell>
          <cell r="AH119">
            <v>3582811202813</v>
          </cell>
          <cell r="AI119" t="str">
            <v>/</v>
          </cell>
          <cell r="AJ119" t="str">
            <v>INTERNE</v>
          </cell>
          <cell r="AK119" t="str">
            <v>INTERNE</v>
          </cell>
          <cell r="AL119" t="str">
            <v>/</v>
          </cell>
          <cell r="AM119" t="str">
            <v>Création maison</v>
          </cell>
        </row>
        <row r="120">
          <cell r="A120" t="str">
            <v>TM0282</v>
          </cell>
          <cell r="B120"/>
          <cell r="C120"/>
          <cell r="D120"/>
          <cell r="E120"/>
          <cell r="F120"/>
          <cell r="G120"/>
          <cell r="H120" t="str">
            <v>LES GRANDS CLASSIQUES</v>
          </cell>
          <cell r="I120" t="str">
            <v>LES MEDITATIONS</v>
          </cell>
          <cell r="J120" t="str">
            <v>Dhyāna AIR</v>
          </cell>
          <cell r="K120" t="str">
            <v>Thé de méditation
Pétales de rose - Fleurs de sureau et de violette</v>
          </cell>
          <cell r="L120" t="str">
            <v>Thé vert parfumé</v>
          </cell>
          <cell r="M120" t="str">
            <v>Corée du Sud - Chine</v>
          </cell>
          <cell r="N120" t="str">
            <v>AB</v>
          </cell>
          <cell r="O120" t="str">
            <v>WFTO</v>
          </cell>
          <cell r="P120" t="str">
            <v>/</v>
          </cell>
          <cell r="Q120" t="str">
            <v>/</v>
          </cell>
          <cell r="R120" t="str">
            <v>/</v>
          </cell>
          <cell r="S120" t="str">
            <v>/</v>
          </cell>
          <cell r="T120" t="str">
            <v>Agriculture UE/non UE</v>
          </cell>
          <cell r="U120"/>
          <cell r="V120" t="str">
            <v>Léger comme l'air, emporté par le vent, sentez le plaisir de voyager librement dans l'univers des possibles en explorant le monde sans contraintes. Cette recette aérienne à base de thé vert, aux saveurs florales de violette, buchu et fleur de sureau est une invitation à se libérer et prendre son envol en quelques gorgées de plaisir.</v>
          </cell>
          <cell r="W120" t="str">
            <v>S22</v>
          </cell>
          <cell r="X120" t="str">
            <v>Avec cette recette aérienne et inspirée à base de thé vert, ressentez le plaisir de laisser votre esprit voyager librement. Laissez-vous porter par l’harmonie de ses notes florales de violette, de buchu et de fleur de sureau qui sont une invitation à prendre son envol en quelques gorgées de plaisir.</v>
          </cell>
          <cell r="Y120"/>
          <cell r="Z120" t="str">
            <v>Ingrédients : thé vert*, pétales de rose* 6%, fleurs (sureau*, violette*) 10%, buchu*. *Issu de l’agriculture biologique.</v>
          </cell>
          <cell r="AA120" t="str">
            <v>/</v>
          </cell>
          <cell r="AB120" t="str">
            <v>Membre certifié World Fair Trade Organization, Les Jardins de Gaïa s’engagent pour un commerce plus juste et répondent aux exigences du commerce équitable. Pour en savoir plus : www.wfto.com.</v>
          </cell>
          <cell r="AC120">
            <v>80</v>
          </cell>
          <cell r="AD120" t="str">
            <v>3-4</v>
          </cell>
          <cell r="AE120">
            <v>85</v>
          </cell>
          <cell r="AF120">
            <v>2</v>
          </cell>
          <cell r="AG120">
            <v>40</v>
          </cell>
          <cell r="AH120">
            <v>3582811202820</v>
          </cell>
          <cell r="AI120" t="str">
            <v>/</v>
          </cell>
          <cell r="AJ120" t="str">
            <v>ETTM028</v>
          </cell>
          <cell r="AK120" t="str">
            <v>ETTM028V5</v>
          </cell>
          <cell r="AL120" t="str">
            <v>ETCTM0282V5</v>
          </cell>
          <cell r="AM120" t="str">
            <v>Création maison</v>
          </cell>
        </row>
        <row r="121">
          <cell r="A121" t="str">
            <v>TM0251</v>
          </cell>
          <cell r="B121"/>
          <cell r="C121"/>
          <cell r="D121"/>
          <cell r="E121"/>
          <cell r="F121"/>
          <cell r="G121"/>
          <cell r="H121" t="str">
            <v>LES GRANDS CLASSIQUES</v>
          </cell>
          <cell r="I121" t="str">
            <v>LES MEDITATIONS</v>
          </cell>
          <cell r="J121" t="str">
            <v>Dhyāna EAU</v>
          </cell>
          <cell r="K121" t="str">
            <v>Thé de méditation 
Thé blanc - Thé vert au jasmin - Lemongrass – Tulsi</v>
          </cell>
          <cell r="L121" t="str">
            <v>Thé blanc parfumé</v>
          </cell>
          <cell r="M121" t="str">
            <v>Chine</v>
          </cell>
          <cell r="N121" t="str">
            <v>AB</v>
          </cell>
          <cell r="O121" t="str">
            <v>WFTO</v>
          </cell>
          <cell r="P121" t="str">
            <v>/</v>
          </cell>
          <cell r="Q121" t="str">
            <v>/</v>
          </cell>
          <cell r="R121" t="str">
            <v>/</v>
          </cell>
          <cell r="S121" t="str">
            <v>/</v>
          </cell>
          <cell r="T121" t="str">
            <v>Agriculture UE/non UE</v>
          </cell>
          <cell r="U121"/>
          <cell r="V121" t="str">
            <v>Ouvrez votre esprit, abordez le monde avec la souplesse de l'eau et ressentez la douceur d'être immergé dans un beau moment de quiétude. Cette recette fraîche, à base de thé blanc, est inspirée par l'élément aquatique et la manière dont il apaise nos sens. Avec ses notes harmonieuses de jasmin, de tulsi, de lemongrass et de réglisse, elle promet un beau voyage sur l'océan des saveurs et des sens.</v>
          </cell>
          <cell r="W121" t="str">
            <v>S22</v>
          </cell>
          <cell r="X121" t="str">
            <v xml:space="preserve">Inspiré par la fraîcheur de cette composition à base de thé blanc, abordez le monde avec la souplesse de l'eau et immergez-vous dans un doux moment de quiétude. L’harmonie de ses notes de jasmin, de tulsi, de lemongrass et de réglisse, vous promet un beau voyage sur l’océan des sens et des saveurs. </v>
          </cell>
          <cell r="Y121"/>
          <cell r="Z121" t="str">
            <v>Ingrédients : thé blanc* 48%, thé vert au jasmin* 19%, lemongrass* 12%, tulsi* 7%, réglisse*, pétales de rose*, amarante*. *Issu de l’agriculture biologique. Contient de la réglisse : les personnes souffrant d'hypertension doivent éviter toute consommation excessive.</v>
          </cell>
          <cell r="AA121" t="str">
            <v>/</v>
          </cell>
          <cell r="AB121" t="str">
            <v>Membre certifié World Fair Trade Organization, Les Jardins de Gaïa s’engagent pour un commerce plus juste et répondent aux exigences du commerce équitable. Pour en savoir plus : www.wfto.com.</v>
          </cell>
          <cell r="AC121">
            <v>1.5</v>
          </cell>
          <cell r="AD121" t="str">
            <v>3-4</v>
          </cell>
          <cell r="AE121">
            <v>85</v>
          </cell>
          <cell r="AF121">
            <v>2</v>
          </cell>
          <cell r="AG121">
            <v>750</v>
          </cell>
          <cell r="AH121">
            <v>3582811202516</v>
          </cell>
          <cell r="AI121" t="str">
            <v>/</v>
          </cell>
          <cell r="AJ121" t="str">
            <v>INTERNE</v>
          </cell>
          <cell r="AK121" t="str">
            <v>INTERNE</v>
          </cell>
          <cell r="AL121" t="str">
            <v>/</v>
          </cell>
          <cell r="AM121" t="str">
            <v>Création maison</v>
          </cell>
        </row>
        <row r="122">
          <cell r="A122" t="str">
            <v>TM0256</v>
          </cell>
          <cell r="B122"/>
          <cell r="C122"/>
          <cell r="D122"/>
          <cell r="E122"/>
          <cell r="F122"/>
          <cell r="G122"/>
          <cell r="H122" t="str">
            <v>LES GRANDS CLASSIQUES</v>
          </cell>
          <cell r="I122" t="str">
            <v>LES MEDITATIONS</v>
          </cell>
          <cell r="J122" t="str">
            <v>Dhyāna EAU</v>
          </cell>
          <cell r="K122" t="str">
            <v>Thé de méditation 
Thé blanc - Thé vert au jasmin - Lemongrass – Tulsi</v>
          </cell>
          <cell r="L122" t="str">
            <v>Thé blanc parfumé</v>
          </cell>
          <cell r="M122" t="str">
            <v>Chine</v>
          </cell>
          <cell r="N122" t="str">
            <v>AB</v>
          </cell>
          <cell r="O122" t="str">
            <v>WFTO</v>
          </cell>
          <cell r="P122" t="str">
            <v>/</v>
          </cell>
          <cell r="Q122" t="str">
            <v>/</v>
          </cell>
          <cell r="R122" t="str">
            <v>/</v>
          </cell>
          <cell r="S122" t="str">
            <v>/</v>
          </cell>
          <cell r="T122" t="str">
            <v>Agriculture UE/non UE</v>
          </cell>
          <cell r="U122"/>
          <cell r="V122" t="str">
            <v>Ouvrez votre esprit, abordez le monde avec la souplesse de l'eau et ressentez la douceur d'être immergé dans un beau moment de quiétude. Cette recette fraîche, à base de thé blanc, est inspirée par l'élément aquatique et la manière dont il apaise nos sens. Avec ses notes harmonieuses de jasmin, de tulsi, de lemongrass et de réglisse, elle promet un beau voyage sur l'océan des saveurs et des sens.</v>
          </cell>
          <cell r="W122" t="str">
            <v>S22</v>
          </cell>
          <cell r="X122" t="str">
            <v xml:space="preserve">Inspiré par la fraîcheur de cette composition à base de thé blanc, abordez le monde avec la souplesse de l'eau et immergez-vous dans un doux moment de quiétude. L’harmonie de ses notes de jasmin, de tulsi, de lemongrass et de réglisse, vous promet un beau voyage sur l’océan des sens et des saveurs. </v>
          </cell>
          <cell r="Y122"/>
          <cell r="Z122" t="str">
            <v>Ingrédients : thé blanc* 48%, thé vert au jasmin* 19%, lemongrass* 12%, tulsi* 7%, réglisse*, pétales de rose*, amarante*. *Issu de l’agriculture biologique. Contient de la réglisse : les personnes souffrant d'hypertension doivent éviter toute consommation excessive.</v>
          </cell>
          <cell r="AA122" t="str">
            <v>/</v>
          </cell>
          <cell r="AB122" t="str">
            <v>Membre certifié World Fair Trade Organization, Les Jardins de Gaïa s’engagent pour un commerce plus juste et répondent aux exigences du commerce équitable. Pour en savoir plus : www.wfto.com.</v>
          </cell>
          <cell r="AC122">
            <v>50</v>
          </cell>
          <cell r="AD122" t="str">
            <v>3-4</v>
          </cell>
          <cell r="AE122">
            <v>85</v>
          </cell>
          <cell r="AF122">
            <v>2</v>
          </cell>
          <cell r="AG122">
            <v>25</v>
          </cell>
          <cell r="AH122">
            <v>3582811202561</v>
          </cell>
          <cell r="AI122" t="str">
            <v>/</v>
          </cell>
          <cell r="AJ122" t="str">
            <v>ETTM025</v>
          </cell>
          <cell r="AK122" t="str">
            <v>ETTM025V5</v>
          </cell>
          <cell r="AL122" t="str">
            <v>ETCTM0256V5</v>
          </cell>
          <cell r="AM122" t="str">
            <v>Création maison</v>
          </cell>
        </row>
        <row r="123">
          <cell r="A123" t="str">
            <v>TM0301</v>
          </cell>
          <cell r="B123"/>
          <cell r="C123"/>
          <cell r="D123"/>
          <cell r="E123"/>
          <cell r="F123"/>
          <cell r="G123"/>
          <cell r="H123" t="str">
            <v>LES GRANDS CLASSIQUES</v>
          </cell>
          <cell r="I123" t="str">
            <v>LES MEDITATIONS</v>
          </cell>
          <cell r="J123" t="str">
            <v>Dhyāna ÉVEIL</v>
          </cell>
          <cell r="K123" t="str">
            <v>Tisane de méditation 
Moringa – Verveine - Aronia</v>
          </cell>
          <cell r="L123" t="str">
            <v>Infusion de plantes</v>
          </cell>
          <cell r="M123" t="str">
            <v>?</v>
          </cell>
          <cell r="N123" t="str">
            <v>AB</v>
          </cell>
          <cell r="O123" t="str">
            <v>/</v>
          </cell>
          <cell r="P123" t="str">
            <v>/</v>
          </cell>
          <cell r="Q123" t="str">
            <v>/</v>
          </cell>
          <cell r="R123" t="str">
            <v>/</v>
          </cell>
          <cell r="S123" t="str">
            <v>/</v>
          </cell>
          <cell r="T123" t="str">
            <v>Agriculture UE/non UE</v>
          </cell>
          <cell r="U123"/>
          <cell r="V123" t="str">
            <v>Cette tisane de plantes et de fruits, avec son joli camaïeu de couleurs et sa richesse de saveurs, est inspirée par la beauté du monde vu à travers le regard des enfants. Ses notes gourmandes de verveine, moringa, tilleul, mélisse et romarin s'apprécient lentement en prenant conscience de la richesse de l'instant présent. Pour faire ses premiers pas sur le chemin de l'éveil…</v>
          </cell>
          <cell r="W123" t="str">
            <v>S22</v>
          </cell>
          <cell r="X123" t="str">
            <v xml:space="preserve">Avec son joli camaïeu de couleurs et ses saveurs complexes, cette infusion de plantes et de fruits est une douce invitation à faire ses premiers pas sur le chemin de l'éveil…. Ses notes gourmandes de verveine, moringa, tilleul, mélisse et romarin se savourent dans la richesse de l'instant présent. </v>
          </cell>
          <cell r="Y123"/>
          <cell r="Z123" t="str">
            <v>Ingrédients : aronia* 30%, marc de raisin*, moringa* 15%, verveine* 10%, tilleul*, mélisse*, romarin*, morceaux de fruits (framboise*, fraise*), mauve*, pétales de souci*. *Issu de l'agriculture biologique.</v>
          </cell>
          <cell r="AA123" t="str">
            <v>/</v>
          </cell>
          <cell r="AB123" t="str">
            <v>/</v>
          </cell>
          <cell r="AC123">
            <v>1.5</v>
          </cell>
          <cell r="AD123" t="str">
            <v>5-7</v>
          </cell>
          <cell r="AE123">
            <v>95</v>
          </cell>
          <cell r="AF123">
            <v>2</v>
          </cell>
          <cell r="AG123">
            <v>750</v>
          </cell>
          <cell r="AH123">
            <v>3582811203018</v>
          </cell>
          <cell r="AI123" t="str">
            <v>/</v>
          </cell>
          <cell r="AJ123" t="str">
            <v>INTERNE</v>
          </cell>
          <cell r="AK123" t="str">
            <v>INTERNE</v>
          </cell>
          <cell r="AL123" t="str">
            <v>/</v>
          </cell>
          <cell r="AM123" t="str">
            <v>Création maison</v>
          </cell>
        </row>
        <row r="124">
          <cell r="A124" t="str">
            <v>TM0306</v>
          </cell>
          <cell r="B124"/>
          <cell r="C124"/>
          <cell r="D124"/>
          <cell r="E124"/>
          <cell r="F124"/>
          <cell r="G124"/>
          <cell r="H124" t="str">
            <v>LES GRANDS CLASSIQUES</v>
          </cell>
          <cell r="I124" t="str">
            <v>LES MEDITATIONS</v>
          </cell>
          <cell r="J124" t="str">
            <v>Dhyāna ÉVEIL</v>
          </cell>
          <cell r="K124" t="str">
            <v>Tisane de méditation 
Moringa – Verveine - Aronia</v>
          </cell>
          <cell r="L124" t="str">
            <v>Infusion de plantes</v>
          </cell>
          <cell r="M124" t="str">
            <v>?</v>
          </cell>
          <cell r="N124" t="str">
            <v>AB</v>
          </cell>
          <cell r="O124" t="str">
            <v>/</v>
          </cell>
          <cell r="P124" t="str">
            <v>/</v>
          </cell>
          <cell r="Q124" t="str">
            <v>/</v>
          </cell>
          <cell r="R124" t="str">
            <v>/</v>
          </cell>
          <cell r="S124" t="str">
            <v>/</v>
          </cell>
          <cell r="T124" t="str">
            <v>Agriculture UE/non UE</v>
          </cell>
          <cell r="U124"/>
          <cell r="V124" t="str">
            <v>Cette tisane de plantes et de fruits, avec son joli camaïeu de couleurs et sa richesse de saveurs, est inspirée par la beauté du monde vu à travers le regard des enfants. Ses notes gourmandes de verveine, moringa, tilleul, mélisse et romarin s'apprécient lentement en prenant conscience de la richesse de l'instant présent. Pour faire ses premiers pas sur le chemin de l'éveil…</v>
          </cell>
          <cell r="W124" t="str">
            <v>S22</v>
          </cell>
          <cell r="X124" t="str">
            <v xml:space="preserve">Avec son joli camaïeu de couleurs et ses saveurs complexes, cette infusion de plantes et de fruits est une douce invitation à faire ses premiers pas sur le chemin de l'éveil…. Ses notes gourmandes de verveine, moringa, tilleul, mélisse et romarin se savourent dans la richesse de l'instant présent. </v>
          </cell>
          <cell r="Y124"/>
          <cell r="Z124" t="str">
            <v>Ingrédients : aronia* 30%, marc de raisin*, moringa* 15%, verveine* 10%, tilleul*, mélisse*, romarin*, morceaux de fruits (framboise*, fraise*), mauve*, pétales de souci*. *Issu de l'agriculture biologique.</v>
          </cell>
          <cell r="AA124" t="str">
            <v>/</v>
          </cell>
          <cell r="AB124" t="str">
            <v>/</v>
          </cell>
          <cell r="AC124">
            <v>50</v>
          </cell>
          <cell r="AD124" t="str">
            <v>5-7</v>
          </cell>
          <cell r="AE124">
            <v>95</v>
          </cell>
          <cell r="AF124">
            <v>2</v>
          </cell>
          <cell r="AG124">
            <v>25</v>
          </cell>
          <cell r="AH124">
            <v>3582811203063</v>
          </cell>
          <cell r="AI124" t="str">
            <v>/</v>
          </cell>
          <cell r="AJ124" t="str">
            <v>ETTM030</v>
          </cell>
          <cell r="AK124" t="str">
            <v>ETTM030V5</v>
          </cell>
          <cell r="AL124" t="str">
            <v>ETCTM0306V5</v>
          </cell>
          <cell r="AM124" t="str">
            <v>Création maison</v>
          </cell>
        </row>
        <row r="125">
          <cell r="A125" t="str">
            <v>TM0261</v>
          </cell>
          <cell r="B125"/>
          <cell r="C125"/>
          <cell r="D125"/>
          <cell r="E125"/>
          <cell r="F125"/>
          <cell r="G125"/>
          <cell r="H125" t="str">
            <v>LES GRANDS CLASSIQUES</v>
          </cell>
          <cell r="I125" t="str">
            <v>LES MEDITATIONS</v>
          </cell>
          <cell r="J125" t="str">
            <v>Dhyāna FEU</v>
          </cell>
          <cell r="K125" t="str">
            <v>Thé de méditation
Thé pu’er - Genièvre - Piment - Huile essentielle de pamplemousse</v>
          </cell>
          <cell r="L125" t="str">
            <v>Thé noir aromatisé</v>
          </cell>
          <cell r="M125" t="str">
            <v>Chine - Inde</v>
          </cell>
          <cell r="N125" t="str">
            <v>AB</v>
          </cell>
          <cell r="O125" t="str">
            <v>WFTO</v>
          </cell>
          <cell r="P125" t="str">
            <v>/</v>
          </cell>
          <cell r="Q125" t="str">
            <v>/</v>
          </cell>
          <cell r="R125" t="str">
            <v>/</v>
          </cell>
          <cell r="S125" t="str">
            <v>/</v>
          </cell>
          <cell r="T125" t="str">
            <v>Agriculture UE/non UE</v>
          </cell>
          <cell r="U125"/>
          <cell r="V125" t="str">
            <v>Quand vient la nuit, la flamme veille en attendant l'aurore… Sur une base de pu'er et de thé noir, cette recette rayonnante aux notes de pamplemousse, relevées par une pointe de piment, distille chaleur et douceur. Chaque gorgée est une invitation bienveillante à laisser son esprit vagabonder sur les ondes de la sérénité, subtilement guidé par une douce lumière.</v>
          </cell>
          <cell r="W125" t="str">
            <v>S22</v>
          </cell>
          <cell r="X125" t="str">
            <v>Sur sa base de pu'er et de thé noir, cette recette rayonnante aux notes de pamplemousse, relevées par une pointe de piment, distille des saveurs chaleureuses. Chaque gorgée est une invitation à laisser son esprit vagabonder sur les ondes de la sérénité, subtilement guidé par une douce lumière.</v>
          </cell>
          <cell r="Y125"/>
          <cell r="Z125" t="str">
            <v>Ingrédients : thé noir*, thé sombre pu’er* 15%, baies de genièvre* 7%, morceaux de pomme*, huile essentielle de pamplemousse* 2%, feuilles de bigaradier*, feuilles de chanvre*, piment* 2%, pétales de bleuet*, clous de girofle*, airelles*. *Issu de l'agriculture biologique.</v>
          </cell>
          <cell r="AA125" t="str">
            <v>/</v>
          </cell>
          <cell r="AB125" t="str">
            <v>Membre certifié World Fair Trade Organization, Les Jardins de Gaïa s’engagent pour un commerce plus juste et répondent aux exigences du commerce équitable. Pour en savoir plus : www.wfto.com.</v>
          </cell>
          <cell r="AC125">
            <v>1.5</v>
          </cell>
          <cell r="AD125" t="str">
            <v>3</v>
          </cell>
          <cell r="AE125">
            <v>95</v>
          </cell>
          <cell r="AF125">
            <v>2</v>
          </cell>
          <cell r="AG125">
            <v>750</v>
          </cell>
          <cell r="AH125">
            <v>3582811202615</v>
          </cell>
          <cell r="AI125" t="str">
            <v>/</v>
          </cell>
          <cell r="AJ125" t="str">
            <v>INTERNE</v>
          </cell>
          <cell r="AK125" t="str">
            <v>INTERNE</v>
          </cell>
          <cell r="AL125" t="str">
            <v>/</v>
          </cell>
          <cell r="AM125" t="str">
            <v>Création maison</v>
          </cell>
        </row>
        <row r="126">
          <cell r="A126" t="str">
            <v>TM0262</v>
          </cell>
          <cell r="B126"/>
          <cell r="C126"/>
          <cell r="D126"/>
          <cell r="E126"/>
          <cell r="F126"/>
          <cell r="G126"/>
          <cell r="H126" t="str">
            <v>LES GRANDS CLASSIQUES</v>
          </cell>
          <cell r="I126" t="str">
            <v>LES MEDITATIONS</v>
          </cell>
          <cell r="J126" t="str">
            <v>Dhyāna FEU</v>
          </cell>
          <cell r="K126" t="str">
            <v>Thé de méditation
Thé pu’er - Genièvre - Piment - Huile essentielle de pamplemousse</v>
          </cell>
          <cell r="L126" t="str">
            <v>Thé noir aromatisé</v>
          </cell>
          <cell r="M126" t="str">
            <v>Chine - Inde</v>
          </cell>
          <cell r="N126" t="str">
            <v>AB</v>
          </cell>
          <cell r="O126" t="str">
            <v>WFTO</v>
          </cell>
          <cell r="P126" t="str">
            <v>/</v>
          </cell>
          <cell r="Q126" t="str">
            <v>/</v>
          </cell>
          <cell r="R126" t="str">
            <v>/</v>
          </cell>
          <cell r="S126" t="str">
            <v>/</v>
          </cell>
          <cell r="T126" t="str">
            <v>Agriculture UE/non UE</v>
          </cell>
          <cell r="U126"/>
          <cell r="V126" t="str">
            <v>Quand vient la nuit, la flamme veille en attendant l'aurore… Sur une base de pu'er et de thé noir, cette recette rayonnante aux notes de pamplemousse, relevées par une pointe de piment, distille chaleur et douceur. Chaque gorgée est une invitation bienveillante à laisser son esprit vagabonder sur les ondes de la sérénité, subtilement guidé par une douce lumière.</v>
          </cell>
          <cell r="W126" t="str">
            <v>S22</v>
          </cell>
          <cell r="X126" t="str">
            <v>Sur sa base de pu'er et de thé noir, cette recette rayonnante aux notes de pamplemousse, relevées par une pointe de piment, distille des saveurs chaleureuses. Chaque gorgée est une invitation à laisser son esprit vagabonder sur les ondes de la sérénité, subtilement guidé par une douce lumière.</v>
          </cell>
          <cell r="Y126"/>
          <cell r="Z126" t="str">
            <v>Ingrédients : thé noir*, thé sombre pu’er* 15%, baies de genièvre* 7%, morceaux de pomme*, huile essentielle de pamplemousse* 2%, feuilles de bigaradier*, feuilles de chanvre*, piment* 2%, pétales de bleuet*, clous de girofle*, airelles*. *Issu de l'agriculture biologique.</v>
          </cell>
          <cell r="AA126" t="str">
            <v>/</v>
          </cell>
          <cell r="AB126" t="str">
            <v>Membre certifié World Fair Trade Organization, Les Jardins de Gaïa s’engagent pour un commerce plus juste et répondent aux exigences du commerce équitable. Pour en savoir plus : www.wfto.com.</v>
          </cell>
          <cell r="AC126">
            <v>100</v>
          </cell>
          <cell r="AD126" t="str">
            <v>3</v>
          </cell>
          <cell r="AE126">
            <v>95</v>
          </cell>
          <cell r="AF126">
            <v>2</v>
          </cell>
          <cell r="AG126">
            <v>50</v>
          </cell>
          <cell r="AH126">
            <v>3582811202622</v>
          </cell>
          <cell r="AI126" t="str">
            <v>/</v>
          </cell>
          <cell r="AJ126" t="str">
            <v>ETTM026</v>
          </cell>
          <cell r="AK126" t="str">
            <v>ETTM026V5</v>
          </cell>
          <cell r="AL126" t="str">
            <v>ETCTM0262V5</v>
          </cell>
          <cell r="AM126" t="str">
            <v>Création maison</v>
          </cell>
        </row>
        <row r="127">
          <cell r="A127" t="str">
            <v>TM0291</v>
          </cell>
          <cell r="B127"/>
          <cell r="C127"/>
          <cell r="D127"/>
          <cell r="E127"/>
          <cell r="F127"/>
          <cell r="G127"/>
          <cell r="H127" t="str">
            <v>LES GRANDS CLASSIQUES</v>
          </cell>
          <cell r="I127" t="str">
            <v>LES MEDITATIONS</v>
          </cell>
          <cell r="J127" t="str">
            <v>Dhyāna SÉRÉNITÉ</v>
          </cell>
          <cell r="K127" t="str">
            <v xml:space="preserve">Tisane de méditation 
Fleurs de honeybush - Moringa - Buchu </v>
          </cell>
          <cell r="L127" t="str">
            <v>Infusion de plantes</v>
          </cell>
          <cell r="M127" t="str">
            <v>?</v>
          </cell>
          <cell r="N127" t="str">
            <v>AB</v>
          </cell>
          <cell r="O127" t="str">
            <v>/</v>
          </cell>
          <cell r="P127" t="str">
            <v>/</v>
          </cell>
          <cell r="Q127" t="str">
            <v>/</v>
          </cell>
          <cell r="R127" t="str">
            <v>/</v>
          </cell>
          <cell r="S127" t="str">
            <v>/</v>
          </cell>
          <cell r="T127" t="str">
            <v>Agriculture UE/non UE</v>
          </cell>
          <cell r="U127"/>
          <cell r="V127" t="str">
            <v>On raconte que de grands yogis assuraient leur survie grâce aux plantes tel Milarépa, poète tibétain devenu verdoyant à force de manger des orties… Cette tisane très gourmande, à base de fleurs de honeybush, moringa et buchu aux accents à la fois fruités et floraux, inspire par son équilibre. Une recette qui rend hommage aux plantes nées de l'harmonie entre ciel et terre.</v>
          </cell>
          <cell r="W127" t="str">
            <v>S22</v>
          </cell>
          <cell r="X127" t="str">
            <v>Inspirée par Milarépa, poète et yogi tibétain devenu verdoyant à force de manger des orties, cette infusion à base de fleurs de honeybush, de moringa et de buchu est un modèle d’équilibre. Une recette florale et fruitée qui rend hommage aux plantes nées de l'harmonie du ciel et de la terre.</v>
          </cell>
          <cell r="Y127"/>
          <cell r="Z127" t="str">
            <v xml:space="preserve">Ingrédients : fleurs de honeybush* 67%, moringa* 14%, buchu* 8%, écorces de citron*, réglisse* 4%, pétales de bleuet*. *Issu de l’agriculture biologique. Contient de la réglisse : les personnes souffrant d'hypertension doivent éviter toute consommation excessive. </v>
          </cell>
          <cell r="AA127" t="str">
            <v>/</v>
          </cell>
          <cell r="AB127" t="str">
            <v>/</v>
          </cell>
          <cell r="AC127">
            <v>1.5</v>
          </cell>
          <cell r="AD127" t="str">
            <v>5-10</v>
          </cell>
          <cell r="AE127">
            <v>95</v>
          </cell>
          <cell r="AF127">
            <v>2</v>
          </cell>
          <cell r="AG127">
            <v>750</v>
          </cell>
          <cell r="AH127">
            <v>3582811202912</v>
          </cell>
          <cell r="AI127" t="str">
            <v>/</v>
          </cell>
          <cell r="AJ127" t="str">
            <v>INTERNE</v>
          </cell>
          <cell r="AK127" t="str">
            <v>INTERNE</v>
          </cell>
          <cell r="AL127" t="str">
            <v>/</v>
          </cell>
          <cell r="AM127" t="str">
            <v>Création maison</v>
          </cell>
        </row>
        <row r="128">
          <cell r="A128" t="str">
            <v>TM0292</v>
          </cell>
          <cell r="B128"/>
          <cell r="C128"/>
          <cell r="D128"/>
          <cell r="E128"/>
          <cell r="F128"/>
          <cell r="G128"/>
          <cell r="H128" t="str">
            <v>LES GRANDS CLASSIQUES</v>
          </cell>
          <cell r="I128" t="str">
            <v>LES MEDITATIONS</v>
          </cell>
          <cell r="J128" t="str">
            <v>Dhyāna SÉRÉNITÉ</v>
          </cell>
          <cell r="K128" t="str">
            <v xml:space="preserve">Tisane de méditation 
Fleurs de honeybush - Moringa - Buchu </v>
          </cell>
          <cell r="L128" t="str">
            <v>Infusion de plantes</v>
          </cell>
          <cell r="M128" t="str">
            <v>?</v>
          </cell>
          <cell r="N128" t="str">
            <v>AB</v>
          </cell>
          <cell r="O128" t="str">
            <v>/</v>
          </cell>
          <cell r="P128" t="str">
            <v>/</v>
          </cell>
          <cell r="Q128" t="str">
            <v>/</v>
          </cell>
          <cell r="R128" t="str">
            <v>/</v>
          </cell>
          <cell r="S128" t="str">
            <v>/</v>
          </cell>
          <cell r="T128" t="str">
            <v>Agriculture UE/non UE</v>
          </cell>
          <cell r="U128"/>
          <cell r="V128" t="str">
            <v>On raconte que de grands yogis assuraient leur survie grâce aux plantes tel Milarépa, poète tibétain devenu verdoyant à force de manger des orties… Cette tisane très gourmande, à base de fleurs de honeybush, moringa et buchu aux accents à la fois fruités et floraux, inspire par son équilibre. Une recette qui rend hommage aux plantes nées de l'harmonie entre ciel et terre.</v>
          </cell>
          <cell r="W128" t="str">
            <v>S22</v>
          </cell>
          <cell r="X128" t="str">
            <v>Inspirée par Milarépa, poète et yogi tibétain devenu verdoyant à force de manger des orties, cette infusion à base de fleurs de honeybush, de moringa et de buchu est un modèle d’équilibre. Une recette florale et fruitée qui rend hommage aux plantes nées de l'harmonie du ciel et de la terre.</v>
          </cell>
          <cell r="Y128"/>
          <cell r="Z128" t="str">
            <v xml:space="preserve">Ingrédients : fleurs de honeybush* 67%, moringa* 14%, buchu* 8%, écorces de citron*, réglisse* 4%, pétales de bleuet*. *Issu de l’agriculture biologique. Contient de la réglisse : les personnes souffrant d'hypertension doivent éviter toute consommation excessive. </v>
          </cell>
          <cell r="AA128" t="str">
            <v>/</v>
          </cell>
          <cell r="AB128" t="str">
            <v>/</v>
          </cell>
          <cell r="AC128">
            <v>80</v>
          </cell>
          <cell r="AD128" t="str">
            <v>5-10</v>
          </cell>
          <cell r="AE128">
            <v>95</v>
          </cell>
          <cell r="AF128">
            <v>2</v>
          </cell>
          <cell r="AG128">
            <v>40</v>
          </cell>
          <cell r="AH128">
            <v>3582811202929</v>
          </cell>
          <cell r="AI128" t="str">
            <v>/</v>
          </cell>
          <cell r="AJ128" t="str">
            <v>ETTM029</v>
          </cell>
          <cell r="AK128" t="str">
            <v>ETTM029V5</v>
          </cell>
          <cell r="AL128" t="str">
            <v>ETCTM0292V5</v>
          </cell>
          <cell r="AM128" t="str">
            <v>Création maison</v>
          </cell>
        </row>
        <row r="129">
          <cell r="A129" t="str">
            <v>TM0271</v>
          </cell>
          <cell r="B129"/>
          <cell r="C129"/>
          <cell r="D129"/>
          <cell r="E129"/>
          <cell r="F129"/>
          <cell r="G129"/>
          <cell r="H129" t="str">
            <v>LES GRANDS CLASSIQUES</v>
          </cell>
          <cell r="I129" t="str">
            <v>LES MEDITATIONS</v>
          </cell>
          <cell r="J129" t="str">
            <v>Dhyāna TERRE</v>
          </cell>
          <cell r="K129" t="str">
            <v xml:space="preserve">Thé de méditation
Gingembre -Curcuma  </v>
          </cell>
          <cell r="L129" t="str">
            <v>Thé wulong parfumé</v>
          </cell>
          <cell r="M129" t="str">
            <v>Chine</v>
          </cell>
          <cell r="N129" t="str">
            <v>AB</v>
          </cell>
          <cell r="O129" t="str">
            <v>WFTO</v>
          </cell>
          <cell r="P129" t="str">
            <v>/</v>
          </cell>
          <cell r="Q129" t="str">
            <v>/</v>
          </cell>
          <cell r="R129" t="str">
            <v>/</v>
          </cell>
          <cell r="S129" t="str">
            <v>/</v>
          </cell>
          <cell r="T129" t="str">
            <v>Agriculture UE/non UE</v>
          </cell>
          <cell r="U129"/>
          <cell r="V129" t="str">
            <v xml:space="preserve">Tel un bol à thé qui naît des mains du potier, l'esprit se modèle lentement au rythme des méditations. Cette recette à base de wulong bien enracinée et généreuse, nous fait sentir la force tranquille de la terre, tout en nous plongeant la tête dans les étoiles avec ses saveurs boisées et épicées accompagnées d'agréables notes de gingembre et de curcuma.  </v>
          </cell>
          <cell r="W129" t="str">
            <v>S22</v>
          </cell>
          <cell r="X129" t="str">
            <v>Cette recette généreuse à base de thé wulong, nous fait sentir la force tranquille de la terre, celle que le potier aime modeler avec ses mains et son esprit. Ses saveurs boisées et épicées agréablement rehaussées par des notes de gingembre et de curcuma invitent naturellement à une pause méditative.</v>
          </cell>
          <cell r="Y129"/>
          <cell r="Z129" t="str">
            <v>Ingrédients : thé wulong*, marc de raisin*, gingembre* 10%, morceaux de carottes*, curcuma* 7%, cynorhodon*, réglisse*, poivre noir*, fleurs de bruyère*. *Issu de l’agriculture biologique. Contient de la réglisse : les personnes souffrant d'hypertension doivent éviter toute consommation excessive.</v>
          </cell>
          <cell r="AA129" t="str">
            <v>/</v>
          </cell>
          <cell r="AB129" t="str">
            <v>Membre certifié World Fair Trade Organization, Les Jardins de Gaïa s’engagent pour un commerce plus juste et répondent aux exigences du commerce équitable. Pour en savoir plus : www.wfto.com.</v>
          </cell>
          <cell r="AC129">
            <v>1.5</v>
          </cell>
          <cell r="AD129" t="str">
            <v>4</v>
          </cell>
          <cell r="AE129">
            <v>95</v>
          </cell>
          <cell r="AF129">
            <v>2</v>
          </cell>
          <cell r="AG129">
            <v>750</v>
          </cell>
          <cell r="AH129">
            <v>3582811202714</v>
          </cell>
          <cell r="AI129" t="str">
            <v>/</v>
          </cell>
          <cell r="AJ129" t="str">
            <v>INTERNE</v>
          </cell>
          <cell r="AK129" t="str">
            <v>INTERNE</v>
          </cell>
          <cell r="AL129" t="str">
            <v>/</v>
          </cell>
          <cell r="AM129" t="str">
            <v>Création maison</v>
          </cell>
        </row>
        <row r="130">
          <cell r="A130" t="str">
            <v>TM0272</v>
          </cell>
          <cell r="B130"/>
          <cell r="C130"/>
          <cell r="D130"/>
          <cell r="E130"/>
          <cell r="F130"/>
          <cell r="G130"/>
          <cell r="H130" t="str">
            <v>LES GRANDS CLASSIQUES</v>
          </cell>
          <cell r="I130" t="str">
            <v>LES MEDITATIONS</v>
          </cell>
          <cell r="J130" t="str">
            <v>Dhyāna TERRE</v>
          </cell>
          <cell r="K130" t="str">
            <v xml:space="preserve">Thé de méditation
Gingembre -Curcuma  </v>
          </cell>
          <cell r="L130" t="str">
            <v>Thé wulong parfumé</v>
          </cell>
          <cell r="M130" t="str">
            <v>Chine</v>
          </cell>
          <cell r="N130" t="str">
            <v>AB</v>
          </cell>
          <cell r="O130" t="str">
            <v>WFTO</v>
          </cell>
          <cell r="P130" t="str">
            <v>/</v>
          </cell>
          <cell r="Q130" t="str">
            <v>/</v>
          </cell>
          <cell r="R130" t="str">
            <v>/</v>
          </cell>
          <cell r="S130" t="str">
            <v>/</v>
          </cell>
          <cell r="T130" t="str">
            <v>Agriculture UE/non UE</v>
          </cell>
          <cell r="U130"/>
          <cell r="V130" t="str">
            <v xml:space="preserve">Tel un bol à thé qui naît des mains du potier, l'esprit se modèle lentement au rythme des méditations. Cette recette à base de wulong bien enracinée et généreuse, nous fait sentir la force tranquille de la terre, tout en nous plongeant la tête dans les étoiles avec ses saveurs boisées et épicées accompagnées d'agréables notes de gingembre et de curcuma.  </v>
          </cell>
          <cell r="W130" t="str">
            <v>S22</v>
          </cell>
          <cell r="X130" t="str">
            <v>Cette recette généreuse à base de thé wulong, nous fait sentir la force tranquille de la terre, celle que le potier aime modeler avec ses mains et son esprit. Ses saveurs boisées et épicées agréablement rehaussées par des notes de gingembre et de curcuma invitent naturellement à une pause méditative.</v>
          </cell>
          <cell r="Y130"/>
          <cell r="Z130" t="str">
            <v>Ingrédients : thé wulong*, marc de raisin*, gingembre* 10%, morceaux de carottes*, curcuma* 7%, cynorhodon*, réglisse*, poivre noir*, fleurs de bruyère*. *Issu de l’agriculture biologique. Contient de la réglisse : les personnes souffrant d'hypertension doivent éviter toute consommation excessive.</v>
          </cell>
          <cell r="AA130" t="str">
            <v>/</v>
          </cell>
          <cell r="AB130" t="str">
            <v>Membre certifié World Fair Trade Organization, Les Jardins de Gaïa s’engagent pour un commerce plus juste et répondent aux exigences du commerce équitable. Pour en savoir plus : www.wfto.com.</v>
          </cell>
          <cell r="AC130">
            <v>100</v>
          </cell>
          <cell r="AD130" t="str">
            <v>4</v>
          </cell>
          <cell r="AE130">
            <v>95</v>
          </cell>
          <cell r="AF130">
            <v>2</v>
          </cell>
          <cell r="AG130">
            <v>50</v>
          </cell>
          <cell r="AH130">
            <v>3582811202721</v>
          </cell>
          <cell r="AI130" t="str">
            <v>/</v>
          </cell>
          <cell r="AJ130" t="str">
            <v>ETTM027</v>
          </cell>
          <cell r="AK130" t="str">
            <v>ETTM027V5</v>
          </cell>
          <cell r="AL130" t="str">
            <v>ETCTM0272V5</v>
          </cell>
          <cell r="AM130" t="str">
            <v>Création maison</v>
          </cell>
        </row>
        <row r="131">
          <cell r="A131" t="str">
            <v>TN4075</v>
          </cell>
          <cell r="B131"/>
          <cell r="C131"/>
          <cell r="D131"/>
          <cell r="E131"/>
          <cell r="F131"/>
          <cell r="G131"/>
          <cell r="H131" t="str">
            <v>LES GRAND CRUS</v>
          </cell>
          <cell r="I131"/>
          <cell r="J131" t="str">
            <v>Dian Hong Golden Buds</v>
          </cell>
          <cell r="K131" t="str">
            <v>Bourgeons dorés 滇红</v>
          </cell>
          <cell r="L131" t="str">
            <v>Thé noir d'origine</v>
          </cell>
          <cell r="M131" t="str">
            <v>Chine - Yunnan</v>
          </cell>
          <cell r="N131" t="str">
            <v>AB</v>
          </cell>
          <cell r="O131" t="str">
            <v>WFTO</v>
          </cell>
          <cell r="P131" t="str">
            <v>/</v>
          </cell>
          <cell r="Q131" t="str">
            <v>WT</v>
          </cell>
          <cell r="R131" t="str">
            <v>/</v>
          </cell>
          <cell r="S131" t="str">
            <v>/</v>
          </cell>
          <cell r="T131" t="str">
            <v>Agriculture Chine</v>
          </cell>
          <cell r="U131"/>
          <cell r="V131" t="str">
            <v>Thé noir emblématique du Yunnan composé de bourgeons dorés. Notes de miel, malt, cacao et fruits mûrs.</v>
          </cell>
          <cell r="W131" t="str">
            <v>S22</v>
          </cell>
          <cell r="X131" t="str">
            <v>Récolté au printemps, au cœur d'un site protégé du Yunnan, ce thé de montagne est unique. Ses bourgeons d’or issus de théiers anciens offrent une liqueur veloutée et ambrée, qui enveloppe intensément le palais avec ses notes de miel, de cacao et de malt et de fruits mûrs. Un véritable trésor.</v>
          </cell>
          <cell r="Y131"/>
          <cell r="Z131" t="str">
            <v>Ingrédient : thé noir*. *Issu de l'agriculture biologique.</v>
          </cell>
          <cell r="AA131" t="str">
            <v>/</v>
          </cell>
          <cell r="AB131" t="str">
            <v>Membre certifié World Fair Trade Organization, Les Jardins de Gaïa s’engagent pour un commerce plus juste et répondent aux exigences du commerce équitable. Pour en savoir plus : www.wfto.com.</v>
          </cell>
          <cell r="AC131">
            <v>500</v>
          </cell>
          <cell r="AD131" t="str">
            <v>4-5</v>
          </cell>
          <cell r="AE131">
            <v>90</v>
          </cell>
          <cell r="AF131">
            <v>2</v>
          </cell>
          <cell r="AG131">
            <v>250</v>
          </cell>
          <cell r="AH131">
            <v>3582810240755</v>
          </cell>
          <cell r="AI131" t="str">
            <v>/</v>
          </cell>
          <cell r="AJ131" t="str">
            <v>INTERNE</v>
          </cell>
          <cell r="AK131" t="str">
            <v>INTERNE</v>
          </cell>
          <cell r="AL131" t="str">
            <v>/</v>
          </cell>
          <cell r="AM131" t="str">
            <v>Cangyuan Yisheng Organic Tea Specialized Cooperative</v>
          </cell>
        </row>
        <row r="132">
          <cell r="A132" t="str">
            <v>TN4072</v>
          </cell>
          <cell r="B132"/>
          <cell r="C132"/>
          <cell r="D132"/>
          <cell r="E132"/>
          <cell r="F132"/>
          <cell r="G132"/>
          <cell r="H132" t="str">
            <v>LES GRAND CRUS</v>
          </cell>
          <cell r="I132"/>
          <cell r="J132" t="str">
            <v>Dian Hong Golden Buds</v>
          </cell>
          <cell r="K132" t="str">
            <v>Bourgeons dorés 滇红</v>
          </cell>
          <cell r="L132" t="str">
            <v>Thé noir d'origine</v>
          </cell>
          <cell r="M132" t="str">
            <v>Chine - Yunnan</v>
          </cell>
          <cell r="N132" t="str">
            <v>AB</v>
          </cell>
          <cell r="O132" t="str">
            <v>WFTO</v>
          </cell>
          <cell r="P132" t="str">
            <v>/</v>
          </cell>
          <cell r="Q132" t="str">
            <v>WT</v>
          </cell>
          <cell r="R132" t="str">
            <v>/</v>
          </cell>
          <cell r="S132" t="str">
            <v>/</v>
          </cell>
          <cell r="T132" t="str">
            <v>Agriculture Chine</v>
          </cell>
          <cell r="U132"/>
          <cell r="V132" t="str">
            <v>Thé noir emblématique du Yunnan composé de bourgeons dorés. Notes de miel, malt, cacao et fruits mûrs.</v>
          </cell>
          <cell r="W132" t="str">
            <v>S22</v>
          </cell>
          <cell r="X132" t="str">
            <v>Récolté au printemps, au cœur d'un site protégé du Yunnan, ce thé de montagne est unique. Ses bourgeons d’or issus de théiers anciens offrent une liqueur veloutée et ambrée, qui enveloppe intensément le palais avec ses notes de miel, de cacao et de malt et de fruits mûrs. Un véritable trésor.</v>
          </cell>
          <cell r="Y132"/>
          <cell r="Z132" t="str">
            <v>Ingrédient : thé noir*. *Issu de l'agriculture biologique.</v>
          </cell>
          <cell r="AA132" t="str">
            <v>/</v>
          </cell>
          <cell r="AB132" t="str">
            <v>Membre certifié World Fair Trade Organization, Les Jardins de Gaïa s’engagent pour un commerce plus juste et répondent aux exigences du commerce équitable. Pour en savoir plus : www.wfto.com.</v>
          </cell>
          <cell r="AC132">
            <v>80</v>
          </cell>
          <cell r="AD132" t="str">
            <v>4-5</v>
          </cell>
          <cell r="AE132">
            <v>90</v>
          </cell>
          <cell r="AF132">
            <v>2</v>
          </cell>
          <cell r="AG132">
            <v>40</v>
          </cell>
          <cell r="AH132">
            <v>3582810240724</v>
          </cell>
          <cell r="AI132" t="str">
            <v>/</v>
          </cell>
          <cell r="AJ132" t="str">
            <v>ETNN407V5</v>
          </cell>
          <cell r="AK132" t="str">
            <v>ETNN407V5</v>
          </cell>
          <cell r="AL132" t="str">
            <v>Q de tube</v>
          </cell>
          <cell r="AM132" t="str">
            <v>Cangyuan Yisheng Organic Tea Specialized Cooperative</v>
          </cell>
        </row>
        <row r="133">
          <cell r="A133" t="str">
            <v>TV1601</v>
          </cell>
          <cell r="B133"/>
          <cell r="C133"/>
          <cell r="D133"/>
          <cell r="E133"/>
          <cell r="F133"/>
          <cell r="G133"/>
          <cell r="H133" t="str">
            <v>LES ENGAGÉS</v>
          </cell>
          <cell r="I133" t="str">
            <v>AGIR POUR LA NATURE</v>
          </cell>
          <cell r="J133" t="str">
            <v>Direction Ouganda</v>
          </cell>
          <cell r="K133" t="str">
            <v>/</v>
          </cell>
          <cell r="L133" t="str">
            <v>Thé vert d'origine</v>
          </cell>
          <cell r="M133" t="str">
            <v>Ouganda</v>
          </cell>
          <cell r="N133" t="str">
            <v>AB</v>
          </cell>
          <cell r="O133" t="str">
            <v>/</v>
          </cell>
          <cell r="P133" t="str">
            <v>/</v>
          </cell>
          <cell r="Q133" t="str">
            <v>/</v>
          </cell>
          <cell r="R133" t="str">
            <v>/</v>
          </cell>
          <cell r="S133" t="str">
            <v>/</v>
          </cell>
          <cell r="T133" t="str">
            <v>Agriculture Ouganda</v>
          </cell>
          <cell r="U133"/>
          <cell r="V133" t="str">
            <v xml:space="preserve">Superbe thé vert entièrement élaboré à la main et récolté sur des théiers élevés en agroforesterie à proximité du Parc national de Kibale en Ouganda. L’ombre offerte par les arbres environnants est particulièrement favorable au développement des saveurs vives, sucrées et fruitées des thés verts. Le résultat est une liqueur dense, très veloutée, aux notes gourmandes de sucre cassonade, de fruits jaunes et de pierre chaude… </v>
          </cell>
          <cell r="W133" t="str">
            <v>S22</v>
          </cell>
          <cell r="X133" t="str">
            <v xml:space="preserve">Issu de théiers élevés en agroforesterie à proximité du Parc national de Kibale, ce thé vert ougandais a été entièrement élaboré à la main. Les arbres environnants et leur ombre protectrice ont favorisé sa douceur et ses notes gourmandes de sucre cassonade, de fruits jaunes et de pierre chaude… </v>
          </cell>
          <cell r="Y133" t="str">
            <v>L'association Projet pour la Conservation des Grands Singes (PCGS) œuvre à la protection des chimpanzés sauvages et de leurs habitats, les forêts tropicales. helloasso.com/associations/projet-pour-la-conservation-des-grands-singes</v>
          </cell>
          <cell r="Z133" t="str">
            <v>Ingrédient : thé vert*. *Issu de l’agriculture biologique.</v>
          </cell>
          <cell r="AA133" t="str">
            <v>/</v>
          </cell>
          <cell r="AB133" t="str">
            <v>/</v>
          </cell>
          <cell r="AC133">
            <v>1.5</v>
          </cell>
          <cell r="AD133" t="str">
            <v>3-4</v>
          </cell>
          <cell r="AE133">
            <v>85</v>
          </cell>
          <cell r="AF133">
            <v>2</v>
          </cell>
          <cell r="AG133">
            <v>750</v>
          </cell>
          <cell r="AH133">
            <v>3582810316016</v>
          </cell>
          <cell r="AI133" t="str">
            <v>/</v>
          </cell>
          <cell r="AJ133" t="str">
            <v>INTERNE</v>
          </cell>
          <cell r="AK133" t="str">
            <v>INTERNE</v>
          </cell>
          <cell r="AL133" t="str">
            <v>/</v>
          </cell>
          <cell r="AM133" t="str">
            <v>Kahangi Estate</v>
          </cell>
        </row>
        <row r="134">
          <cell r="A134" t="str">
            <v>TV1602</v>
          </cell>
          <cell r="B134"/>
          <cell r="C134"/>
          <cell r="D134"/>
          <cell r="E134"/>
          <cell r="F134"/>
          <cell r="G134"/>
          <cell r="H134" t="str">
            <v>LES ENGAGÉS</v>
          </cell>
          <cell r="I134" t="str">
            <v>AGIR POUR LA NATURE</v>
          </cell>
          <cell r="J134" t="str">
            <v>Direction Ouganda</v>
          </cell>
          <cell r="K134" t="str">
            <v>/</v>
          </cell>
          <cell r="L134" t="str">
            <v>Thé vert d'origine</v>
          </cell>
          <cell r="M134" t="str">
            <v>Ouganda</v>
          </cell>
          <cell r="N134" t="str">
            <v>AB</v>
          </cell>
          <cell r="O134" t="str">
            <v>/</v>
          </cell>
          <cell r="P134" t="str">
            <v>/</v>
          </cell>
          <cell r="Q134" t="str">
            <v>/</v>
          </cell>
          <cell r="R134" t="str">
            <v>/</v>
          </cell>
          <cell r="S134" t="str">
            <v>/</v>
          </cell>
          <cell r="T134" t="str">
            <v>Agriculture Ouganda</v>
          </cell>
          <cell r="U134"/>
          <cell r="V134" t="str">
            <v xml:space="preserve">Superbe thé vert entièrement élaboré à la main et récolté sur des théiers élevés en agroforesterie à proximité du Parc national de Kibale en Ouganda. L’ombre offerte par les arbres environnants est particulièrement favorable au développement des saveurs vives, sucrées et fruitées des thés verts. Le résultat est une liqueur dense, très veloutée, aux notes gourmandes de sucre cassonade, de fruits jaunes et de pierre chaude… </v>
          </cell>
          <cell r="W134" t="str">
            <v>S22</v>
          </cell>
          <cell r="X134" t="str">
            <v xml:space="preserve">Issu de théiers élevés en agroforesterie à proximité du Parc national de Kibale, ce thé vert ougandais a été entièrement élaboré à la main. Les arbres environnants et leur ombre protectrice ont favorisé sa douceur et ses notes gourmandes de sucre cassonade, de fruits jaunes et de pierre chaude… </v>
          </cell>
          <cell r="Y134" t="str">
            <v>L'association Projet pour la Conservation des Grands Singes (PCGS) œuvre à la protection des chimpanzés sauvages et de leurs habitats, les forêts tropicales. helloasso.com/associations/projet-pour-la-conservation-des-grands-singes</v>
          </cell>
          <cell r="Z134" t="str">
            <v>Ingrédient : thé vert*. *Issu de l’agriculture biologique.</v>
          </cell>
          <cell r="AA134" t="str">
            <v>/</v>
          </cell>
          <cell r="AB134" t="str">
            <v>/</v>
          </cell>
          <cell r="AC134">
            <v>80</v>
          </cell>
          <cell r="AD134" t="str">
            <v>3-4</v>
          </cell>
          <cell r="AE134">
            <v>85</v>
          </cell>
          <cell r="AF134">
            <v>2</v>
          </cell>
          <cell r="AG134">
            <v>40</v>
          </cell>
          <cell r="AH134">
            <v>3582810316023</v>
          </cell>
          <cell r="AI134" t="str">
            <v>/</v>
          </cell>
          <cell r="AJ134" t="str">
            <v>ETVN160</v>
          </cell>
          <cell r="AK134" t="str">
            <v>ETVN160V5</v>
          </cell>
          <cell r="AL134" t="str">
            <v>ETCVN1602V5</v>
          </cell>
          <cell r="AM134" t="str">
            <v>Kahangi Estate</v>
          </cell>
        </row>
        <row r="135">
          <cell r="A135" t="str">
            <v>TO4187</v>
          </cell>
          <cell r="B135"/>
          <cell r="C135"/>
          <cell r="D135"/>
          <cell r="E135"/>
          <cell r="F135"/>
          <cell r="G135"/>
          <cell r="H135" t="str">
            <v>LES GRANDS CLASSIQUES</v>
          </cell>
          <cell r="I135"/>
          <cell r="J135" t="str">
            <v>Dong Ding</v>
          </cell>
          <cell r="K135" t="str">
            <v>Brumes glacées des sommets 冻顶</v>
          </cell>
          <cell r="L135" t="str">
            <v>Thé wulong d'origine</v>
          </cell>
          <cell r="M135" t="str">
            <v>Chine - Anhui</v>
          </cell>
          <cell r="N135" t="str">
            <v>AB</v>
          </cell>
          <cell r="O135" t="str">
            <v>WFTO</v>
          </cell>
          <cell r="P135" t="str">
            <v>/</v>
          </cell>
          <cell r="Q135" t="str">
            <v>/</v>
          </cell>
          <cell r="R135" t="str">
            <v>/</v>
          </cell>
          <cell r="S135" t="str">
            <v>/</v>
          </cell>
          <cell r="T135" t="str">
            <v>Agriculture Chine</v>
          </cell>
          <cell r="U135"/>
          <cell r="V135" t="str">
            <v>Jouissant d'une grande popularité, ce thé de montagne est travaillé à la manière des thés de Formose. Recroquevillées en petites boules, ses feuilles se déploient pour offrir une liqueur cristalline aux premières notes fleuries et fruitées, légèrement sucrées. Sa saveur proche des thés verts s'installe en bouche pour livrer les subtilités d’un terroir et d'un savoir-faire uniques !</v>
          </cell>
          <cell r="W135" t="str">
            <v>S27</v>
          </cell>
          <cell r="X135" t="str">
            <v>Jouissant d'une grande popularité, ce thé wulong de montagne a été travaillé à la manière de l’emblématique thé de Taïwan. Ses feuilles moyennement oxydées et joliment roulées en perles se déploient pour offrir une liqueur cristalline aux notes légèrement sucrées à la fois florales et fruitées.</v>
          </cell>
          <cell r="Y135"/>
          <cell r="Z135" t="str">
            <v>Ingrédient : thé wulong*. *Issu de l'agriculture biologique.</v>
          </cell>
          <cell r="AA135" t="str">
            <v>/</v>
          </cell>
          <cell r="AB135" t="str">
            <v>Membre certifié World Fair Trade Organization, Les Jardins de Gaïa s’engagent pour un commerce plus juste et répondent aux exigences du commerce équitable. Pour en savoir plus : www.wfto.com.</v>
          </cell>
          <cell r="AC135">
            <v>1</v>
          </cell>
          <cell r="AD135" t="str">
            <v>4</v>
          </cell>
          <cell r="AE135">
            <v>95</v>
          </cell>
          <cell r="AF135">
            <v>2</v>
          </cell>
          <cell r="AG135">
            <v>500</v>
          </cell>
          <cell r="AH135">
            <v>3582810741870</v>
          </cell>
          <cell r="AI135" t="str">
            <v>/</v>
          </cell>
          <cell r="AJ135" t="str">
            <v>INTERNE</v>
          </cell>
          <cell r="AK135" t="str">
            <v>INTERNE</v>
          </cell>
          <cell r="AL135" t="str">
            <v>/</v>
          </cell>
          <cell r="AM135" t="str">
            <v>Huangshan MaoFeng Tea Farm</v>
          </cell>
        </row>
        <row r="136">
          <cell r="A136" t="str">
            <v>TO4182</v>
          </cell>
          <cell r="B136"/>
          <cell r="C136" t="str">
            <v>X</v>
          </cell>
          <cell r="D136"/>
          <cell r="E136"/>
          <cell r="F136"/>
          <cell r="G136"/>
          <cell r="H136" t="str">
            <v>LES GRANDS CLASSIQUES</v>
          </cell>
          <cell r="I136"/>
          <cell r="J136" t="str">
            <v>Dong Ding</v>
          </cell>
          <cell r="K136" t="str">
            <v>Brumes glacées des sommets 冻顶</v>
          </cell>
          <cell r="L136" t="str">
            <v>Thé wulong d'origine</v>
          </cell>
          <cell r="M136" t="str">
            <v>Chine - Anhui</v>
          </cell>
          <cell r="N136" t="str">
            <v>AB</v>
          </cell>
          <cell r="O136" t="str">
            <v>WFTO</v>
          </cell>
          <cell r="P136" t="str">
            <v>/</v>
          </cell>
          <cell r="Q136" t="str">
            <v>/</v>
          </cell>
          <cell r="R136" t="str">
            <v>/</v>
          </cell>
          <cell r="S136" t="str">
            <v>/</v>
          </cell>
          <cell r="T136" t="str">
            <v>Agriculture Chine</v>
          </cell>
          <cell r="U136"/>
          <cell r="V136" t="str">
            <v>Jouissant d'une grande popularité, ce thé de montagne est travaillé à la manière des thés de Formose. Recroquevillées en petites boules, ses feuilles se déploient pour offrir une liqueur cristalline aux premières notes fleuries et fruitées, légèrement sucrées. Sa saveur proche des thés verts s'installe en bouche pour livrer les subtilités d’un terroir et d'un savoir-faire uniques !</v>
          </cell>
          <cell r="W136" t="str">
            <v>S24</v>
          </cell>
          <cell r="X136" t="str">
            <v>Jouissant d'une grande popularité, ce thé wulong de montagne a été travaillé à la manière de l’emblématique thé de Taïwan. Ses feuilles moyennement oxydées et joliment roulées en perles se déploient pour offrir une liqueur cristalline aux notes légèrement sucrées à la fois florales et fruitées.</v>
          </cell>
          <cell r="Y136"/>
          <cell r="Z136" t="str">
            <v>Ingrédient : thé wulong*. *Issu de l'agriculture biologique.</v>
          </cell>
          <cell r="AA136" t="str">
            <v>/</v>
          </cell>
          <cell r="AB136" t="str">
            <v>Membre certifié World Fair Trade Organization, Les Jardins de Gaïa s’engagent pour un commerce plus juste et répondent aux exigences du commerce équitable. Pour en savoir plus : www.wfto.com.</v>
          </cell>
          <cell r="AC136">
            <v>100</v>
          </cell>
          <cell r="AD136" t="str">
            <v>4</v>
          </cell>
          <cell r="AE136">
            <v>95</v>
          </cell>
          <cell r="AF136">
            <v>2</v>
          </cell>
          <cell r="AG136">
            <v>50</v>
          </cell>
          <cell r="AH136">
            <v>3582810741825</v>
          </cell>
          <cell r="AI136" t="str">
            <v>/</v>
          </cell>
          <cell r="AJ136" t="str">
            <v>ETON418V5</v>
          </cell>
          <cell r="AK136" t="str">
            <v>ETON418V5</v>
          </cell>
          <cell r="AL136" t="str">
            <v>ETCON4182V5</v>
          </cell>
          <cell r="AM136" t="str">
            <v>Huangshan MaoFeng Tea Farm</v>
          </cell>
        </row>
        <row r="137">
          <cell r="A137" t="str">
            <v>TO4186</v>
          </cell>
          <cell r="B137"/>
          <cell r="C137" t="str">
            <v>X</v>
          </cell>
          <cell r="D137"/>
          <cell r="E137"/>
          <cell r="F137"/>
          <cell r="G137"/>
          <cell r="H137" t="str">
            <v>LES GRANDS CLASSIQUES</v>
          </cell>
          <cell r="I137"/>
          <cell r="J137" t="str">
            <v>Dong Ding</v>
          </cell>
          <cell r="K137" t="str">
            <v>Brumes glacées des sommets 冻顶</v>
          </cell>
          <cell r="L137" t="str">
            <v>Thé wulong d'origine</v>
          </cell>
          <cell r="M137" t="str">
            <v>Chine - Anhui</v>
          </cell>
          <cell r="N137" t="str">
            <v>AB</v>
          </cell>
          <cell r="O137" t="str">
            <v>WFTO</v>
          </cell>
          <cell r="P137" t="str">
            <v>/</v>
          </cell>
          <cell r="Q137" t="str">
            <v>/</v>
          </cell>
          <cell r="R137" t="str">
            <v>/</v>
          </cell>
          <cell r="S137" t="str">
            <v>/</v>
          </cell>
          <cell r="T137" t="str">
            <v>Agriculture Chine</v>
          </cell>
          <cell r="U137"/>
          <cell r="V137" t="str">
            <v>Jouissant d'une grande popularité, ce thé de montagne est travaillé à la manière des thés de Formose. Recroquevillées en petites boules, ses feuilles se déploient pour offrir une liqueur cristalline aux premières notes fleuries et fruitées, légèrement sucrées. Sa saveur proche des thés verts s'installe en bouche pour livrer les subtilités d’un terroir et d'un savoir-faire uniques !</v>
          </cell>
          <cell r="W137" t="str">
            <v>S24</v>
          </cell>
          <cell r="X137" t="str">
            <v>Jouissant d'une grande popularité, ce thé wulong de montagne a été travaillé à la manière de l’emblématique thé de Taïwan. Ses feuilles moyennement oxydées et joliment roulées en perles se déploient pour offrir une liqueur cristalline aux notes légèrement sucrées à la fois florales et fruitées.</v>
          </cell>
          <cell r="Y137"/>
          <cell r="Z137" t="str">
            <v>Ingrédient : thé wulong*. *Issu de l'agriculture biologique.</v>
          </cell>
          <cell r="AA137" t="str">
            <v>/</v>
          </cell>
          <cell r="AB137" t="str">
            <v>Membre certifié World Fair Trade Organization, Les Jardins de Gaïa s’engagent pour un commerce plus juste et répondent aux exigences du commerce équitable. Pour en savoir plus : www.wfto.com.</v>
          </cell>
          <cell r="AC137">
            <v>50</v>
          </cell>
          <cell r="AD137" t="str">
            <v>4</v>
          </cell>
          <cell r="AE137">
            <v>95</v>
          </cell>
          <cell r="AF137">
            <v>2</v>
          </cell>
          <cell r="AG137">
            <v>25</v>
          </cell>
          <cell r="AH137">
            <v>3582810741863</v>
          </cell>
          <cell r="AI137" t="str">
            <v>/</v>
          </cell>
          <cell r="AJ137" t="str">
            <v>ETON418V5</v>
          </cell>
          <cell r="AK137" t="str">
            <v>ETON418V5</v>
          </cell>
          <cell r="AL137" t="str">
            <v>ETCON4186V5</v>
          </cell>
          <cell r="AM137" t="str">
            <v>Huangshan MaoFeng Tea Farm</v>
          </cell>
        </row>
        <row r="138">
          <cell r="A138" t="str">
            <v>TO1175</v>
          </cell>
          <cell r="B138"/>
          <cell r="C138"/>
          <cell r="D138"/>
          <cell r="E138"/>
          <cell r="F138"/>
          <cell r="G138"/>
          <cell r="H138" t="str">
            <v>LES PRECIEUX DU JAPON ET DE TAIWAN</v>
          </cell>
          <cell r="I138"/>
          <cell r="J138" t="str">
            <v>Dong Ding</v>
          </cell>
          <cell r="K138" t="str">
            <v>冻顶</v>
          </cell>
          <cell r="L138" t="str">
            <v>Thé wulong d'origine</v>
          </cell>
          <cell r="M138" t="str">
            <v>Taïwan - New Taipei</v>
          </cell>
          <cell r="N138" t="str">
            <v>AB</v>
          </cell>
          <cell r="O138" t="str">
            <v>/</v>
          </cell>
          <cell r="P138" t="str">
            <v>/</v>
          </cell>
          <cell r="Q138" t="str">
            <v>/</v>
          </cell>
          <cell r="R138" t="str">
            <v>/</v>
          </cell>
          <cell r="S138" t="str">
            <v>/</v>
          </cell>
          <cell r="T138" t="str">
            <v>Agriculture Taïwan</v>
          </cell>
          <cell r="U138"/>
          <cell r="V138" t="str">
            <v xml:space="preserve">Ces jolies feuilles roulées en forme de perles ont été torréfiées par étapes successives selon la méthode traditionnelle taïwanaise et délivrent une liqueur très longue en bouche, aux saveurs florales, lactées et de fruits à coque particulièrement intenses. </v>
          </cell>
          <cell r="W138" t="str">
            <v>S22</v>
          </cell>
          <cell r="X138" t="str">
            <v xml:space="preserve">Les feuilles roulées en forme de perles de ce célèbre thé wulong du centre de l’île de Taïwan ont été moyennement oxydées puis torréfiées selon la méthode traditionnelle taïwanaise. Elles délivrent une liqueur dense, aux saveurs florales, lactées et de fruits à coque particulièrement intenses. </v>
          </cell>
          <cell r="Y138"/>
          <cell r="Z138" t="str">
            <v>Ingrédient : thé wulong*. *Issu de l'agriculture biologique.</v>
          </cell>
          <cell r="AA138" t="str">
            <v>/</v>
          </cell>
          <cell r="AB138" t="str">
            <v>/</v>
          </cell>
          <cell r="AC138">
            <v>500</v>
          </cell>
          <cell r="AD138" t="str">
            <v>4-5</v>
          </cell>
          <cell r="AE138">
            <v>95</v>
          </cell>
          <cell r="AF138">
            <v>2</v>
          </cell>
          <cell r="AG138">
            <v>250</v>
          </cell>
          <cell r="AH138">
            <v>3582810711750</v>
          </cell>
          <cell r="AI138" t="str">
            <v>Plusieurs infusions</v>
          </cell>
          <cell r="AJ138" t="str">
            <v>INTERNE</v>
          </cell>
          <cell r="AK138" t="str">
            <v>INTERNE</v>
          </cell>
          <cell r="AL138" t="str">
            <v>/</v>
          </cell>
          <cell r="AM138" t="str">
            <v>?</v>
          </cell>
        </row>
        <row r="139">
          <cell r="A139" t="str">
            <v>TO1176</v>
          </cell>
          <cell r="B139"/>
          <cell r="C139"/>
          <cell r="D139"/>
          <cell r="E139"/>
          <cell r="F139"/>
          <cell r="G139"/>
          <cell r="H139" t="str">
            <v>LES PRECIEUX DU JAPON ET DE TAIWAN</v>
          </cell>
          <cell r="I139"/>
          <cell r="J139" t="str">
            <v>Dong Ding</v>
          </cell>
          <cell r="K139" t="str">
            <v>冻顶</v>
          </cell>
          <cell r="L139" t="str">
            <v>Thé wulong d'origine</v>
          </cell>
          <cell r="M139" t="str">
            <v>Taïwan - New Taipei</v>
          </cell>
          <cell r="N139" t="str">
            <v>AB</v>
          </cell>
          <cell r="O139" t="str">
            <v>/</v>
          </cell>
          <cell r="P139" t="str">
            <v>/</v>
          </cell>
          <cell r="Q139" t="str">
            <v>/</v>
          </cell>
          <cell r="R139" t="str">
            <v>/</v>
          </cell>
          <cell r="S139" t="str">
            <v>/</v>
          </cell>
          <cell r="T139" t="str">
            <v>Agriculture Taïwan</v>
          </cell>
          <cell r="U139"/>
          <cell r="V139" t="str">
            <v xml:space="preserve">Ces jolies feuilles roulées en forme de perles ont été torréfiées par étapes successives selon la méthode traditionnelle taïwanaise et délivrent une liqueur très longue en bouche, aux saveurs florales, lactées et de fruits à coque particulièrement intenses. </v>
          </cell>
          <cell r="W139" t="str">
            <v>S22</v>
          </cell>
          <cell r="X139" t="str">
            <v xml:space="preserve">Les feuilles roulées en forme de perles de ce célèbre thé wulong du centre de l’île de Taïwan ont été moyennement oxydées puis torréfiées selon la méthode traditionnelle taïwanaise. Elles délivrent une liqueur dense, aux saveurs florales, lactées et de fruits à coque particulièrement intenses. </v>
          </cell>
          <cell r="Y139"/>
          <cell r="Z139" t="str">
            <v>Ingrédient : thé wulong*. *Issu de l'agriculture biologique.</v>
          </cell>
          <cell r="AA139" t="str">
            <v>/</v>
          </cell>
          <cell r="AB139" t="str">
            <v>/</v>
          </cell>
          <cell r="AC139">
            <v>50</v>
          </cell>
          <cell r="AD139" t="str">
            <v>4-5</v>
          </cell>
          <cell r="AE139">
            <v>95</v>
          </cell>
          <cell r="AF139">
            <v>2</v>
          </cell>
          <cell r="AG139">
            <v>25</v>
          </cell>
          <cell r="AH139">
            <v>3582810711767</v>
          </cell>
          <cell r="AI139" t="str">
            <v>Plusieurs infusions</v>
          </cell>
          <cell r="AJ139" t="str">
            <v>ETTUTO1176</v>
          </cell>
          <cell r="AK139" t="str">
            <v>ETTUTO1176V5</v>
          </cell>
          <cell r="AL139" t="str">
            <v>/</v>
          </cell>
          <cell r="AM139" t="str">
            <v>?</v>
          </cell>
        </row>
        <row r="140">
          <cell r="A140" t="str">
            <v>TM6891</v>
          </cell>
          <cell r="B140"/>
          <cell r="C140"/>
          <cell r="D140"/>
          <cell r="E140"/>
          <cell r="F140"/>
          <cell r="G140"/>
          <cell r="H140" t="str">
            <v>LES GRANDS CLASSIQUES</v>
          </cell>
          <cell r="I140"/>
          <cell r="J140" t="str">
            <v>Douce Digestion</v>
          </cell>
          <cell r="K140" t="str">
            <v>Digestion
Cumin - Fenouil - Anis - Menthe douce</v>
          </cell>
          <cell r="L140" t="str">
            <v xml:space="preserve">Thé vert parfumé </v>
          </cell>
          <cell r="M140" t="str">
            <v>Chine - Inde - Vietnam</v>
          </cell>
          <cell r="N140" t="str">
            <v>AB</v>
          </cell>
          <cell r="O140" t="str">
            <v>WFTO</v>
          </cell>
          <cell r="P140" t="str">
            <v>/</v>
          </cell>
          <cell r="Q140" t="str">
            <v>/</v>
          </cell>
          <cell r="R140" t="str">
            <v>/</v>
          </cell>
          <cell r="S140" t="str">
            <v>/</v>
          </cell>
          <cell r="T140" t="str">
            <v>Agriculture UE/non UE</v>
          </cell>
          <cell r="U140"/>
          <cell r="V140" t="str">
            <v>Association originale d’un thé vert intense et savoureux, au bouquet légèrement anisé d'épices digestives. Parfum raffiné, surprenant et aromatique qui accompagnera divinement une fin de repas.</v>
          </cell>
          <cell r="W140" t="str">
            <v>S23</v>
          </cell>
          <cell r="X140" t="str">
            <v>L’association originale de la fraîcheur et du caractère herbacé du thé vert au bouquet chaud et légèrement anisé des épices digestives fait ici des merveilles. Le résultat est à la fois raffiné, surprenant et très aromatique. Pour une fin de repas tout en saveur et légèreté.</v>
          </cell>
          <cell r="Y140"/>
          <cell r="Z140" t="str">
            <v>Ingrédients : thé vert*, épices (fenouil*, anis*, cumin*) 33%, coriandre*, menthe* 5%. *Issu de l'agriculture biologique.</v>
          </cell>
          <cell r="AA140"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140" t="str">
            <v>Membre certifié World Fair Trade Organization, Les Jardins de Gaïa s’engagent pour un commerce plus juste et répondent aux exigences du commerce équitable. Pour en savoir plus : www.wfto.com.</v>
          </cell>
          <cell r="AC140">
            <v>1.5</v>
          </cell>
          <cell r="AD140" t="str">
            <v>3</v>
          </cell>
          <cell r="AE140">
            <v>75</v>
          </cell>
          <cell r="AF140">
            <v>2</v>
          </cell>
          <cell r="AG140">
            <v>750</v>
          </cell>
          <cell r="AH140">
            <v>3582810868911</v>
          </cell>
          <cell r="AI140" t="str">
            <v>/</v>
          </cell>
          <cell r="AJ140" t="str">
            <v>INTERNE</v>
          </cell>
          <cell r="AK140" t="str">
            <v>INTERNE</v>
          </cell>
          <cell r="AL140" t="str">
            <v>/</v>
          </cell>
          <cell r="AM140" t="str">
            <v>Création maison</v>
          </cell>
        </row>
        <row r="141">
          <cell r="A141" t="str">
            <v>TM6892</v>
          </cell>
          <cell r="B141"/>
          <cell r="C141" t="str">
            <v>X</v>
          </cell>
          <cell r="D141"/>
          <cell r="E141"/>
          <cell r="F141"/>
          <cell r="G141"/>
          <cell r="H141" t="str">
            <v>LES GRANDS CLASSIQUES</v>
          </cell>
          <cell r="I141"/>
          <cell r="J141" t="str">
            <v>Douce Digestion</v>
          </cell>
          <cell r="K141" t="str">
            <v>Digestion
Cumin - Fenouil - Anis - Menthe douce</v>
          </cell>
          <cell r="L141" t="str">
            <v>Thé vert parfumé</v>
          </cell>
          <cell r="M141" t="str">
            <v>Chine - Inde - Vietnam</v>
          </cell>
          <cell r="N141" t="str">
            <v>AB</v>
          </cell>
          <cell r="O141" t="str">
            <v>WFTO</v>
          </cell>
          <cell r="P141" t="str">
            <v>/</v>
          </cell>
          <cell r="Q141" t="str">
            <v>/</v>
          </cell>
          <cell r="R141" t="str">
            <v>/</v>
          </cell>
          <cell r="S141" t="str">
            <v>/</v>
          </cell>
          <cell r="T141" t="str">
            <v>Agriculture UE/non UE</v>
          </cell>
          <cell r="U141"/>
          <cell r="V141" t="str">
            <v>Association originale d’un thé vert intense et savoureux, au bouquet légèrement anisé d'épices digestives. Parfum raffiné, surprenant et aromatique qui accompagnera divinement une fin de repas.</v>
          </cell>
          <cell r="W141" t="str">
            <v>S23</v>
          </cell>
          <cell r="X141" t="str">
            <v>L’association originale de la fraîcheur et du caractère herbacé du thé vert au bouquet chaud et légèrement anisé des épices digestives fait ici des merveilles. Le résultat est à la fois raffiné, surprenant et très aromatique. Pour une fin de repas tout en saveur et légèreté.</v>
          </cell>
          <cell r="Y141"/>
          <cell r="Z141" t="str">
            <v>Ingrédients : thé vert*, épices (fenouil*, anis*, cumin*) 33%, coriandre*, menthe* 5%. *Issu de l'agriculture biologique.</v>
          </cell>
          <cell r="AA141"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141" t="str">
            <v>Membre certifié World Fair Trade Organization, Les Jardins de Gaïa s’engagent pour un commerce plus juste et répondent aux exigences du commerce équitable. Pour en savoir plus : www.wfto.com.</v>
          </cell>
          <cell r="AC141">
            <v>100</v>
          </cell>
          <cell r="AD141" t="str">
            <v>3</v>
          </cell>
          <cell r="AE141">
            <v>75</v>
          </cell>
          <cell r="AF141">
            <v>2</v>
          </cell>
          <cell r="AG141">
            <v>50</v>
          </cell>
          <cell r="AH141">
            <v>3582810868928</v>
          </cell>
          <cell r="AI141" t="str">
            <v>/</v>
          </cell>
          <cell r="AJ141" t="str">
            <v>ETVM689</v>
          </cell>
          <cell r="AK141" t="str">
            <v>ETVM689V5</v>
          </cell>
          <cell r="AL141" t="str">
            <v>ETCVM6892V5</v>
          </cell>
          <cell r="AM141" t="str">
            <v>Création maison</v>
          </cell>
        </row>
        <row r="142">
          <cell r="A142" t="str">
            <v>TR2191</v>
          </cell>
          <cell r="B142"/>
          <cell r="C142"/>
          <cell r="D142"/>
          <cell r="E142"/>
          <cell r="F142"/>
          <cell r="G142"/>
          <cell r="H142" t="str">
            <v>LES ENGAGÉS</v>
          </cell>
          <cell r="I142" t="str">
            <v>AGIR POUR L'EDUCATION</v>
          </cell>
          <cell r="J142" t="str">
            <v>Douce humanité</v>
          </cell>
          <cell r="K142" t="str">
            <v>Orange - Menthe douce</v>
          </cell>
          <cell r="L142" t="str">
            <v>Rooibos aromatisé</v>
          </cell>
          <cell r="M142" t="str">
            <v>Afrique du Sud - Cap Occidental</v>
          </cell>
          <cell r="N142" t="str">
            <v>AB</v>
          </cell>
          <cell r="O142" t="str">
            <v>WFTO</v>
          </cell>
          <cell r="P142" t="str">
            <v>/</v>
          </cell>
          <cell r="Q142" t="str">
            <v>/</v>
          </cell>
          <cell r="R142" t="str">
            <v>/</v>
          </cell>
          <cell r="S142" t="str">
            <v>/</v>
          </cell>
          <cell r="T142" t="str">
            <v>Agriculture UE/non UE</v>
          </cell>
          <cell r="U142"/>
          <cell r="V142" t="str">
            <v>Nuances chaleureuses du rooibos pour une tasse lumineuse. La saveur initiale fraîche et mentholée est magnifiquement accentuée par la rondeur fruitée et aromatique de l’écorce d’orange. À savourer par petits et grands comme un voyage gustatif en terre africaine, à la rencontre de l’humanité…</v>
          </cell>
          <cell r="W142" t="str">
            <v>S22</v>
          </cell>
          <cell r="X142" t="str">
            <v>Au cœur de cette recette douce et lumineuse qui célèbre l’humanité, les nuances chaleureuses et boisées du rooibos servent de cadre à un dialogue intense entre la fraîcheur de la menthe et la rondeur fruitée et aromatique de l’orange. Une gourmandise destinée à être partagée.</v>
          </cell>
          <cell r="Y142" t="str">
            <v>Situé en Ardèche, Les Amanins est un centre agroécologique qui propose des activités en lien avec la nature, l’écologie et l’humain. lesamanins.com</v>
          </cell>
          <cell r="Z142" t="str">
            <v>Ingrédients : rooibos sauvage*, menthe douce* 4%, écorces d'orange* 3%, huile essentielle d'orange* 3%. *Issu de l'agriculture biologique.</v>
          </cell>
          <cell r="AA142" t="str">
            <v>/</v>
          </cell>
          <cell r="AB142" t="str">
            <v>Membre certifié World Fair Trade Organization, Les Jardins de Gaïa s’engagent pour un commerce plus juste et répondent aux exigences du commerce équitable. Pour en savoir plus : www.wfto.com.</v>
          </cell>
          <cell r="AC142">
            <v>1.5</v>
          </cell>
          <cell r="AD142" t="str">
            <v>5-10</v>
          </cell>
          <cell r="AE142">
            <v>95</v>
          </cell>
          <cell r="AF142">
            <v>2</v>
          </cell>
          <cell r="AG142">
            <v>750</v>
          </cell>
          <cell r="AH142">
            <v>3582810921913</v>
          </cell>
          <cell r="AI142" t="str">
            <v>/</v>
          </cell>
          <cell r="AJ142" t="str">
            <v>INTERNE</v>
          </cell>
          <cell r="AK142" t="str">
            <v>INTERNE</v>
          </cell>
          <cell r="AL142" t="str">
            <v>/</v>
          </cell>
          <cell r="AM142" t="str">
            <v>Création maison</v>
          </cell>
        </row>
        <row r="143">
          <cell r="A143" t="str">
            <v>TR2192</v>
          </cell>
          <cell r="B143"/>
          <cell r="C143"/>
          <cell r="D143"/>
          <cell r="E143"/>
          <cell r="F143"/>
          <cell r="G143"/>
          <cell r="H143" t="str">
            <v>LES ENGAGÉS</v>
          </cell>
          <cell r="I143" t="str">
            <v>AGIR POUR L'EDUCATION</v>
          </cell>
          <cell r="J143" t="str">
            <v>Douce humanité</v>
          </cell>
          <cell r="K143" t="str">
            <v>Orange - Menthe douce</v>
          </cell>
          <cell r="L143" t="str">
            <v>Rooibos aromatisé</v>
          </cell>
          <cell r="M143" t="str">
            <v>Afrique du Sud - Cap Occidental</v>
          </cell>
          <cell r="N143" t="str">
            <v>AB</v>
          </cell>
          <cell r="O143" t="str">
            <v>WFTO</v>
          </cell>
          <cell r="P143" t="str">
            <v>/</v>
          </cell>
          <cell r="Q143" t="str">
            <v>/</v>
          </cell>
          <cell r="R143" t="str">
            <v>/</v>
          </cell>
          <cell r="S143" t="str">
            <v>/</v>
          </cell>
          <cell r="T143" t="str">
            <v>Agriculture UE/non UE</v>
          </cell>
          <cell r="U143"/>
          <cell r="V143" t="str">
            <v>Nuances chaleureuses du rooibos pour une tasse lumineuse. La saveur initiale fraîche et mentholée est magnifiquement accentuée par la rondeur fruitée et aromatique de l’écorce d’orange. À savourer par petits et grands comme un voyage gustatif en terre africaine, à la rencontre de l’humanité…</v>
          </cell>
          <cell r="W143" t="str">
            <v>S22</v>
          </cell>
          <cell r="X143" t="str">
            <v>Au cœur de cette recette douce et lumineuse qui célèbre l’humanité, les nuances chaleureuses et boisées du rooibos servent de cadre à un dialogue intense entre la fraîcheur de la menthe et la rondeur fruitée et aromatique de l’orange. Une gourmandise destinée à être partagée.</v>
          </cell>
          <cell r="Y143" t="str">
            <v>Situé en Ardèche, Les Amanins est un centre agroécologique qui propose des activités en lien avec la nature, l’écologie et l’humain. lesamanins.com</v>
          </cell>
          <cell r="Z143" t="str">
            <v>Ingrédients : rooibos sauvage*, menthe douce* 4%, écorces d'orange* 3%, huile essentielle d'orange* 3%. *Issu de l'agriculture biologique.</v>
          </cell>
          <cell r="AA143" t="str">
            <v>/</v>
          </cell>
          <cell r="AB143" t="str">
            <v>Membre certifié World Fair Trade Organization, Les Jardins de Gaïa s’engagent pour un commerce plus juste et répondent aux exigences du commerce équitable. Pour en savoir plus : www.wfto.com.</v>
          </cell>
          <cell r="AC143">
            <v>100</v>
          </cell>
          <cell r="AD143" t="str">
            <v>5-10</v>
          </cell>
          <cell r="AE143">
            <v>95</v>
          </cell>
          <cell r="AF143">
            <v>2</v>
          </cell>
          <cell r="AG143">
            <v>50</v>
          </cell>
          <cell r="AH143">
            <v>3582810921920</v>
          </cell>
          <cell r="AI143" t="str">
            <v>/</v>
          </cell>
          <cell r="AJ143" t="str">
            <v>ETRA219</v>
          </cell>
          <cell r="AK143" t="str">
            <v>ETRA219V5</v>
          </cell>
          <cell r="AL143" t="str">
            <v>ETCRA2192V5</v>
          </cell>
          <cell r="AM143" t="str">
            <v>Création maison</v>
          </cell>
        </row>
        <row r="144">
          <cell r="A144" t="str">
            <v>TA6151</v>
          </cell>
          <cell r="B144"/>
          <cell r="C144"/>
          <cell r="D144"/>
          <cell r="E144"/>
          <cell r="F144"/>
          <cell r="G144"/>
          <cell r="H144" t="str">
            <v>LES GRANDS CLASSIQUES</v>
          </cell>
          <cell r="I144"/>
          <cell r="J144" t="str">
            <v>Douceur exotique</v>
          </cell>
          <cell r="K144" t="str">
            <v>Mangue - Saveurs passion - citron</v>
          </cell>
          <cell r="L144" t="str">
            <v>Thé vert aromatisé</v>
          </cell>
          <cell r="M144" t="str">
            <v>Chine</v>
          </cell>
          <cell r="N144" t="str">
            <v>AB</v>
          </cell>
          <cell r="O144" t="str">
            <v>WFTO</v>
          </cell>
          <cell r="P144" t="str">
            <v>/</v>
          </cell>
          <cell r="Q144" t="str">
            <v>/</v>
          </cell>
          <cell r="R144" t="str">
            <v>/</v>
          </cell>
          <cell r="S144" t="str">
            <v>/</v>
          </cell>
          <cell r="T144" t="str">
            <v>Agriculture UE/non UE</v>
          </cell>
          <cell r="U144"/>
          <cell r="V144" t="str">
            <v>Tasse ensoleillée évoquant le rythme langoureux d’une danse chaloupée. Rond et gourmand, le fruité de la mangue et des fruits de la passion laisse peu à peu place à la fraîcheur presque mentholée du citron, subtilement rehaussée par la douce astringence du thé vert.</v>
          </cell>
          <cell r="W144" t="str">
            <v>S27</v>
          </cell>
          <cell r="X144" t="str">
            <v>La tasse ensoleillée qu’offre cette recette à base de thé vert évoque le rythme langoureux d’une danse chaloupée. Ronde et gourmande, elle met en valeur la douceur exotique du mariage de la mangue et des fruits de la passion subtilement accompagnée par la fraîcheur du citron.</v>
          </cell>
          <cell r="Y144"/>
          <cell r="Z144" t="str">
            <v>Ingrédients : thé vert*, arômes naturels de (fruit de la passion*, mangue*) 11%, écorces d'orange*, morceaux de mangue* 3%, huile essentielle de citron* 1%. *Issu de l'agriculture biologique.</v>
          </cell>
          <cell r="AA144" t="str">
            <v>/</v>
          </cell>
          <cell r="AB144" t="str">
            <v>Membre certifié World Fair Trade Organization, Les Jardins de Gaïa s’engagent pour un commerce plus juste et répondent aux exigences du commerce équitable. Pour en savoir plus : www.wfto.com.</v>
          </cell>
          <cell r="AC144">
            <v>1.5</v>
          </cell>
          <cell r="AD144" t="str">
            <v>3</v>
          </cell>
          <cell r="AE144">
            <v>75</v>
          </cell>
          <cell r="AF144">
            <v>2</v>
          </cell>
          <cell r="AG144">
            <v>750</v>
          </cell>
          <cell r="AH144">
            <v>3582810361511</v>
          </cell>
          <cell r="AI144" t="str">
            <v>/</v>
          </cell>
          <cell r="AJ144" t="str">
            <v>INTERNE</v>
          </cell>
          <cell r="AK144" t="str">
            <v>INTERNE</v>
          </cell>
          <cell r="AL144" t="str">
            <v>/</v>
          </cell>
          <cell r="AM144" t="str">
            <v>Création maison</v>
          </cell>
        </row>
        <row r="145">
          <cell r="A145" t="str">
            <v>TA6152</v>
          </cell>
          <cell r="B145"/>
          <cell r="C145"/>
          <cell r="D145"/>
          <cell r="E145"/>
          <cell r="F145"/>
          <cell r="G145"/>
          <cell r="H145" t="str">
            <v>LES GRANDS CLASSIQUES</v>
          </cell>
          <cell r="I145"/>
          <cell r="J145" t="str">
            <v>Douceur exotique</v>
          </cell>
          <cell r="K145" t="str">
            <v>Mangue - Saveurs passion - citron</v>
          </cell>
          <cell r="L145" t="str">
            <v>Thé vert aromatisé</v>
          </cell>
          <cell r="M145" t="str">
            <v>Chine</v>
          </cell>
          <cell r="N145" t="str">
            <v>AB</v>
          </cell>
          <cell r="O145" t="str">
            <v>WFTO</v>
          </cell>
          <cell r="P145" t="str">
            <v>/</v>
          </cell>
          <cell r="Q145" t="str">
            <v>/</v>
          </cell>
          <cell r="R145" t="str">
            <v>/</v>
          </cell>
          <cell r="S145" t="str">
            <v>/</v>
          </cell>
          <cell r="T145" t="str">
            <v>Agriculture UE/non UE</v>
          </cell>
          <cell r="U145"/>
          <cell r="V145" t="str">
            <v>Tasse ensoleillée évoquant le rythme langoureux d’une danse chaloupée. Rond et gourmand, le fruité de la mangue et des fruits de la passion laisse peu à peu place à la fraîcheur presque mentholée du citron, subtilement rehaussée par la douce astringence du thé vert.</v>
          </cell>
          <cell r="W145" t="str">
            <v>S24</v>
          </cell>
          <cell r="X145" t="str">
            <v>La tasse ensoleillée qu’offre cette recette à base de thé vert évoque le rythme langoureux d’une danse chaloupée. Ronde et gourmande, elle met en valeur la douceur exotique du mariage de la mangue et des fruits de la passion subtilement accompagnée par la fraîcheur du citron.</v>
          </cell>
          <cell r="Y145"/>
          <cell r="Z145" t="str">
            <v>Ingrédients : thé vert*, arômes naturels de (fruit de la passion*, mangue*) 11%, écorces d'orange*, morceaux de mangue* 3%, huile essentielle de citron* 1%. *Issu de l'agriculture biologique.</v>
          </cell>
          <cell r="AA145" t="str">
            <v>/</v>
          </cell>
          <cell r="AB145" t="str">
            <v>Membre certifié World Fair Trade Organization, Les Jardins de Gaïa s’engagent pour un commerce plus juste et répondent aux exigences du commerce équitable. Pour en savoir plus : www.wfto.com.</v>
          </cell>
          <cell r="AC145">
            <v>100</v>
          </cell>
          <cell r="AD145" t="str">
            <v>3</v>
          </cell>
          <cell r="AE145">
            <v>80</v>
          </cell>
          <cell r="AF145">
            <v>2</v>
          </cell>
          <cell r="AG145">
            <v>50</v>
          </cell>
          <cell r="AH145">
            <v>3582810361528</v>
          </cell>
          <cell r="AI145" t="str">
            <v>/</v>
          </cell>
          <cell r="AJ145" t="str">
            <v>ETVA615V5</v>
          </cell>
          <cell r="AK145" t="str">
            <v>ETVA615V5</v>
          </cell>
          <cell r="AL145" t="str">
            <v>ETCVA6152V5</v>
          </cell>
          <cell r="AM145" t="str">
            <v>Création maison</v>
          </cell>
        </row>
        <row r="146">
          <cell r="A146" t="str">
            <v>TUTA6152</v>
          </cell>
          <cell r="B146"/>
          <cell r="C146"/>
          <cell r="D146"/>
          <cell r="E146"/>
          <cell r="F146"/>
          <cell r="G146"/>
          <cell r="H146" t="str">
            <v>LES GRANDS CLASSIQUES</v>
          </cell>
          <cell r="I146"/>
          <cell r="J146" t="str">
            <v>Douceur exotique</v>
          </cell>
          <cell r="K146" t="str">
            <v>Mangue - Saveurs passion - citron</v>
          </cell>
          <cell r="L146" t="str">
            <v>Thé vert aromatisé</v>
          </cell>
          <cell r="M146" t="str">
            <v>Chine</v>
          </cell>
          <cell r="N146" t="str">
            <v>AB</v>
          </cell>
          <cell r="O146" t="str">
            <v>WFTO</v>
          </cell>
          <cell r="P146" t="str">
            <v>/</v>
          </cell>
          <cell r="Q146" t="str">
            <v>/</v>
          </cell>
          <cell r="R146" t="str">
            <v>/</v>
          </cell>
          <cell r="S146" t="str">
            <v>/</v>
          </cell>
          <cell r="T146" t="str">
            <v>Agriculture UE/non UE</v>
          </cell>
          <cell r="U146"/>
          <cell r="V146" t="str">
            <v>Tasse ensoleillée évoquant le rythme langoureux d’une danse chaloupée. Rond et gourmand, le fruité de la mangue et des fruits de la passion laisse peu à peu place à la fraîcheur presque mentholée du citron, subtilement rehaussée par la douce astringence du thé vert.</v>
          </cell>
          <cell r="W146"/>
          <cell r="X146" t="str">
            <v>La tasse ensoleillée qu’offre cette recette à base de thé vert évoque le rythme langoureux d’une danse chaloupée. Ronde et gourmande, elle met en valeur la douceur exotique du mariage de la mangue et des fruits de la passion subtilement accompagnée par la fraîcheur du citron.</v>
          </cell>
          <cell r="Y146"/>
          <cell r="Z146" t="str">
            <v>Ingrédients : thé vert*, arômes naturels de (fruit de la passion*, mangue*) 11%, écorces d'orange*, morceaux de mangue* 3%, huile essentielle de citron* 1%. *Issu de l'agriculture biologique.</v>
          </cell>
          <cell r="AA146" t="str">
            <v>/</v>
          </cell>
          <cell r="AB146" t="str">
            <v>Membre certifié World Fair Trade Organization, Les Jardins de Gaïa s’engagent pour un commerce plus juste et répondent aux exigences du commerce équitable. Pour en savoir plus : www.wfto.com.</v>
          </cell>
          <cell r="AC146">
            <v>100</v>
          </cell>
          <cell r="AD146" t="str">
            <v>3</v>
          </cell>
          <cell r="AE146">
            <v>80</v>
          </cell>
          <cell r="AF146">
            <v>2</v>
          </cell>
          <cell r="AG146">
            <v>50</v>
          </cell>
          <cell r="AH146">
            <v>3582815661524</v>
          </cell>
          <cell r="AI146" t="str">
            <v>/</v>
          </cell>
          <cell r="AJ146" t="str">
            <v>ETTUVA6152V5</v>
          </cell>
          <cell r="AK146" t="str">
            <v>ETTUVA6152V5</v>
          </cell>
          <cell r="AL146" t="str">
            <v>/</v>
          </cell>
          <cell r="AM146" t="str">
            <v>Création maison</v>
          </cell>
        </row>
        <row r="147">
          <cell r="A147" t="str">
            <v>TR2281</v>
          </cell>
          <cell r="B147"/>
          <cell r="C147"/>
          <cell r="D147"/>
          <cell r="E147"/>
          <cell r="F147"/>
          <cell r="G147"/>
          <cell r="H147" t="str">
            <v>LES GRANDS CLASSIQUES</v>
          </cell>
          <cell r="I147"/>
          <cell r="J147" t="str">
            <v>Doudou délice</v>
          </cell>
          <cell r="K147" t="str">
            <v>Grenade - Framboise</v>
          </cell>
          <cell r="L147" t="str">
            <v>Rooibos aromatisé</v>
          </cell>
          <cell r="M147" t="str">
            <v>Afrique du Sud - Cap Occidental</v>
          </cell>
          <cell r="N147" t="str">
            <v>AB</v>
          </cell>
          <cell r="O147" t="str">
            <v>WFTO</v>
          </cell>
          <cell r="P147" t="str">
            <v>/</v>
          </cell>
          <cell r="Q147" t="str">
            <v>/</v>
          </cell>
          <cell r="R147" t="str">
            <v>/</v>
          </cell>
          <cell r="S147" t="str">
            <v>/</v>
          </cell>
          <cell r="T147" t="str">
            <v>Agriculture UE/non UE</v>
          </cell>
          <cell r="U147"/>
          <cell r="V147" t="str">
            <v>Charme d'une délicieuse corbeille gourmande. Pépins rouge rubis de la grenade et léger goût de framboise, associés au rooibos et à la noix de coco, pour une boisson aussi douce que doudou… Pour petits et grands !</v>
          </cell>
          <cell r="W147"/>
          <cell r="X147" t="str">
            <v>Délicieuse et douce, cette recette à base de rooibos associe le charme subtil de la framboise à un mariage original de pépins de grenade et de noix de coco. Appréciée par toute la famille, elle accompagne à merveille les moments de tendresse et de réconfort.</v>
          </cell>
          <cell r="Y147"/>
          <cell r="Z147" t="str">
            <v>Ingrédients : rooibos*, arômes naturels de (grenade* 6%, framboise* 4%), copeaux de noix de coco*, écorces de grenade* 2%, morceaux de framboise* 1%. *Issu de l'agriculture biologique.</v>
          </cell>
          <cell r="AA147" t="str">
            <v>/</v>
          </cell>
          <cell r="AB147" t="str">
            <v>Membre certifié World Fair Trade Organization, Les Jardins de Gaïa s’engagent pour un commerce plus juste et répondent aux exigences du commerce équitable. Pour en savoir plus : www.wfto.com.</v>
          </cell>
          <cell r="AC147">
            <v>1.5</v>
          </cell>
          <cell r="AD147" t="str">
            <v>5-10</v>
          </cell>
          <cell r="AE147">
            <v>95</v>
          </cell>
          <cell r="AF147">
            <v>2</v>
          </cell>
          <cell r="AG147">
            <v>750</v>
          </cell>
          <cell r="AH147">
            <v>3582810922811</v>
          </cell>
          <cell r="AI147" t="str">
            <v>/</v>
          </cell>
          <cell r="AJ147" t="str">
            <v>INTERNE</v>
          </cell>
          <cell r="AK147" t="str">
            <v>INTERNE</v>
          </cell>
          <cell r="AL147" t="str">
            <v>/</v>
          </cell>
          <cell r="AM147" t="str">
            <v>Création maison</v>
          </cell>
        </row>
        <row r="148">
          <cell r="A148" t="str">
            <v>TR2282</v>
          </cell>
          <cell r="B148"/>
          <cell r="C148" t="str">
            <v>X</v>
          </cell>
          <cell r="D148" t="str">
            <v>X</v>
          </cell>
          <cell r="E148" t="str">
            <v>X</v>
          </cell>
          <cell r="F148" t="str">
            <v>GRAI</v>
          </cell>
          <cell r="G148">
            <v>45383</v>
          </cell>
          <cell r="H148" t="str">
            <v>LES GRANDS CLASSIQUES</v>
          </cell>
          <cell r="I148"/>
          <cell r="J148" t="str">
            <v>Doudou délice</v>
          </cell>
          <cell r="K148" t="str">
            <v>Grenade - Framboise</v>
          </cell>
          <cell r="L148" t="str">
            <v>Rooibos aromatisé</v>
          </cell>
          <cell r="M148" t="str">
            <v>Afrique du Sud - Cap Occidental</v>
          </cell>
          <cell r="N148" t="str">
            <v>AB</v>
          </cell>
          <cell r="O148" t="str">
            <v>WFTO</v>
          </cell>
          <cell r="P148" t="str">
            <v>/</v>
          </cell>
          <cell r="Q148" t="str">
            <v>/</v>
          </cell>
          <cell r="R148" t="str">
            <v>/</v>
          </cell>
          <cell r="S148" t="str">
            <v>/</v>
          </cell>
          <cell r="T148" t="str">
            <v>Agriculture UE/non UE</v>
          </cell>
          <cell r="U148"/>
          <cell r="V148" t="str">
            <v>Charme d'une délicieuse corbeille gourmande. Pépins rouge rubis de la grenade et léger goût de framboise, associés au rooibos et à la noix de coco, pour une boisson aussi douce que doudou… Pour petits et grands !</v>
          </cell>
          <cell r="W148"/>
          <cell r="X148" t="str">
            <v>Délicieuse et douce, cette recette à base de rooibos associe le charme subtil de la framboise à un mariage original de pépins de grenade et de noix de coco. Appréciée par toute la famille, elle accompagne à merveille les moments de tendresse et de réconfort.</v>
          </cell>
          <cell r="Y148"/>
          <cell r="Z148" t="str">
            <v>Ingrédients : rooibos*, arômes naturels de (grenade* 6%, framboise* 4%), copeaux de noix de coco*, écorces de grenade* 2%, morceaux de framboise* 1%. *Issu de l'agriculture biologique.</v>
          </cell>
          <cell r="AA148" t="str">
            <v>/</v>
          </cell>
          <cell r="AB148" t="str">
            <v>Membre certifié World Fair Trade Organization, Les Jardins de Gaïa s’engagent pour un commerce plus juste et répondent aux exigences du commerce équitable. Pour en savoir plus : www.wfto.com.</v>
          </cell>
          <cell r="AC148">
            <v>100</v>
          </cell>
          <cell r="AD148" t="str">
            <v>5-10</v>
          </cell>
          <cell r="AE148">
            <v>95</v>
          </cell>
          <cell r="AF148">
            <v>2</v>
          </cell>
          <cell r="AG148">
            <v>50</v>
          </cell>
          <cell r="AH148">
            <v>3582810922828</v>
          </cell>
          <cell r="AI148" t="str">
            <v>/</v>
          </cell>
          <cell r="AJ148" t="str">
            <v>ETRA228V5</v>
          </cell>
          <cell r="AK148" t="str">
            <v>ETRA228V5</v>
          </cell>
          <cell r="AL148" t="str">
            <v>ETCRA2282V5</v>
          </cell>
          <cell r="AM148" t="str">
            <v>Wupperthal Original Rooibos Cooperative et Heiveld Cooperative</v>
          </cell>
        </row>
        <row r="149">
          <cell r="A149" t="str">
            <v>TO1195</v>
          </cell>
          <cell r="B149"/>
          <cell r="C149"/>
          <cell r="D149"/>
          <cell r="E149"/>
          <cell r="F149"/>
          <cell r="G149"/>
          <cell r="H149" t="str">
            <v>LES GRAND CRUS</v>
          </cell>
          <cell r="I149"/>
          <cell r="J149" t="str">
            <v>Dragon Soul wulong</v>
          </cell>
          <cell r="K149" t="str">
            <v>/</v>
          </cell>
          <cell r="L149" t="str">
            <v>Thé wulong d'origine</v>
          </cell>
          <cell r="M149" t="str">
            <v>Nouvelle-Zélande - Waikato</v>
          </cell>
          <cell r="N149" t="str">
            <v>AB</v>
          </cell>
          <cell r="O149" t="str">
            <v>/</v>
          </cell>
          <cell r="P149" t="str">
            <v>/</v>
          </cell>
          <cell r="Q149" t="str">
            <v>/</v>
          </cell>
          <cell r="R149" t="str">
            <v>/</v>
          </cell>
          <cell r="S149" t="str">
            <v>/</v>
          </cell>
          <cell r="T149" t="str">
            <v>Agriculture Nouvelle-Zélande</v>
          </cell>
          <cell r="U149"/>
          <cell r="V149" t="str">
            <v>Terroir exceptionnel. Notes de pamplemousse rose, fleurs sauvages, pierre chaude, vanille, pistache, quetsche mûre…</v>
          </cell>
          <cell r="W149" t="str">
            <v>S22</v>
          </cell>
          <cell r="X149" t="str">
            <v>Noble comme l'esprit des Maoris, ce thé wulong produit dans la région préservée de Waikato est à l'image de son riche terroir. Ses perles offrent une infusion savoureuse et complexe aux notes de pamplemousse rose, de fleurs sauvages, de pierre chaude, de vanille, de pistache et de quetsche mûre...
Texte court : Terroir exceptionnel. Notes de pamplemousse rose, fleurs sauvages, pierre chaude, vanille, pistache, quetsche mûre…</v>
          </cell>
          <cell r="Y149"/>
          <cell r="Z149" t="str">
            <v>Ingrédient : thé wulong*. *Issu de l'agriculture biologique.</v>
          </cell>
          <cell r="AA149" t="str">
            <v>/</v>
          </cell>
          <cell r="AB149" t="str">
            <v>/</v>
          </cell>
          <cell r="AC149">
            <v>500</v>
          </cell>
          <cell r="AD149" t="str">
            <v>3-4</v>
          </cell>
          <cell r="AE149">
            <v>95</v>
          </cell>
          <cell r="AF149">
            <v>2</v>
          </cell>
          <cell r="AG149">
            <v>250</v>
          </cell>
          <cell r="AH149">
            <v>3582810711958</v>
          </cell>
          <cell r="AI149" t="str">
            <v>Plusieurs infusions</v>
          </cell>
          <cell r="AJ149" t="str">
            <v>INTERNE</v>
          </cell>
          <cell r="AK149" t="str">
            <v>INTERNE</v>
          </cell>
          <cell r="AL149" t="str">
            <v>/</v>
          </cell>
          <cell r="AM149" t="str">
            <v>Zealong Tea Estate LTD</v>
          </cell>
        </row>
        <row r="150">
          <cell r="A150" t="str">
            <v>TO1192</v>
          </cell>
          <cell r="B150"/>
          <cell r="C150"/>
          <cell r="D150"/>
          <cell r="E150"/>
          <cell r="F150"/>
          <cell r="G150"/>
          <cell r="H150" t="str">
            <v>LES GRAND CRUS</v>
          </cell>
          <cell r="I150"/>
          <cell r="J150" t="str">
            <v>Dragon Soul wulong</v>
          </cell>
          <cell r="K150" t="str">
            <v>/</v>
          </cell>
          <cell r="L150" t="str">
            <v>Thé wulong d'origine</v>
          </cell>
          <cell r="M150" t="str">
            <v>Nouvelle-Zélande - Waikato</v>
          </cell>
          <cell r="N150" t="str">
            <v>AB</v>
          </cell>
          <cell r="O150" t="str">
            <v>/</v>
          </cell>
          <cell r="P150" t="str">
            <v>/</v>
          </cell>
          <cell r="Q150" t="str">
            <v>/</v>
          </cell>
          <cell r="R150" t="str">
            <v>/</v>
          </cell>
          <cell r="S150" t="str">
            <v>/</v>
          </cell>
          <cell r="T150" t="str">
            <v>Agriculture Nouvelle-Zélande</v>
          </cell>
          <cell r="U150"/>
          <cell r="V150" t="str">
            <v>Terroir exceptionnel. Notes de pamplemousse rose, fleurs sauvages, pierre chaude, vanille, pistache, quetsche mûre…</v>
          </cell>
          <cell r="W150" t="str">
            <v>S22</v>
          </cell>
          <cell r="X150" t="str">
            <v>Noble comme l'esprit des Maoris, ce thé wulong produit dans la région préservée de Waikato est à l'image de son riche terroir. Ses perles offrent une infusion savoureuse et complexe aux notes de pamplemousse rose, de fleurs sauvages, de pierre chaude, de vanille, de pistache et de quetsche mûre...
Texte court : Terroir exceptionnel. Notes de pamplemousse rose, fleurs sauvages, pierre chaude, vanille, pistache, quetsche mûre…</v>
          </cell>
          <cell r="Y150"/>
          <cell r="Z150" t="str">
            <v>Ingrédient : thé wulong*. *Issu de l'agriculture biologique.</v>
          </cell>
          <cell r="AA150" t="str">
            <v>/</v>
          </cell>
          <cell r="AB150" t="str">
            <v>/</v>
          </cell>
          <cell r="AC150">
            <v>80</v>
          </cell>
          <cell r="AD150" t="str">
            <v>3-4</v>
          </cell>
          <cell r="AE150">
            <v>95</v>
          </cell>
          <cell r="AF150">
            <v>2</v>
          </cell>
          <cell r="AG150">
            <v>40</v>
          </cell>
          <cell r="AH150">
            <v>3582810711927</v>
          </cell>
          <cell r="AI150" t="str">
            <v>Plusieurs infusions</v>
          </cell>
          <cell r="AJ150" t="str">
            <v>ETON119V5</v>
          </cell>
          <cell r="AK150" t="str">
            <v>ETON119V5</v>
          </cell>
          <cell r="AL150" t="str">
            <v>Q de tube</v>
          </cell>
          <cell r="AM150" t="str">
            <v>Zealong Tea Estate LTD</v>
          </cell>
        </row>
        <row r="151">
          <cell r="A151" t="str">
            <v>TB7185</v>
          </cell>
          <cell r="B151"/>
          <cell r="C151"/>
          <cell r="D151"/>
          <cell r="E151"/>
          <cell r="F151"/>
          <cell r="G151"/>
          <cell r="H151" t="str">
            <v>LES GRAND CRUS</v>
          </cell>
          <cell r="I151"/>
          <cell r="J151" t="str">
            <v>Dragon's Tail</v>
          </cell>
          <cell r="K151" t="str">
            <v>Bourgeons de Camellia taliensis</v>
          </cell>
          <cell r="L151" t="str">
            <v>Thé blanc d'origine</v>
          </cell>
          <cell r="M151" t="str">
            <v>Vietnam - Lào Cai</v>
          </cell>
          <cell r="N151" t="str">
            <v>AB</v>
          </cell>
          <cell r="O151" t="str">
            <v>WFTO</v>
          </cell>
          <cell r="P151" t="str">
            <v>/</v>
          </cell>
          <cell r="Q151" t="str">
            <v>/</v>
          </cell>
          <cell r="R151" t="str">
            <v>/</v>
          </cell>
          <cell r="S151" t="str">
            <v>/</v>
          </cell>
          <cell r="T151" t="str">
            <v>Agriculture Vietnam</v>
          </cell>
          <cell r="U151"/>
          <cell r="V151" t="str">
            <v>Thé blanc rare de bourgeons de Camellia taliensis. Notes : litchi, épices, miel, rose, petit beurre.</v>
          </cell>
          <cell r="W151" t="str">
            <v>S22</v>
          </cell>
          <cell r="X151" t="str">
            <v>Ce sublime thé blanc du nord du Vietnam est composé de bourgeons de branches d'une espèce rare de camélia, le Camellia taliensis. Cueillies avec délicatesse ces "queues écaillées de dragon " offrent une liqueur dense à la fois épicée, miellée, fruitée et florale. Un enchantement pour le palais !
Texte court : Thé blanc rare issu de bourgeons de Camellia taliensis. Notes : litchi, épices, miel, rose, petit beurre.</v>
          </cell>
          <cell r="Y151"/>
          <cell r="Z151" t="str">
            <v xml:space="preserve">Ingrédient : thé blanc*. *Issu de l'agriculture biologique. </v>
          </cell>
          <cell r="AA151" t="str">
            <v>/</v>
          </cell>
          <cell r="AB151" t="str">
            <v>Membre certifié World Fair Trade Organization, Les Jardins de Gaïa s’engagent pour un commerce plus juste et répondent aux exigences du commerce équitable. Pour en savoir plus : www.wfto.com.</v>
          </cell>
          <cell r="AC151">
            <v>500</v>
          </cell>
          <cell r="AD151" t="str">
            <v>4-5</v>
          </cell>
          <cell r="AE151">
            <v>95</v>
          </cell>
          <cell r="AF151">
            <v>2</v>
          </cell>
          <cell r="AG151">
            <v>250</v>
          </cell>
          <cell r="AH151">
            <v>3582810671856</v>
          </cell>
          <cell r="AI151" t="str">
            <v>Plusieurs infusions</v>
          </cell>
          <cell r="AJ151" t="str">
            <v>INTERNE</v>
          </cell>
          <cell r="AK151" t="str">
            <v>ETBN718V5</v>
          </cell>
          <cell r="AL151" t="str">
            <v>/</v>
          </cell>
          <cell r="AM151" t="str">
            <v>Coopérative Bản Liền Organic Tea Cooperative</v>
          </cell>
        </row>
        <row r="152">
          <cell r="A152" t="str">
            <v>TB7182</v>
          </cell>
          <cell r="B152"/>
          <cell r="C152"/>
          <cell r="D152"/>
          <cell r="E152"/>
          <cell r="F152"/>
          <cell r="G152"/>
          <cell r="H152" t="str">
            <v>LES GRAND CRUS</v>
          </cell>
          <cell r="I152"/>
          <cell r="J152" t="str">
            <v>Dragon's Tail</v>
          </cell>
          <cell r="K152" t="str">
            <v>Bourgeons de Camellia taliensis</v>
          </cell>
          <cell r="L152" t="str">
            <v>Thé blanc d'origine</v>
          </cell>
          <cell r="M152" t="str">
            <v>Vietnam - Lào Cai</v>
          </cell>
          <cell r="N152" t="str">
            <v>AB</v>
          </cell>
          <cell r="O152" t="str">
            <v>WFTO</v>
          </cell>
          <cell r="P152" t="str">
            <v>/</v>
          </cell>
          <cell r="Q152" t="str">
            <v>/</v>
          </cell>
          <cell r="R152" t="str">
            <v>/</v>
          </cell>
          <cell r="S152" t="str">
            <v>/</v>
          </cell>
          <cell r="T152" t="str">
            <v>Agriculture Vietnam</v>
          </cell>
          <cell r="U152"/>
          <cell r="V152" t="str">
            <v>Thé blanc rare de bourgeons de Camellia taliensis. Notes : litchi, épices, miel, rose, petit beurre.</v>
          </cell>
          <cell r="W152" t="str">
            <v>S22</v>
          </cell>
          <cell r="X152" t="str">
            <v>Ce sublime thé blanc du nord du Vietnam est composé de bourgeons de branches d'une espèce rare de camélia, le Camellia taliensis. Cueillies avec délicatesse ces "queues écaillées de dragon " offrent une liqueur dense à la fois épicée, miellée, fruitée et florale. Un enchantement pour le palais !
Texte court : Thé blanc rare issu de bourgeons de Camellia taliensis. Notes : litchi, épices, miel, rose, petit beurre.</v>
          </cell>
          <cell r="Y152"/>
          <cell r="Z152" t="str">
            <v xml:space="preserve">Ingrédient : thé blanc*. *Issu de l'agriculture biologique. </v>
          </cell>
          <cell r="AA152" t="str">
            <v>/</v>
          </cell>
          <cell r="AB152" t="str">
            <v>Membre certifié World Fair Trade Organization, Les Jardins de Gaïa s’engagent pour un commerce plus juste et répondent aux exigences du commerce équitable. Pour en savoir plus : www.wfto.com.</v>
          </cell>
          <cell r="AC152">
            <v>80</v>
          </cell>
          <cell r="AD152" t="str">
            <v>4-5</v>
          </cell>
          <cell r="AE152">
            <v>95</v>
          </cell>
          <cell r="AF152">
            <v>2</v>
          </cell>
          <cell r="AG152">
            <v>40</v>
          </cell>
          <cell r="AH152">
            <v>3582810671825</v>
          </cell>
          <cell r="AI152" t="str">
            <v>Plusieurs infusions</v>
          </cell>
          <cell r="AJ152" t="str">
            <v>ETBN718V5</v>
          </cell>
          <cell r="AK152" t="str">
            <v>ETBN718V5</v>
          </cell>
          <cell r="AL152" t="str">
            <v>Q de tube</v>
          </cell>
          <cell r="AM152" t="str">
            <v>Coopérative Bản Liền Organic Tea Cooperative</v>
          </cell>
        </row>
        <row r="153">
          <cell r="A153" t="str">
            <v>TA6711</v>
          </cell>
          <cell r="B153"/>
          <cell r="C153"/>
          <cell r="D153"/>
          <cell r="E153"/>
          <cell r="F153"/>
          <cell r="G153"/>
          <cell r="H153" t="str">
            <v>LES GRANDS CLASSIQUES</v>
          </cell>
          <cell r="I153"/>
          <cell r="J153" t="str">
            <v>Duo Citron Gingembre</v>
          </cell>
          <cell r="K153" t="str">
            <v>/</v>
          </cell>
          <cell r="L153" t="str">
            <v>Thé vert parfumé</v>
          </cell>
          <cell r="M153" t="str">
            <v>Corée du Sud - Jeju-do</v>
          </cell>
          <cell r="N153" t="str">
            <v>AB</v>
          </cell>
          <cell r="O153" t="str">
            <v>/</v>
          </cell>
          <cell r="P153" t="str">
            <v>/</v>
          </cell>
          <cell r="Q153" t="str">
            <v>/</v>
          </cell>
          <cell r="R153" t="str">
            <v>/</v>
          </cell>
          <cell r="S153" t="str">
            <v>/</v>
          </cell>
          <cell r="T153" t="str">
            <v>Agriculture Corée du Sud</v>
          </cell>
          <cell r="U153"/>
          <cell r="V153" t="str">
            <v xml:space="preserve">Originaire de l’île de Jeju, située non loin de la péninsule sud-coréenne, ce thé aux feuilles d’un beau vert brillant, généreusement agrémenté de morceaux de citronnelle et de gingembre, libère un bouquet frais qui associe saveurs acidulées et iodées. Lumineuse et tonique, sa tasse inspirée des saveurs typiquement coréennes est une boisson agréable, de tous les instants. </v>
          </cell>
          <cell r="W153" t="str">
            <v>S17</v>
          </cell>
          <cell r="X153" t="str">
            <v>Originaire de l’île de Jeju, ce thé vert a été généreusement agrémenté de morceaux de citronnelle et de gingembre. Le mariage obtenu offre un bouquet vif et fruité et associe des notes minérales, épicées, citronnées et iodées particulièrement longues en bouche et d’une belle fraîcheur.</v>
          </cell>
          <cell r="Y153"/>
          <cell r="Z153" t="str">
            <v xml:space="preserve">Ingrédients : thé vert*, lemongrass* 14%, morceaux de gingembre* 14%. * Issu de l'agriculture biologique. </v>
          </cell>
          <cell r="AA153" t="str">
            <v>/</v>
          </cell>
          <cell r="AB153" t="str">
            <v>/</v>
          </cell>
          <cell r="AC153">
            <v>1.5</v>
          </cell>
          <cell r="AD153" t="str">
            <v>3</v>
          </cell>
          <cell r="AE153">
            <v>85</v>
          </cell>
          <cell r="AF153">
            <v>2</v>
          </cell>
          <cell r="AG153">
            <v>750</v>
          </cell>
          <cell r="AH153">
            <v>3582810867112</v>
          </cell>
          <cell r="AI153" t="str">
            <v>/</v>
          </cell>
          <cell r="AJ153" t="str">
            <v>INTERNE</v>
          </cell>
          <cell r="AK153" t="str">
            <v>INTERNE</v>
          </cell>
          <cell r="AL153" t="str">
            <v>/</v>
          </cell>
          <cell r="AM153" t="str">
            <v>?</v>
          </cell>
        </row>
        <row r="154">
          <cell r="A154" t="str">
            <v>TA6712</v>
          </cell>
          <cell r="B154"/>
          <cell r="C154" t="str">
            <v>X</v>
          </cell>
          <cell r="D154" t="str">
            <v>X</v>
          </cell>
          <cell r="E154" t="str">
            <v>X</v>
          </cell>
          <cell r="F154" t="str">
            <v>BRODART</v>
          </cell>
          <cell r="G154"/>
          <cell r="H154" t="str">
            <v>LES GRANDS CLASSIQUES</v>
          </cell>
          <cell r="I154"/>
          <cell r="J154" t="str">
            <v>Duo Citron Gingembre</v>
          </cell>
          <cell r="K154" t="str">
            <v>/</v>
          </cell>
          <cell r="L154" t="str">
            <v>Thé vert parfumé</v>
          </cell>
          <cell r="M154" t="str">
            <v>Corée du Sud - Jeju-do</v>
          </cell>
          <cell r="N154" t="str">
            <v>AB</v>
          </cell>
          <cell r="O154" t="str">
            <v>/</v>
          </cell>
          <cell r="P154" t="str">
            <v>/</v>
          </cell>
          <cell r="Q154" t="str">
            <v>/</v>
          </cell>
          <cell r="R154" t="str">
            <v>/</v>
          </cell>
          <cell r="S154" t="str">
            <v>/</v>
          </cell>
          <cell r="T154" t="str">
            <v>Agriculture UE/non UE</v>
          </cell>
          <cell r="U154"/>
          <cell r="V154" t="str">
            <v xml:space="preserve">Originaire de l’île de Jeju, située non loin de la péninsule sud-coréenne, ce thé aux feuilles d’un beau vert brillant, généreusement agrémenté de morceaux de citronnelle et de gingembre, libère un bouquet frais qui associe saveurs acidulées et iodées. Lumineuse et tonique, sa tasse inspirée des saveurs typiquement coréennes est une boisson agréable, de tous les instants. </v>
          </cell>
          <cell r="W154" t="str">
            <v>S17</v>
          </cell>
          <cell r="X154" t="str">
            <v>Originaire de l’île de Jeju, ce thé vert a été généreusement agrémenté de morceaux de citronnelle et de gingembre. Le mariage obtenu offre un bouquet vif et fruité et associe des notes minérales, épicées, citronnées et iodées particulièrement longues en bouche et d’une belle fraîcheur.</v>
          </cell>
          <cell r="Y154"/>
          <cell r="Z154" t="str">
            <v xml:space="preserve">Ingrédients : thé vert*, lemongrass* 14%, morceaux de gingembre* 14%. * Issu de l'agriculture biologique. </v>
          </cell>
          <cell r="AA154" t="str">
            <v>/</v>
          </cell>
          <cell r="AB154" t="str">
            <v>/</v>
          </cell>
          <cell r="AC154">
            <v>100</v>
          </cell>
          <cell r="AD154" t="str">
            <v>3</v>
          </cell>
          <cell r="AE154">
            <v>85</v>
          </cell>
          <cell r="AF154">
            <v>2</v>
          </cell>
          <cell r="AG154">
            <v>50</v>
          </cell>
          <cell r="AH154">
            <v>3582810867129</v>
          </cell>
          <cell r="AI154" t="str">
            <v>/</v>
          </cell>
          <cell r="AJ154" t="str">
            <v>ETVA671</v>
          </cell>
          <cell r="AK154" t="str">
            <v>ETVA671V5</v>
          </cell>
          <cell r="AL154" t="str">
            <v>ETCVA6712V5</v>
          </cell>
          <cell r="AM154" t="str">
            <v>?</v>
          </cell>
        </row>
        <row r="155">
          <cell r="A155" t="str">
            <v>TA4021</v>
          </cell>
          <cell r="B155"/>
          <cell r="C155"/>
          <cell r="D155"/>
          <cell r="E155"/>
          <cell r="F155"/>
          <cell r="G155"/>
          <cell r="H155" t="str">
            <v>LES GRANDS CLASSIQUES</v>
          </cell>
          <cell r="I155"/>
          <cell r="J155" t="str">
            <v>Earl blue diamond</v>
          </cell>
          <cell r="K155" t="str">
            <v>Huile essentielle de bergamote - Jasmin</v>
          </cell>
          <cell r="L155" t="str">
            <v>Thé noir aromatisé</v>
          </cell>
          <cell r="M155" t="str">
            <v>Inde</v>
          </cell>
          <cell r="N155" t="str">
            <v>AB</v>
          </cell>
          <cell r="O155" t="str">
            <v>WFTO</v>
          </cell>
          <cell r="P155" t="str">
            <v>/</v>
          </cell>
          <cell r="Q155" t="str">
            <v>/</v>
          </cell>
          <cell r="R155" t="str">
            <v>/</v>
          </cell>
          <cell r="S155" t="str">
            <v>/</v>
          </cell>
          <cell r="T155" t="str">
            <v>Agriculture UE/non UE</v>
          </cell>
          <cell r="U155"/>
          <cell r="V155" t="str">
            <v>Cette association audacieuse de thés, revisitée avec finesse et originalité, offre une infusion élégante et des notes acidulées de bergamote mariées à la fraîcheur du thé vert au jasmin. Plus qu’un grand classique, ce bijou apporte une saveur incomparable.</v>
          </cell>
          <cell r="W155" t="str">
            <v>S27</v>
          </cell>
          <cell r="X155" t="str">
            <v xml:space="preserve">Cette recette à base d’un mélange de thé vert au jasmin et de thé noir revisite avec audace et finesse, la fameuse recette du Earl Grey. Elle offre une infusion élégante où les notes acidulées de bergamote se marient à la fraîcheur florale du thé vert au jasmin et les notes taniques du thé noir. </v>
          </cell>
          <cell r="Y155"/>
          <cell r="Z155" t="str">
            <v xml:space="preserve">Ingrédients : thé noir*, thé vert au jasmin*, pétales de bleuet*, huile essentielle de bergamote* 2%. *Issu de l'agriculture biologique. </v>
          </cell>
          <cell r="AA155" t="str">
            <v>/</v>
          </cell>
          <cell r="AB155" t="str">
            <v>Membre certifié World Fair Trade Organization, Les Jardins de Gaïa s’engagent pour un commerce plus juste et répondent aux exigences du commerce équitable. Pour en savoir plus : www.wfto.com.</v>
          </cell>
          <cell r="AC155">
            <v>1.5</v>
          </cell>
          <cell r="AD155" t="str">
            <v>3</v>
          </cell>
          <cell r="AE155">
            <v>85</v>
          </cell>
          <cell r="AF155">
            <v>2</v>
          </cell>
          <cell r="AG155">
            <v>750</v>
          </cell>
          <cell r="AH155">
            <v>3582810440216</v>
          </cell>
          <cell r="AI155" t="str">
            <v>/</v>
          </cell>
          <cell r="AJ155" t="str">
            <v>INTERNE</v>
          </cell>
          <cell r="AK155" t="str">
            <v>INTERNE</v>
          </cell>
          <cell r="AL155" t="str">
            <v>/</v>
          </cell>
          <cell r="AM155" t="str">
            <v>Création maison</v>
          </cell>
        </row>
        <row r="156">
          <cell r="A156" t="str">
            <v>TA4022</v>
          </cell>
          <cell r="B156"/>
          <cell r="C156"/>
          <cell r="D156"/>
          <cell r="E156"/>
          <cell r="F156"/>
          <cell r="G156"/>
          <cell r="H156" t="str">
            <v>LES GRANDS CLASSIQUES</v>
          </cell>
          <cell r="I156"/>
          <cell r="J156" t="str">
            <v>Earl blue diamond</v>
          </cell>
          <cell r="K156" t="str">
            <v>Huile essentielle de bergamote - Jasmin</v>
          </cell>
          <cell r="L156" t="str">
            <v>Thé noir aromatisé</v>
          </cell>
          <cell r="M156" t="str">
            <v>Inde</v>
          </cell>
          <cell r="N156" t="str">
            <v>AB</v>
          </cell>
          <cell r="O156" t="str">
            <v>WFTO</v>
          </cell>
          <cell r="P156" t="str">
            <v>/</v>
          </cell>
          <cell r="Q156" t="str">
            <v>/</v>
          </cell>
          <cell r="R156" t="str">
            <v>/</v>
          </cell>
          <cell r="S156" t="str">
            <v>/</v>
          </cell>
          <cell r="T156" t="str">
            <v>Agriculture UE/non UE</v>
          </cell>
          <cell r="U156"/>
          <cell r="V156" t="str">
            <v>Cette association audacieuse de thés, revisitée avec finesse et originalité, offre une infusion élégante et des notes acidulées de bergamote mariées à la fraîcheur du thé vert au jasmin. Plus qu’un grand classique, ce bijou apporte une saveur incomparable.</v>
          </cell>
          <cell r="W156" t="str">
            <v>S24</v>
          </cell>
          <cell r="X156" t="str">
            <v xml:space="preserve">Cette recette à base d’un mélange de thé vert au jasmin et de thé noir revisite avec audace et finesse, la fameuse recette du Earl Grey. Elle offre une infusion élégante où les notes acidulées de bergamote se marient à la fraîcheur florale du thé vert au jasmin et les notes taniques du thé noir. </v>
          </cell>
          <cell r="Y156"/>
          <cell r="Z156" t="str">
            <v xml:space="preserve">Ingrédients : thé noir*, thé vert au jasmin*, pétales de bleuet*, huile essentielle de bergamote* 2%. *Issu de l'agriculture biologique. </v>
          </cell>
          <cell r="AA156" t="str">
            <v>/</v>
          </cell>
          <cell r="AB156" t="str">
            <v>Membre certifié World Fair Trade Organization, Les Jardins de Gaïa s’engagent pour un commerce plus juste et répondent aux exigences du commerce équitable. Pour en savoir plus : www.wfto.com.</v>
          </cell>
          <cell r="AC156">
            <v>100</v>
          </cell>
          <cell r="AD156" t="str">
            <v>3</v>
          </cell>
          <cell r="AE156">
            <v>85</v>
          </cell>
          <cell r="AF156">
            <v>2</v>
          </cell>
          <cell r="AG156">
            <v>50</v>
          </cell>
          <cell r="AH156">
            <v>3582811840220</v>
          </cell>
          <cell r="AI156" t="str">
            <v>/</v>
          </cell>
          <cell r="AJ156" t="str">
            <v>ETNA402V5</v>
          </cell>
          <cell r="AK156" t="str">
            <v>ETNA402V5</v>
          </cell>
          <cell r="AL156" t="str">
            <v>ETCNA4022V5</v>
          </cell>
          <cell r="AM156" t="str">
            <v>Création maison</v>
          </cell>
        </row>
        <row r="157">
          <cell r="A157" t="str">
            <v>TA7021</v>
          </cell>
          <cell r="B157"/>
          <cell r="C157"/>
          <cell r="D157"/>
          <cell r="E157"/>
          <cell r="F157"/>
          <cell r="G157"/>
          <cell r="H157" t="str">
            <v>LES GRANDS CLASSIQUES</v>
          </cell>
          <cell r="I157"/>
          <cell r="J157" t="str">
            <v>Earl Grey</v>
          </cell>
          <cell r="K157" t="str">
            <v>Huile essentielle de bergamote</v>
          </cell>
          <cell r="L157" t="str">
            <v>Thé noir aromatisé</v>
          </cell>
          <cell r="M157" t="str">
            <v>Sri  Lanka - Inde - Vietnam</v>
          </cell>
          <cell r="N157" t="str">
            <v>AB</v>
          </cell>
          <cell r="O157" t="str">
            <v>WFTO</v>
          </cell>
          <cell r="P157" t="str">
            <v>/</v>
          </cell>
          <cell r="Q157" t="str">
            <v>/</v>
          </cell>
          <cell r="R157" t="str">
            <v>/</v>
          </cell>
          <cell r="S157" t="str">
            <v>/</v>
          </cell>
          <cell r="T157" t="str">
            <v>Agriculture UE/non UE</v>
          </cell>
          <cell r="U157"/>
          <cell r="V157" t="str">
            <v>Délicatement classique, toujours séduisant, ce mélange de thés noirs de qualité supérieure, parfumé aux véritables essences de bergamote, vous ravira en journée ou en soirée. Légèrement acidulé et très rafraîchissant, ce thé est un raffinement pour le palais.</v>
          </cell>
          <cell r="W157"/>
          <cell r="X157" t="str">
            <v>Ce mariage de thés noirs de qualité supérieure aux huiles essentielles de bergamote est un classique pour les connaisseurs et une révélation pour les amateurs. Une recette raffinée basée sur une belle harmonie entre les notes taniques du thé et les saveurs fraîches et fruitées de l’agrume.</v>
          </cell>
          <cell r="Y157"/>
          <cell r="Z157" t="str">
            <v>Ingrédients : thé noir*, huile essentielle de bergamote* 2%. *Issu de l'agriculture biologique.</v>
          </cell>
          <cell r="AA157" t="str">
            <v>/</v>
          </cell>
          <cell r="AB157" t="str">
            <v>Membre certifié World Fair Trade Organization, Les Jardins de Gaïa s’engagent pour un commerce plus juste et répondent aux exigences du commerce équitable. Pour en savoir plus : www.wfto.com.</v>
          </cell>
          <cell r="AC157">
            <v>1.5</v>
          </cell>
          <cell r="AD157" t="str">
            <v>3-4</v>
          </cell>
          <cell r="AE157">
            <v>90</v>
          </cell>
          <cell r="AF157">
            <v>2</v>
          </cell>
          <cell r="AG157">
            <v>750</v>
          </cell>
          <cell r="AH157">
            <v>3582810470213</v>
          </cell>
          <cell r="AI157" t="str">
            <v>/</v>
          </cell>
          <cell r="AJ157" t="str">
            <v>INTERNE</v>
          </cell>
          <cell r="AK157" t="str">
            <v>INTERNE</v>
          </cell>
          <cell r="AL157" t="str">
            <v>/</v>
          </cell>
          <cell r="AM157" t="str">
            <v>Création maison</v>
          </cell>
        </row>
        <row r="158">
          <cell r="A158" t="str">
            <v>TA7022</v>
          </cell>
          <cell r="B158"/>
          <cell r="C158" t="str">
            <v>X</v>
          </cell>
          <cell r="D158" t="str">
            <v>x</v>
          </cell>
          <cell r="E158"/>
          <cell r="F158" t="str">
            <v>GRAI</v>
          </cell>
          <cell r="G158">
            <v>45383</v>
          </cell>
          <cell r="H158" t="str">
            <v>LES GRANDS CLASSIQUES</v>
          </cell>
          <cell r="I158"/>
          <cell r="J158" t="str">
            <v>Earl Grey</v>
          </cell>
          <cell r="K158" t="str">
            <v>Huile essentielle de bergamote</v>
          </cell>
          <cell r="L158" t="str">
            <v>Thé noir aromatisé</v>
          </cell>
          <cell r="M158" t="str">
            <v xml:space="preserve">Vietnam - Chine </v>
          </cell>
          <cell r="N158" t="str">
            <v>AB</v>
          </cell>
          <cell r="O158" t="str">
            <v>WFTO</v>
          </cell>
          <cell r="P158" t="str">
            <v>/</v>
          </cell>
          <cell r="Q158" t="str">
            <v>/</v>
          </cell>
          <cell r="R158" t="str">
            <v>/</v>
          </cell>
          <cell r="S158" t="str">
            <v>/</v>
          </cell>
          <cell r="T158" t="str">
            <v>Agriculture UE/non UE</v>
          </cell>
          <cell r="U158"/>
          <cell r="V158" t="str">
            <v>Délicatement classique, toujours séduisant, ce mélange de thés noirs de qualité supérieure, parfumé aux véritables essences de bergamote, vous ravira en journée ou en soirée. Légèrement acidulé et très rafraîchissant, ce thé est un raffinement pour le palais.</v>
          </cell>
          <cell r="W158"/>
          <cell r="X158" t="str">
            <v>Ce mariage de thés noirs de qualité supérieure aux huiles essentielles de bergamote est un classique pour les connaisseurs et une révélation pour les amateurs. Une recette raffinée basée sur une belle harmonie entre les notes taniques du thé et les saveurs fraîches et fruitées de l’agrume.</v>
          </cell>
          <cell r="Y158"/>
          <cell r="Z158" t="str">
            <v>Ingrédients : thé noir*, huile essentielle de bergamote* 2%. *Issu de l'agriculture biologique.</v>
          </cell>
          <cell r="AA158" t="str">
            <v>/</v>
          </cell>
          <cell r="AB158" t="str">
            <v>Membre certifié World Fair Trade Organization, Les Jardins de Gaïa s’engagent pour un commerce plus juste et répondent aux exigences du commerce équitable. Pour en savoir plus : www.wfto.com.</v>
          </cell>
          <cell r="AC158">
            <v>100</v>
          </cell>
          <cell r="AD158" t="str">
            <v>3-4</v>
          </cell>
          <cell r="AE158">
            <v>90</v>
          </cell>
          <cell r="AF158">
            <v>2</v>
          </cell>
          <cell r="AG158">
            <v>50</v>
          </cell>
          <cell r="AH158">
            <v>3582810470220</v>
          </cell>
          <cell r="AI158" t="str">
            <v>/</v>
          </cell>
          <cell r="AJ158" t="str">
            <v>ETNA702</v>
          </cell>
          <cell r="AK158" t="str">
            <v>ETNA702V5</v>
          </cell>
          <cell r="AL158" t="str">
            <v>ETCNA7022V5</v>
          </cell>
          <cell r="AM158" t="str">
            <v>Van Chan Bio Farmers Club + Dazhangshan Organic Tea Farmer Association</v>
          </cell>
        </row>
        <row r="159">
          <cell r="A159" t="str">
            <v>TA6811</v>
          </cell>
          <cell r="B159"/>
          <cell r="C159"/>
          <cell r="D159"/>
          <cell r="E159"/>
          <cell r="F159"/>
          <cell r="G159"/>
          <cell r="H159" t="str">
            <v>LES GRANDS CLASSIQUES</v>
          </cell>
          <cell r="I159"/>
          <cell r="J159" t="str">
            <v>Earl Grey vert</v>
          </cell>
          <cell r="K159" t="str">
            <v>Huile essentielle de bergamote</v>
          </cell>
          <cell r="L159" t="str">
            <v>Thé vert aromatisé</v>
          </cell>
          <cell r="M159" t="str">
            <v>Inde - Chine - Vietnam</v>
          </cell>
          <cell r="N159" t="str">
            <v>AB</v>
          </cell>
          <cell r="O159" t="str">
            <v>WFTO</v>
          </cell>
          <cell r="P159" t="str">
            <v>/</v>
          </cell>
          <cell r="Q159" t="str">
            <v>/</v>
          </cell>
          <cell r="R159" t="str">
            <v>/</v>
          </cell>
          <cell r="S159" t="str">
            <v>/</v>
          </cell>
          <cell r="T159" t="str">
            <v>Agriculture UE/non UE</v>
          </cell>
          <cell r="U159"/>
          <cell r="V159" t="str">
            <v>Comme un zeste de fraîcheur, ce thé vert parfumé à la bergamote ravira les amateurs. Délicat et équilibré, il se déguste chaud ou glacé.</v>
          </cell>
          <cell r="W159"/>
          <cell r="X159" t="str">
            <v>Délicat et équilibré, ce thé vert aromatisé à la bergamote, revisite avec fraîcheur la recette traditionnelle du Earl Grey. Une expérience gustative unique, à savourer aussi bien chaude que glacée.</v>
          </cell>
          <cell r="Y159"/>
          <cell r="Z159" t="str">
            <v>Ingrédients : thé vert*, écorces d'orange*, huile essentielle de bergamote* 2%. *Issu de l'agriculture biologique.</v>
          </cell>
          <cell r="AA159" t="str">
            <v>/</v>
          </cell>
          <cell r="AB159" t="str">
            <v>Membre certifié World Fair Trade Organization, Les Jardins de Gaïa s’engagent pour un commerce plus juste et répondent aux exigences du commerce équitable. Pour en savoir plus : www.wfto.com.</v>
          </cell>
          <cell r="AC159">
            <v>1.5</v>
          </cell>
          <cell r="AD159" t="str">
            <v>3</v>
          </cell>
          <cell r="AE159">
            <v>75</v>
          </cell>
          <cell r="AF159">
            <v>2</v>
          </cell>
          <cell r="AG159">
            <v>750</v>
          </cell>
          <cell r="AH159">
            <v>3582810868119</v>
          </cell>
          <cell r="AI159" t="str">
            <v>/</v>
          </cell>
          <cell r="AJ159" t="str">
            <v>INTERNE</v>
          </cell>
          <cell r="AK159" t="str">
            <v>INTERNE</v>
          </cell>
          <cell r="AL159" t="str">
            <v>/</v>
          </cell>
          <cell r="AM159" t="str">
            <v>Création maison</v>
          </cell>
        </row>
        <row r="160">
          <cell r="A160" t="str">
            <v>TA6812</v>
          </cell>
          <cell r="B160"/>
          <cell r="C160" t="str">
            <v>X</v>
          </cell>
          <cell r="D160" t="str">
            <v>x</v>
          </cell>
          <cell r="E160" t="str">
            <v>x</v>
          </cell>
          <cell r="F160" t="str">
            <v>GRAI</v>
          </cell>
          <cell r="G160">
            <v>45383</v>
          </cell>
          <cell r="H160" t="str">
            <v>LES GRANDS CLASSIQUES</v>
          </cell>
          <cell r="I160"/>
          <cell r="J160" t="str">
            <v>Earl Grey vert</v>
          </cell>
          <cell r="K160" t="str">
            <v>Huile essentielle de bergamote</v>
          </cell>
          <cell r="L160" t="str">
            <v>Thé vert aromatisé</v>
          </cell>
          <cell r="M160" t="str">
            <v>Inde - Chine - Vietnam</v>
          </cell>
          <cell r="N160" t="str">
            <v>AB</v>
          </cell>
          <cell r="O160" t="str">
            <v>WFTO</v>
          </cell>
          <cell r="P160" t="str">
            <v>/</v>
          </cell>
          <cell r="Q160" t="str">
            <v>/</v>
          </cell>
          <cell r="R160" t="str">
            <v>/</v>
          </cell>
          <cell r="S160" t="str">
            <v>/</v>
          </cell>
          <cell r="T160" t="str">
            <v>Agriculture UE/non UE</v>
          </cell>
          <cell r="U160"/>
          <cell r="V160" t="str">
            <v>Comme un zeste de fraîcheur, ce thé vert parfumé à la bergamote ravira les amateurs. Délicat et équilibré, il se déguste chaud ou glacé.</v>
          </cell>
          <cell r="W160"/>
          <cell r="X160" t="str">
            <v>Délicat et équilibré, ce thé vert aromatisé à la bergamote, revisite avec fraîcheur la recette traditionnelle du Earl Grey. Une expérience gustative unique, à savourer aussi bien chaude que glacée.</v>
          </cell>
          <cell r="Y160"/>
          <cell r="Z160" t="str">
            <v>Ingrédients : thé vert*, écorces d'orange*, huile essentielle de bergamote* 2%. *Issu de l'agriculture biologique.</v>
          </cell>
          <cell r="AA160" t="str">
            <v>/</v>
          </cell>
          <cell r="AB160" t="str">
            <v>Membre certifié World Fair Trade Organization, Les Jardins de Gaïa s’engagent pour un commerce plus juste et répondent aux exigences du commerce équitable. Pour en savoir plus : www.wfto.com.</v>
          </cell>
          <cell r="AC160">
            <v>100</v>
          </cell>
          <cell r="AD160" t="str">
            <v>3</v>
          </cell>
          <cell r="AE160">
            <v>75</v>
          </cell>
          <cell r="AF160">
            <v>2</v>
          </cell>
          <cell r="AG160">
            <v>50</v>
          </cell>
          <cell r="AH160">
            <v>3582810868126</v>
          </cell>
          <cell r="AI160" t="str">
            <v>/</v>
          </cell>
          <cell r="AJ160" t="str">
            <v>ETVA681</v>
          </cell>
          <cell r="AK160" t="str">
            <v>ETVA681V5</v>
          </cell>
          <cell r="AL160" t="str">
            <v>ETCVA6812V5</v>
          </cell>
          <cell r="AM160" t="str">
            <v>Création maison</v>
          </cell>
        </row>
        <row r="161">
          <cell r="A161" t="str">
            <v>TUTA6812</v>
          </cell>
          <cell r="B161"/>
          <cell r="C161"/>
          <cell r="D161"/>
          <cell r="E161"/>
          <cell r="F161"/>
          <cell r="G161"/>
          <cell r="H161" t="str">
            <v>LES GRANDS CLASSIQUES</v>
          </cell>
          <cell r="I161"/>
          <cell r="J161" t="str">
            <v>Earl Grey vert</v>
          </cell>
          <cell r="K161" t="str">
            <v>Huile essentielle de bergamote</v>
          </cell>
          <cell r="L161" t="str">
            <v>Thé vert aromatisé</v>
          </cell>
          <cell r="M161" t="str">
            <v>Inde - Chine - Vietnam</v>
          </cell>
          <cell r="N161" t="str">
            <v>AB</v>
          </cell>
          <cell r="O161" t="str">
            <v>WFTO</v>
          </cell>
          <cell r="P161" t="str">
            <v>/</v>
          </cell>
          <cell r="Q161" t="str">
            <v>/</v>
          </cell>
          <cell r="R161" t="str">
            <v>/</v>
          </cell>
          <cell r="S161" t="str">
            <v>/</v>
          </cell>
          <cell r="T161" t="str">
            <v>Agriculture UE/non UE</v>
          </cell>
          <cell r="U161"/>
          <cell r="V161" t="str">
            <v>Comme un zeste de fraîcheur, ce thé vert parfumé à la bergamote ravira les amateurs. Délicat et équilibré, il se déguste chaud ou glacé.</v>
          </cell>
          <cell r="W161"/>
          <cell r="X161" t="str">
            <v>Délicat et équilibré, ce thé vert aromatisé à la bergamote, revisite avec fraîcheur la recette traditionnelle du Earl Grey. Une expérience gustative unique, à savourer aussi bien chaude que glacée.</v>
          </cell>
          <cell r="Y161"/>
          <cell r="Z161" t="str">
            <v>Ingrédients : thé vert*, écorces d'orange*, huile essentielle de bergamote* 2%. *Issu de l'agriculture biologique.</v>
          </cell>
          <cell r="AA161" t="str">
            <v>/</v>
          </cell>
          <cell r="AB161" t="str">
            <v>Membre certifié World Fair Trade Organization, Les Jardins de Gaïa s’engagent pour un commerce plus juste et répondent aux exigences du commerce équitable. Pour en savoir plus : www.wfto.com.</v>
          </cell>
          <cell r="AC161">
            <v>100</v>
          </cell>
          <cell r="AD161" t="str">
            <v>3</v>
          </cell>
          <cell r="AE161">
            <v>75</v>
          </cell>
          <cell r="AF161">
            <v>2</v>
          </cell>
          <cell r="AG161">
            <v>50</v>
          </cell>
          <cell r="AH161">
            <v>3582815668127</v>
          </cell>
          <cell r="AI161" t="str">
            <v>/</v>
          </cell>
          <cell r="AJ161" t="str">
            <v>ETTUVA6812V5</v>
          </cell>
          <cell r="AK161" t="str">
            <v>ETTUVA6812V5</v>
          </cell>
          <cell r="AL161" t="str">
            <v>/</v>
          </cell>
          <cell r="AM161" t="str">
            <v>Création maison</v>
          </cell>
        </row>
        <row r="162">
          <cell r="A162" t="str">
            <v>IF305</v>
          </cell>
          <cell r="B162"/>
          <cell r="C162"/>
          <cell r="D162"/>
          <cell r="E162"/>
          <cell r="F162"/>
          <cell r="G162"/>
          <cell r="H162" t="str">
            <v>KEIKO</v>
          </cell>
          <cell r="I162"/>
          <cell r="J162" t="str">
            <v>Easy Ice Tea</v>
          </cell>
          <cell r="K162" t="str">
            <v>Thé vert de pénombre</v>
          </cell>
          <cell r="L162" t="str">
            <v>Thé vert d'origine</v>
          </cell>
          <cell r="M162" t="str">
            <v>Japon - Kagoshima</v>
          </cell>
          <cell r="N162" t="str">
            <v>AB</v>
          </cell>
          <cell r="O162" t="str">
            <v>/</v>
          </cell>
          <cell r="P162" t="str">
            <v>/</v>
          </cell>
          <cell r="Q162" t="str">
            <v>/</v>
          </cell>
          <cell r="R162" t="str">
            <v>/</v>
          </cell>
          <cell r="S162" t="str">
            <v>/</v>
          </cell>
          <cell r="T162" t="str">
            <v>Agriculture Japon</v>
          </cell>
          <cell r="U162"/>
          <cell r="V162" t="str">
            <v>Cette première récolte mélangée à un soupçon de poudre de thé est à préparer avec de l'eau glacée. Il peut développer son arôme frais et doux grâce aux sachets pyramidales.</v>
          </cell>
          <cell r="W162"/>
          <cell r="X162" t="str">
            <v>Conçues pour une infusion à froid, ces infusettes associant du matcha, du kabusecha de printemps et du hojicha libèrent une boisson couleur jade au goût doux et herbacé typique des thés verts japonais. Avec ou sans glaçons, c'est un rafraîchissement idéal pour les beaux jours !</v>
          </cell>
          <cell r="Y162"/>
          <cell r="Z162" t="str">
            <v>Ingrédient : thé vert*. *Issu de l'agriculture biologique.</v>
          </cell>
          <cell r="AA162" t="str">
            <v>/</v>
          </cell>
          <cell r="AB162" t="str">
            <v>/</v>
          </cell>
          <cell r="AC162">
            <v>48</v>
          </cell>
          <cell r="AD162" t="str">
            <v>2-3</v>
          </cell>
          <cell r="AE162">
            <v>75</v>
          </cell>
          <cell r="AF162">
            <v>3</v>
          </cell>
          <cell r="AG162">
            <v>16</v>
          </cell>
          <cell r="AH162">
            <v>4031322000504</v>
          </cell>
          <cell r="AI162" t="str">
            <v>/</v>
          </cell>
          <cell r="AJ162" t="str">
            <v>/</v>
          </cell>
          <cell r="AK162" t="str">
            <v>/</v>
          </cell>
          <cell r="AL162" t="str">
            <v>/</v>
          </cell>
          <cell r="AM162" t="str">
            <v>Keiko</v>
          </cell>
        </row>
        <row r="163">
          <cell r="A163" t="str">
            <v>TL0081</v>
          </cell>
          <cell r="B163"/>
          <cell r="C163"/>
          <cell r="D163"/>
          <cell r="E163"/>
          <cell r="F163"/>
          <cell r="G163"/>
          <cell r="H163" t="str">
            <v>LES GRANDS CLASSIQUES</v>
          </cell>
          <cell r="I163" t="str">
            <v>LES INFUSIONS DE PLANTES</v>
          </cell>
          <cell r="J163" t="str">
            <v>Écorces de cacao</v>
          </cell>
          <cell r="K163" t="str">
            <v>/</v>
          </cell>
          <cell r="L163" t="str">
            <v>Infusion nature</v>
          </cell>
          <cell r="M163" t="str">
            <v>Pérou</v>
          </cell>
          <cell r="N163" t="str">
            <v>AB</v>
          </cell>
          <cell r="O163" t="str">
            <v>WFTO</v>
          </cell>
          <cell r="P163" t="str">
            <v>/</v>
          </cell>
          <cell r="Q163" t="str">
            <v>/</v>
          </cell>
          <cell r="R163" t="str">
            <v>/</v>
          </cell>
          <cell r="S163" t="str">
            <v>/</v>
          </cell>
          <cell r="T163" t="str">
            <v>Agriculture Pérou</v>
          </cell>
          <cell r="U163"/>
          <cell r="V163" t="str">
            <v>Élaborées par des petits producteurs péruviens, ces écorces de fèves de cacao sont issues de la variété criollo reconnue pour son caractère très aromatique. Leur infusion produit une boisson sans calories, douce et chaleureuse qui peut s’associer avec du lait et du sucre ou avec du maté pour un supplément de gourmandise ou d’originalité.</v>
          </cell>
          <cell r="W163" t="str">
            <v>S27</v>
          </cell>
          <cell r="X163" t="str">
            <v>Fruits du travail des petits producteurs péruviens, ces écorces de fèves de cacao sont issues de la variété criollo reconnue pour son caractère très gourmand et aromatique. Leur infusion produit une boisson sans calories, douce et chaleureuse qui s’apprécie nature ou avec du lait et du sucre.</v>
          </cell>
          <cell r="Y163"/>
          <cell r="Z163" t="str">
            <v>Ingrédient : écorces de fèves de cacao torréfiées*. *Issu de l'agriculture biologique.</v>
          </cell>
          <cell r="AA163" t="str">
            <v>/</v>
          </cell>
          <cell r="AB163" t="str">
            <v>Membre certifié World Fair Trade Organization, Les Jardins de Gaïa s’engagent pour un commerce plus juste et répondent aux exigences du commerce équitable. Pour en savoir plus : www.wfto.com.</v>
          </cell>
          <cell r="AC163">
            <v>1.5</v>
          </cell>
          <cell r="AD163" t="str">
            <v>5-10</v>
          </cell>
          <cell r="AE163">
            <v>95</v>
          </cell>
          <cell r="AF163">
            <v>2</v>
          </cell>
          <cell r="AG163">
            <v>750</v>
          </cell>
          <cell r="AH163">
            <v>3582811000815</v>
          </cell>
          <cell r="AI163" t="str">
            <v>/</v>
          </cell>
          <cell r="AJ163" t="str">
            <v>INTERNE</v>
          </cell>
          <cell r="AK163" t="str">
            <v>INTERNE</v>
          </cell>
          <cell r="AL163" t="str">
            <v>/</v>
          </cell>
          <cell r="AM163" t="str">
            <v>Cooperativa Agraria Cafetalera Pangoa</v>
          </cell>
        </row>
        <row r="164">
          <cell r="A164" t="str">
            <v>TL0086</v>
          </cell>
          <cell r="B164"/>
          <cell r="C164"/>
          <cell r="D164"/>
          <cell r="E164"/>
          <cell r="F164"/>
          <cell r="G164"/>
          <cell r="H164" t="str">
            <v>LES GRANDS CLASSIQUES</v>
          </cell>
          <cell r="I164" t="str">
            <v>LES INFUSIONS DE PLANTES</v>
          </cell>
          <cell r="J164" t="str">
            <v>Écorces de cacao</v>
          </cell>
          <cell r="K164" t="str">
            <v>/</v>
          </cell>
          <cell r="L164" t="str">
            <v>Infusion nature</v>
          </cell>
          <cell r="M164" t="str">
            <v>Pérou</v>
          </cell>
          <cell r="N164" t="str">
            <v>AB</v>
          </cell>
          <cell r="O164" t="str">
            <v>WFTO</v>
          </cell>
          <cell r="P164" t="str">
            <v>/</v>
          </cell>
          <cell r="Q164" t="str">
            <v>/</v>
          </cell>
          <cell r="R164" t="str">
            <v>/</v>
          </cell>
          <cell r="S164" t="str">
            <v>/</v>
          </cell>
          <cell r="T164" t="str">
            <v>Agriculture Pérou</v>
          </cell>
          <cell r="U164"/>
          <cell r="V164" t="str">
            <v>Élaborées par des petits producteurs péruviens, ces écorces de fèves de cacao sont issues de la variété criollo reconnue pour son caractère très aromatique. Leur infusion produit une boisson sans calories, douce et chaleureuse qui peut s’associer avec du lait et du sucre ou avec du maté pour un supplément de gourmandise ou d’originalité.</v>
          </cell>
          <cell r="W164" t="str">
            <v>S24</v>
          </cell>
          <cell r="X164" t="str">
            <v>Fruits du travail des petits producteurs péruviens, ces écorces de fèves de cacao sont issues de la variété criollo reconnue pour son caractère très gourmand et aromatique. Leur infusion produit une boisson sans calories, douce et chaleureuse qui s’apprécie nature ou avec du lait et du sucre.</v>
          </cell>
          <cell r="Y164"/>
          <cell r="Z164" t="str">
            <v>Ingrédient : écorces de fèves de cacao torréfiées*. *Issu de l'agriculture biologique.</v>
          </cell>
          <cell r="AA164" t="str">
            <v>/</v>
          </cell>
          <cell r="AB164" t="str">
            <v>Membre certifié World Fair Trade Organization, Les Jardins de Gaïa s’engagent pour un commerce plus juste et répondent aux exigences du commerce équitable. Pour en savoir plus : www.wfto.com.</v>
          </cell>
          <cell r="AC164">
            <v>60</v>
          </cell>
          <cell r="AD164" t="str">
            <v>5-10</v>
          </cell>
          <cell r="AE164">
            <v>95</v>
          </cell>
          <cell r="AF164">
            <v>2</v>
          </cell>
          <cell r="AG164">
            <v>30</v>
          </cell>
          <cell r="AH164">
            <v>3582811000860</v>
          </cell>
          <cell r="AI164" t="str">
            <v>/</v>
          </cell>
          <cell r="AJ164" t="str">
            <v>ETTL008</v>
          </cell>
          <cell r="AK164" t="str">
            <v>ETTL008V5</v>
          </cell>
          <cell r="AL164" t="str">
            <v>ETCTL0086V5</v>
          </cell>
          <cell r="AM164" t="str">
            <v>Cooperativa Agraria Cafetalera Pangoa</v>
          </cell>
        </row>
        <row r="165">
          <cell r="A165" t="str">
            <v>TR2021</v>
          </cell>
          <cell r="B165"/>
          <cell r="C165"/>
          <cell r="D165"/>
          <cell r="E165"/>
          <cell r="F165"/>
          <cell r="G165"/>
          <cell r="H165" t="str">
            <v>LES GRANDS CLASSIQUES</v>
          </cell>
          <cell r="I165"/>
          <cell r="J165" t="str">
            <v>Élixir des petits lutins</v>
          </cell>
          <cell r="K165" t="str">
            <v>Saveurs fraise - vanille</v>
          </cell>
          <cell r="L165" t="str">
            <v>Rooibos aromatisé</v>
          </cell>
          <cell r="M165" t="str">
            <v>Afrique du Sud - Cap Occidental</v>
          </cell>
          <cell r="N165" t="str">
            <v>AB</v>
          </cell>
          <cell r="O165" t="str">
            <v>WFTO</v>
          </cell>
          <cell r="P165" t="str">
            <v>/</v>
          </cell>
          <cell r="Q165" t="str">
            <v>/</v>
          </cell>
          <cell r="R165" t="str">
            <v>/</v>
          </cell>
          <cell r="S165" t="str">
            <v>/</v>
          </cell>
          <cell r="T165" t="str">
            <v>Agriculture UE/non UE</v>
          </cell>
          <cell r="U165"/>
          <cell r="V165" t="str">
            <v>Des terres sablonneuses en passant par les collines occidentales d’Afrique du Sud, ce rooibos féerique, à l’arôme fruité et doux, ravira petits et grands enfants. Un régal chaud ou froid !</v>
          </cell>
          <cell r="W165"/>
          <cell r="X165" t="str">
            <v>Ce rooibos féérique dédié à nos « petits lutins » mêle les saveurs gourmandes de la fraise à la douceur de la vanille ce qui ravit toute la famille. Un régal chaud ou froid !</v>
          </cell>
          <cell r="Y165"/>
          <cell r="Z165" t="str">
            <v xml:space="preserve">Ingrédients : rooibos*, extrait de vanille* 3%, arôme naturel de fraise* 3%, pétales de bleuet*. *Issu de l'agriculture biologique. </v>
          </cell>
          <cell r="AA165" t="str">
            <v>/</v>
          </cell>
          <cell r="AB165" t="str">
            <v>Membre certifié World Fair Trade Organization, Les Jardins de Gaïa s’engagent pour un commerce plus juste et répondent aux exigences du commerce équitable. Pour en savoir plus : www.wfto.com.</v>
          </cell>
          <cell r="AC165">
            <v>1.5</v>
          </cell>
          <cell r="AD165" t="str">
            <v>5-10</v>
          </cell>
          <cell r="AE165">
            <v>95</v>
          </cell>
          <cell r="AF165">
            <v>2</v>
          </cell>
          <cell r="AG165">
            <v>750</v>
          </cell>
          <cell r="AH165">
            <v>3582810920213</v>
          </cell>
          <cell r="AI165" t="str">
            <v>/</v>
          </cell>
          <cell r="AJ165" t="str">
            <v>INTERNE</v>
          </cell>
          <cell r="AK165" t="str">
            <v>INTERNE</v>
          </cell>
          <cell r="AL165" t="str">
            <v>/</v>
          </cell>
          <cell r="AM165" t="str">
            <v>Création maison</v>
          </cell>
        </row>
        <row r="166">
          <cell r="A166" t="str">
            <v>TR2022</v>
          </cell>
          <cell r="B166"/>
          <cell r="C166" t="str">
            <v>X</v>
          </cell>
          <cell r="D166" t="str">
            <v>x</v>
          </cell>
          <cell r="E166" t="str">
            <v>x</v>
          </cell>
          <cell r="F166" t="str">
            <v>GRAI</v>
          </cell>
          <cell r="G166">
            <v>45383</v>
          </cell>
          <cell r="H166" t="str">
            <v>LES GRANDS CLASSIQUES</v>
          </cell>
          <cell r="I166"/>
          <cell r="J166" t="str">
            <v>Élixir des petits lutins</v>
          </cell>
          <cell r="K166" t="str">
            <v>Saveurs fraise - vanille</v>
          </cell>
          <cell r="L166" t="str">
            <v>Rooibos aromatisé</v>
          </cell>
          <cell r="M166" t="str">
            <v>Afrique du Sud - Cap Occidental</v>
          </cell>
          <cell r="N166" t="str">
            <v>AB</v>
          </cell>
          <cell r="O166" t="str">
            <v>WFTO</v>
          </cell>
          <cell r="P166" t="str">
            <v>/</v>
          </cell>
          <cell r="Q166" t="str">
            <v>/</v>
          </cell>
          <cell r="R166" t="str">
            <v>/</v>
          </cell>
          <cell r="S166" t="str">
            <v>/</v>
          </cell>
          <cell r="T166" t="str">
            <v>Agriculture UE/non UE</v>
          </cell>
          <cell r="U166"/>
          <cell r="V166" t="str">
            <v>Des terres sablonneuses en passant par les collines occidentales d’Afrique du Sud, ce rooibos féerique, à l’arôme fruité et doux, ravira petits et grands enfants. Un régal chaud ou froid !</v>
          </cell>
          <cell r="W166"/>
          <cell r="X166" t="str">
            <v>Ce rooibos féérique dédié à nos « petits lutins » mêle les saveurs gourmandes de la fraise à la douceur de la vanille ce qui ravit toute la famille. Un régal chaud ou froid !</v>
          </cell>
          <cell r="Y166"/>
          <cell r="Z166" t="str">
            <v xml:space="preserve">Ingrédients : rooibos*, extrait de vanille* 3%, arôme naturel de fraise* 3%, pétales de bleuet*. *Issu de l'agriculture biologique. </v>
          </cell>
          <cell r="AA166" t="str">
            <v>/</v>
          </cell>
          <cell r="AB166" t="str">
            <v>Membre certifié World Fair Trade Organization, Les Jardins de Gaïa s’engagent pour un commerce plus juste et répondent aux exigences du commerce équitable. Pour en savoir plus : www.wfto.com.</v>
          </cell>
          <cell r="AC166">
            <v>100</v>
          </cell>
          <cell r="AD166" t="str">
            <v>5-10</v>
          </cell>
          <cell r="AE166">
            <v>95</v>
          </cell>
          <cell r="AF166">
            <v>2</v>
          </cell>
          <cell r="AG166">
            <v>50</v>
          </cell>
          <cell r="AH166">
            <v>3582810920220</v>
          </cell>
          <cell r="AI166" t="str">
            <v>/</v>
          </cell>
          <cell r="AJ166" t="str">
            <v>ETRA202V5</v>
          </cell>
          <cell r="AK166" t="str">
            <v>ETRA202V5</v>
          </cell>
          <cell r="AL166" t="str">
            <v>ETCRA2022V5</v>
          </cell>
          <cell r="AM166" t="str">
            <v>Wupperthal Original Rooibos Cooperative et Heiveld Cooperative</v>
          </cell>
        </row>
        <row r="167">
          <cell r="A167" t="str">
            <v>TUTR2022</v>
          </cell>
          <cell r="B167"/>
          <cell r="C167"/>
          <cell r="D167"/>
          <cell r="E167"/>
          <cell r="F167"/>
          <cell r="G167"/>
          <cell r="H167" t="str">
            <v>LES GRANDS CLASSIQUES</v>
          </cell>
          <cell r="I167"/>
          <cell r="J167" t="str">
            <v>Élixir des petits lutins</v>
          </cell>
          <cell r="K167" t="str">
            <v>Saveurs fraise - vanille</v>
          </cell>
          <cell r="L167" t="str">
            <v>Rooibos aromatisé</v>
          </cell>
          <cell r="M167" t="str">
            <v>Afrique du Sud - Cap Occidental</v>
          </cell>
          <cell r="N167" t="str">
            <v>AB</v>
          </cell>
          <cell r="O167" t="str">
            <v>WFTO</v>
          </cell>
          <cell r="P167" t="str">
            <v>/</v>
          </cell>
          <cell r="Q167" t="str">
            <v>/</v>
          </cell>
          <cell r="R167" t="str">
            <v>/</v>
          </cell>
          <cell r="S167" t="str">
            <v>/</v>
          </cell>
          <cell r="T167" t="str">
            <v>Agriculture UE/non UE</v>
          </cell>
          <cell r="U167"/>
          <cell r="V167" t="str">
            <v>Des terres sablonneuses en passant par les collines occidentales d’Afrique du Sud, ce rooibos féerique, à l’arôme fruité et doux, ravira petits et grands enfants. Un régal chaud ou froid !</v>
          </cell>
          <cell r="W167"/>
          <cell r="X167" t="str">
            <v>Ce rooibos féérique dédié à nos « petits lutins » mêle les saveurs gourmandes de la fraise à la douceur de la vanille ce qui ravit toute la famille. Un régal chaud ou froid !</v>
          </cell>
          <cell r="Y167"/>
          <cell r="Z167" t="str">
            <v xml:space="preserve">Ingrédients : rooibos*, extrait de vanille* 3%, arôme naturel de fraise* 3%, pétales de bleuet*. *Issu de l'agriculture biologique. </v>
          </cell>
          <cell r="AA167" t="str">
            <v>/</v>
          </cell>
          <cell r="AB167" t="str">
            <v>Membre certifié World Fair Trade Organization, Les Jardins de Gaïa s’engagent pour un commerce plus juste et répondent aux exigences du commerce équitable. Pour en savoir plus : www.wfto.com.</v>
          </cell>
          <cell r="AC167">
            <v>100</v>
          </cell>
          <cell r="AD167" t="str">
            <v>5-10</v>
          </cell>
          <cell r="AE167">
            <v>95</v>
          </cell>
          <cell r="AF167">
            <v>2</v>
          </cell>
          <cell r="AG167">
            <v>50</v>
          </cell>
          <cell r="AH167">
            <v>3582815620224</v>
          </cell>
          <cell r="AI167" t="str">
            <v>/</v>
          </cell>
          <cell r="AJ167" t="str">
            <v>ETTURA2022V5</v>
          </cell>
          <cell r="AK167" t="str">
            <v>ETTURA2022V5</v>
          </cell>
          <cell r="AL167" t="str">
            <v>/</v>
          </cell>
          <cell r="AM167" t="str">
            <v>Création maison</v>
          </cell>
        </row>
        <row r="168">
          <cell r="A168" t="str">
            <v>TM7831</v>
          </cell>
          <cell r="B168"/>
          <cell r="C168"/>
          <cell r="D168"/>
          <cell r="E168"/>
          <cell r="F168"/>
          <cell r="G168"/>
          <cell r="H168" t="str">
            <v>LES GRANDS CLASSIQUES</v>
          </cell>
          <cell r="I168"/>
          <cell r="J168" t="str">
            <v>English Breakfast</v>
          </cell>
          <cell r="K168" t="str">
            <v>/</v>
          </cell>
          <cell r="L168" t="str">
            <v>Thé noir</v>
          </cell>
          <cell r="M168" t="str">
            <v xml:space="preserve">Inde </v>
          </cell>
          <cell r="N168" t="str">
            <v>AB</v>
          </cell>
          <cell r="O168" t="str">
            <v>WFTO</v>
          </cell>
          <cell r="P168" t="str">
            <v>D</v>
          </cell>
          <cell r="Q168" t="str">
            <v>/</v>
          </cell>
          <cell r="R168" t="str">
            <v>/</v>
          </cell>
          <cell r="S168" t="str">
            <v>/</v>
          </cell>
          <cell r="T168" t="str">
            <v>Agriculture Inde</v>
          </cell>
          <cell r="U168"/>
          <cell r="V168" t="str">
            <v>Une sélection rigoureuse de broken donne à ce thé un arôme et une saveur corsée et épicée, relevés par une fine note d’amertume typiquement britannique. Se déguste avec un nuage de lait ou de crème. Idéal pour le petit déjeuner, c'est également une boisson tonifiante pour toute la matinée.</v>
          </cell>
          <cell r="W168"/>
          <cell r="X168" t="str">
            <v>Fruit d’une sélection rigoureuse de broken (feuilles brisées), ce thé noir idéal pour le petit déjeuner offre une infusion aromatique à la fois corsée et épicée, accompagnée par une pointe d’amertume typiquement britannique. Se déguste volontiers avec un nuage de lait ou de crème.</v>
          </cell>
          <cell r="Y168"/>
          <cell r="Z168" t="str">
            <v xml:space="preserve">Ingrédient : thé noir**. **Issu de l'agriculture biologique et biodynamique. demeter est la marque des produits issus de l'agriculture biodynamique certifiée. </v>
          </cell>
          <cell r="AA168" t="str">
            <v>/</v>
          </cell>
          <cell r="AB168" t="str">
            <v>Membre certifié World Fair Trade Organization, Les Jardins de Gaïa s’engagent pour un commerce plus juste et répondent aux exigences du commerce équitable. Pour en savoir plus : www.wfto.com.</v>
          </cell>
          <cell r="AC168">
            <v>1.5</v>
          </cell>
          <cell r="AD168" t="str">
            <v>3-4</v>
          </cell>
          <cell r="AE168">
            <v>95</v>
          </cell>
          <cell r="AF168">
            <v>2</v>
          </cell>
          <cell r="AG168">
            <v>750</v>
          </cell>
          <cell r="AH168">
            <v>3582810578315</v>
          </cell>
          <cell r="AI168" t="str">
            <v>/</v>
          </cell>
          <cell r="AJ168" t="str">
            <v>INTERNE</v>
          </cell>
          <cell r="AK168" t="str">
            <v>INTERNE</v>
          </cell>
          <cell r="AL168" t="str">
            <v>/</v>
          </cell>
          <cell r="AM168" t="str">
            <v>Création maison</v>
          </cell>
        </row>
        <row r="169">
          <cell r="A169" t="str">
            <v>TM7832</v>
          </cell>
          <cell r="B169"/>
          <cell r="C169" t="str">
            <v>X</v>
          </cell>
          <cell r="D169" t="str">
            <v>x</v>
          </cell>
          <cell r="E169" t="str">
            <v>x</v>
          </cell>
          <cell r="F169" t="str">
            <v>GRAI</v>
          </cell>
          <cell r="G169">
            <v>45383</v>
          </cell>
          <cell r="H169" t="str">
            <v>LES GRANDS CLASSIQUES</v>
          </cell>
          <cell r="I169"/>
          <cell r="J169" t="str">
            <v>English Breakfast</v>
          </cell>
          <cell r="K169" t="str">
            <v>/</v>
          </cell>
          <cell r="L169" t="str">
            <v>Thé noir</v>
          </cell>
          <cell r="M169" t="str">
            <v xml:space="preserve">Inde </v>
          </cell>
          <cell r="N169" t="str">
            <v>AB</v>
          </cell>
          <cell r="O169" t="str">
            <v>WFTO</v>
          </cell>
          <cell r="P169" t="str">
            <v>D</v>
          </cell>
          <cell r="Q169" t="str">
            <v>/</v>
          </cell>
          <cell r="R169" t="str">
            <v>/</v>
          </cell>
          <cell r="S169" t="str">
            <v>/</v>
          </cell>
          <cell r="T169" t="str">
            <v>Agriculture Inde</v>
          </cell>
          <cell r="U169"/>
          <cell r="V169" t="str">
            <v>Une sélection rigoureuse de broken donne à ce thé un arôme et une saveur corsée et épicée, relevés par une fine note d’amertume typiquement britannique. Se déguste avec un nuage de lait ou de crème. Idéal pour le petit déjeuner, c'est également une boisson tonifiante pour toute la matinée.</v>
          </cell>
          <cell r="W169"/>
          <cell r="X169" t="str">
            <v>Fruit d’une sélection rigoureuse de broken (feuilles brisées), ce thé noir idéal pour le petit déjeuner offre une infusion aromatique à la fois corsée et épicée, accompagnée par une pointe d’amertume typiquement britannique. Se déguste volontiers avec un nuage de lait ou de crème.</v>
          </cell>
          <cell r="Y169"/>
          <cell r="Z169" t="str">
            <v xml:space="preserve">Ingrédient : thé noir**. **Issu de l'agriculture biologique et biodynamique. demeter est la marque des produits issus de l'agriculture biodynamique certifiée. </v>
          </cell>
          <cell r="AA169" t="str">
            <v>/</v>
          </cell>
          <cell r="AB169" t="str">
            <v>Membre certifié World Fair Trade Organization, Les Jardins de Gaïa s’engagent pour un commerce plus juste et répondent aux exigences du commerce équitable. Pour en savoir plus : www.wfto.com.</v>
          </cell>
          <cell r="AC169">
            <v>100</v>
          </cell>
          <cell r="AD169" t="str">
            <v>3-4</v>
          </cell>
          <cell r="AE169">
            <v>95</v>
          </cell>
          <cell r="AF169">
            <v>2</v>
          </cell>
          <cell r="AG169">
            <v>50</v>
          </cell>
          <cell r="AH169">
            <v>3582810578322</v>
          </cell>
          <cell r="AI169" t="str">
            <v>/</v>
          </cell>
          <cell r="AJ169" t="str">
            <v>ETNM783</v>
          </cell>
          <cell r="AK169" t="str">
            <v>ETNM783V5</v>
          </cell>
          <cell r="AL169" t="str">
            <v>ETCNM7832V5</v>
          </cell>
          <cell r="AM169" t="str">
            <v>Blend of Putharjhora and Selimbong</v>
          </cell>
        </row>
        <row r="170">
          <cell r="A170" t="str">
            <v>TUNM7832</v>
          </cell>
          <cell r="B170"/>
          <cell r="C170"/>
          <cell r="D170"/>
          <cell r="E170"/>
          <cell r="F170"/>
          <cell r="G170"/>
          <cell r="H170" t="str">
            <v>LES GRANDS CLASSIQUES</v>
          </cell>
          <cell r="I170"/>
          <cell r="J170" t="str">
            <v>English Breakfast</v>
          </cell>
          <cell r="K170" t="str">
            <v>/</v>
          </cell>
          <cell r="L170" t="str">
            <v>Thé noir</v>
          </cell>
          <cell r="M170" t="str">
            <v xml:space="preserve">Inde </v>
          </cell>
          <cell r="N170" t="str">
            <v>AB</v>
          </cell>
          <cell r="O170" t="str">
            <v>WFTO</v>
          </cell>
          <cell r="P170" t="str">
            <v>D</v>
          </cell>
          <cell r="Q170" t="str">
            <v>/</v>
          </cell>
          <cell r="R170" t="str">
            <v>/</v>
          </cell>
          <cell r="S170" t="str">
            <v>/</v>
          </cell>
          <cell r="T170" t="str">
            <v>Agriculture Inde</v>
          </cell>
          <cell r="U170"/>
          <cell r="V170" t="str">
            <v>Une sélection rigoureuse de broken donne à ce thé un arôme et une saveur corsée et épicée, relevés par une fine note d’amertume typiquement britannique. Se déguste avec un nuage de lait ou de crème. Idéal pour le petit déjeuner, c'est également une boisson tonifiante pour toute la matinée.</v>
          </cell>
          <cell r="W170"/>
          <cell r="X170" t="str">
            <v>Fruit d’une sélection rigoureuse de broken (feuilles brisées), ce thé noir idéal pour le petit déjeuner offre une infusion aromatique à la fois corsée et épicée, accompagnée par une pointe d’amertume typiquement britannique. Se déguste volontiers avec un nuage de lait ou de crème.</v>
          </cell>
          <cell r="Y170"/>
          <cell r="Z170" t="str">
            <v xml:space="preserve">Ingrédient : thé noir**. **Issu de l'agriculture biologique et biodynamique. demeter est la marque des produits issus de l'agriculture biodynamique certifiée. </v>
          </cell>
          <cell r="AA170" t="str">
            <v>/</v>
          </cell>
          <cell r="AB170" t="str">
            <v>Membre certifié World Fair Trade Organization, Les Jardins de Gaïa s’engagent pour un commerce plus juste et répondent aux exigences du commerce équitable. Pour en savoir plus : www.wfto.com.</v>
          </cell>
          <cell r="AC170">
            <v>100</v>
          </cell>
          <cell r="AD170" t="str">
            <v>3-4</v>
          </cell>
          <cell r="AE170">
            <v>95</v>
          </cell>
          <cell r="AF170">
            <v>2</v>
          </cell>
          <cell r="AG170">
            <v>50</v>
          </cell>
          <cell r="AH170">
            <v>3582815678324</v>
          </cell>
          <cell r="AI170" t="str">
            <v>/</v>
          </cell>
          <cell r="AJ170" t="str">
            <v>ETTUTM7832V5</v>
          </cell>
          <cell r="AK170" t="str">
            <v>ETTUTM7832V5</v>
          </cell>
          <cell r="AL170" t="str">
            <v>/</v>
          </cell>
          <cell r="AM170" t="str">
            <v xml:space="preserve">Putharjhora </v>
          </cell>
        </row>
        <row r="171">
          <cell r="A171" t="str">
            <v>TA7431</v>
          </cell>
          <cell r="B171"/>
          <cell r="C171"/>
          <cell r="D171"/>
          <cell r="E171"/>
          <cell r="F171"/>
          <cell r="G171"/>
          <cell r="H171" t="str">
            <v>LES ENGAGÉS</v>
          </cell>
          <cell r="I171" t="str">
            <v>AGIR POUR LA NATURE</v>
          </cell>
          <cell r="J171" t="str">
            <v>Entre ciel et terre</v>
          </cell>
          <cell r="K171" t="str">
            <v>Épices - Huile essentielle de bergamote</v>
          </cell>
          <cell r="L171" t="str">
            <v>Thé noir aromatisé</v>
          </cell>
          <cell r="M171" t="str">
            <v>Inde</v>
          </cell>
          <cell r="N171" t="str">
            <v>AB</v>
          </cell>
          <cell r="O171" t="str">
            <v>WFTO</v>
          </cell>
          <cell r="P171" t="str">
            <v>/</v>
          </cell>
          <cell r="Q171" t="str">
            <v>/</v>
          </cell>
          <cell r="R171" t="str">
            <v>/</v>
          </cell>
          <cell r="S171" t="str">
            <v>/</v>
          </cell>
          <cell r="T171" t="str">
            <v>Agriculture UE/non UE</v>
          </cell>
          <cell r="U171"/>
          <cell r="V171" t="str">
            <v>Union harmonieuse du thé noir et des épices, soulignée d’une jolie note de bergamote, cette composition particulièrement aromatique est un hymne à l’agriculture biodynamique, mode de culture qui élève plantes et hommes en parfaite harmonie. Pour un moment privilégié entre ciel et terre…</v>
          </cell>
          <cell r="W171" t="str">
            <v>S22</v>
          </cell>
          <cell r="X171" t="str">
            <v>Union harmonieuse du thé noir et des épices, soulignée d’une jolie note de bergamote, cette composition particulièrement aromatique est un hymne à l’agriculture biodynamique, mode de culture qui élève plantes et hommes en parfaite harmonie. Pour un moment privilégié entre ciel et terre…</v>
          </cell>
          <cell r="Y171" t="str">
            <v>L’association Biodynamie Recherche a pour but de promouvoir le respect et la protection de l’environnement par l’agriculture biodynamique. biodynamie-recherche.org</v>
          </cell>
          <cell r="Z171" t="str">
            <v xml:space="preserve">Ingrédients : thé noir**, épices 28% (cannelle*, gingembre*, clous de girofle*, poivre noir*, cardamome*), huile essentielle de bergamote* 2%, pétales de souci*, pétales de bleuet*. *Issu de l’agriculture biologique. **Issu de l’agriculture biologique et biodynamique. </v>
          </cell>
          <cell r="AA171" t="str">
            <v>/</v>
          </cell>
          <cell r="AB171" t="str">
            <v>Membre certifié World Fair Trade Organization, Les Jardins de Gaïa s’engagent pour un commerce plus juste et répondent aux exigences du commerce équitable. Pour en savoir plus : www.wfto.com.</v>
          </cell>
          <cell r="AC171">
            <v>1.5</v>
          </cell>
          <cell r="AD171" t="str">
            <v>3</v>
          </cell>
          <cell r="AE171">
            <v>90</v>
          </cell>
          <cell r="AF171">
            <v>2</v>
          </cell>
          <cell r="AG171">
            <v>750</v>
          </cell>
          <cell r="AH171">
            <v>3582810274316</v>
          </cell>
          <cell r="AI171" t="str">
            <v>/</v>
          </cell>
          <cell r="AJ171" t="str">
            <v>INTERNE</v>
          </cell>
          <cell r="AK171" t="str">
            <v>INTERNE</v>
          </cell>
          <cell r="AL171" t="str">
            <v>/</v>
          </cell>
          <cell r="AM171" t="str">
            <v>Création maison</v>
          </cell>
        </row>
        <row r="172">
          <cell r="A172" t="str">
            <v>TA7432</v>
          </cell>
          <cell r="B172"/>
          <cell r="C172"/>
          <cell r="D172"/>
          <cell r="E172"/>
          <cell r="F172"/>
          <cell r="G172"/>
          <cell r="H172" t="str">
            <v>LES ENGAGÉS</v>
          </cell>
          <cell r="I172" t="str">
            <v>AGIR POUR LA NATURE</v>
          </cell>
          <cell r="J172" t="str">
            <v>Entre ciel et terre</v>
          </cell>
          <cell r="K172" t="str">
            <v>Épices - Huile essentielle de bergamote</v>
          </cell>
          <cell r="L172" t="str">
            <v>Thé noir aromatisé</v>
          </cell>
          <cell r="M172" t="str">
            <v>Inde</v>
          </cell>
          <cell r="N172" t="str">
            <v>AB</v>
          </cell>
          <cell r="O172" t="str">
            <v>WFTO</v>
          </cell>
          <cell r="P172" t="str">
            <v>/</v>
          </cell>
          <cell r="Q172" t="str">
            <v>/</v>
          </cell>
          <cell r="R172" t="str">
            <v>/</v>
          </cell>
          <cell r="S172" t="str">
            <v>/</v>
          </cell>
          <cell r="T172" t="str">
            <v>Agriculture UE/non UE</v>
          </cell>
          <cell r="U172"/>
          <cell r="V172" t="str">
            <v>Union harmonieuse du thé noir et des épices, soulignée d’une jolie note de bergamote, cette composition particulièrement aromatique est un hymne à l’agriculture biodynamique, mode de culture qui élève plantes et hommes en parfaite harmonie. Pour un moment privilégié entre ciel et terre…</v>
          </cell>
          <cell r="W172" t="str">
            <v>S22</v>
          </cell>
          <cell r="X172" t="str">
            <v>Union harmonieuse du thé noir et des épices, soulignée d’une jolie note de bergamote, cette composition particulièrement aromatique est un hymne à l’agriculture biodynamique, mode de culture qui élève plantes et hommes en parfaite harmonie. Pour un moment privilégié entre ciel et terre…</v>
          </cell>
          <cell r="Y172" t="str">
            <v>L’association Biodynamie Recherche a pour but de promouvoir le respect et la protection de l’environnement par l’agriculture biodynamique. biodynamie-recherche.org</v>
          </cell>
          <cell r="Z172" t="str">
            <v xml:space="preserve">Ingrédients : thé noir**, épices 28% (cannelle*, gingembre*, clous de girofle*, poivre noir*, cardamome*), huile essentielle de bergamote* 2%, pétales de souci*, pétales de bleuet*. *Issu de l’agriculture biologique. **Issu de l’agriculture biologique et biodynamique. </v>
          </cell>
          <cell r="AA172" t="str">
            <v>/</v>
          </cell>
          <cell r="AB172" t="str">
            <v>Membre certifié World Fair Trade Organization, Les Jardins de Gaïa s’engagent pour un commerce plus juste et répondent aux exigences du commerce équitable. Pour en savoir plus : www.wfto.com.</v>
          </cell>
          <cell r="AC172">
            <v>100</v>
          </cell>
          <cell r="AD172" t="str">
            <v>3</v>
          </cell>
          <cell r="AE172">
            <v>90</v>
          </cell>
          <cell r="AF172">
            <v>2</v>
          </cell>
          <cell r="AG172">
            <v>50</v>
          </cell>
          <cell r="AH172">
            <v>3582810274323</v>
          </cell>
          <cell r="AI172" t="str">
            <v>/</v>
          </cell>
          <cell r="AJ172" t="str">
            <v>ETNA743</v>
          </cell>
          <cell r="AK172" t="str">
            <v>ETNA743V5</v>
          </cell>
          <cell r="AL172" t="str">
            <v>ETCNA7432V5</v>
          </cell>
          <cell r="AM172" t="str">
            <v>Création maison</v>
          </cell>
        </row>
        <row r="173">
          <cell r="A173" t="str">
            <v>TM1627</v>
          </cell>
          <cell r="B173"/>
          <cell r="C173"/>
          <cell r="D173"/>
          <cell r="E173"/>
          <cell r="F173"/>
          <cell r="G173"/>
          <cell r="H173" t="str">
            <v>LES GRANDS CLASSIQUES</v>
          </cell>
          <cell r="I173"/>
          <cell r="J173" t="str">
            <v>Épices de Noël</v>
          </cell>
          <cell r="K173" t="str">
            <v>Recette alsacienne</v>
          </cell>
          <cell r="L173" t="str">
            <v>Mélange d'épices</v>
          </cell>
          <cell r="M173" t="str">
            <v>Inde - Sri Lanka</v>
          </cell>
          <cell r="N173" t="str">
            <v>AB</v>
          </cell>
          <cell r="O173" t="str">
            <v>/</v>
          </cell>
          <cell r="P173" t="str">
            <v>/</v>
          </cell>
          <cell r="Q173" t="str">
            <v>/</v>
          </cell>
          <cell r="R173" t="str">
            <v>/</v>
          </cell>
          <cell r="S173" t="str">
            <v>/</v>
          </cell>
          <cell r="T173" t="str">
            <v>Agriculture non UE</v>
          </cell>
          <cell r="U173"/>
          <cell r="V173" t="str">
            <v>Mélange pain d’épices, biscuits, pâtisseries, petits gâteaux, compotes, plats mijotés...</v>
          </cell>
          <cell r="W173" t="str">
            <v>S24</v>
          </cell>
          <cell r="X173" t="str">
            <v>Ce mélange d’épices est indispensable pour cuisiner dans l’esprit de Noël ! Associant la cannelle et des cinq épices traditionnelles, il permet de rendre savoureux et uniques vos gâteaux de Noël, « bredele » et pains d’épices, mais aussi de revisiter vos pains perdus ou innover dans les plats mijotés.</v>
          </cell>
          <cell r="Y173"/>
          <cell r="Z173" t="str">
            <v>Ingrédients : cannelle*, gingembre*, coriandre*, anis*, cardamome*, girofle*. *Issu de l’agriculture biologique.</v>
          </cell>
          <cell r="AA173" t="str">
            <v>/</v>
          </cell>
          <cell r="AB173" t="str">
            <v>/</v>
          </cell>
          <cell r="AC173">
            <v>35</v>
          </cell>
          <cell r="AD173" t="str">
            <v>/</v>
          </cell>
          <cell r="AE173" t="str">
            <v>/</v>
          </cell>
          <cell r="AF173" t="str">
            <v>/</v>
          </cell>
          <cell r="AG173" t="str">
            <v>/</v>
          </cell>
          <cell r="AH173">
            <v>3582811716273</v>
          </cell>
          <cell r="AI173" t="str">
            <v>/</v>
          </cell>
          <cell r="AJ173" t="str">
            <v>ET00220</v>
          </cell>
          <cell r="AK173" t="str">
            <v>ET00220V5</v>
          </cell>
          <cell r="AL173" t="str">
            <v>/</v>
          </cell>
          <cell r="AM173" t="str">
            <v>Création maison</v>
          </cell>
        </row>
        <row r="174">
          <cell r="A174" t="str">
            <v>TM1611</v>
          </cell>
          <cell r="B174"/>
          <cell r="C174"/>
          <cell r="D174"/>
          <cell r="E174"/>
          <cell r="F174"/>
          <cell r="G174"/>
          <cell r="H174" t="str">
            <v>LES GRANDS CLASSIQUES</v>
          </cell>
          <cell r="I174" t="str">
            <v>LES INFUSIONS DE PLANTES</v>
          </cell>
          <cell r="J174" t="str">
            <v>Épices vin chaud</v>
          </cell>
          <cell r="K174" t="str">
            <v>Recette alsacienne</v>
          </cell>
          <cell r="L174" t="str">
            <v>Infusion d'épices</v>
          </cell>
          <cell r="M174" t="str">
            <v>?</v>
          </cell>
          <cell r="N174" t="str">
            <v>AB</v>
          </cell>
          <cell r="O174" t="str">
            <v>/</v>
          </cell>
          <cell r="P174" t="str">
            <v>/</v>
          </cell>
          <cell r="Q174" t="str">
            <v>/</v>
          </cell>
          <cell r="R174" t="str">
            <v>/</v>
          </cell>
          <cell r="S174" t="str">
            <v>/</v>
          </cell>
          <cell r="T174" t="str">
            <v>Agriculture non UE</v>
          </cell>
          <cell r="U174"/>
          <cell r="V174" t="str">
            <v>Élaboré d'après une recette originelle d’Alsace, ce savoureux mélange d'épices accommode harmonieusement le vin chaud, le cidre, les jus ou les tisanes de fruits. D'un goût riche, chaud au palais, ce breuvage réchauffera les plus frileux.</v>
          </cell>
          <cell r="W174" t="str">
            <v>S27</v>
          </cell>
          <cell r="X174" t="str">
            <v>Élaboré d'après une recette originelle d’Alsace, ce savoureux mélange d'épices accommode harmonieusement le vin chaud, le cidre, les jus ou les tisanes de fruits. Réconfortant, riche en saveurs, il fleure bon les marchés de Noël et a le pouvoir de réchauffer même les plus frileux.</v>
          </cell>
          <cell r="Y174"/>
          <cell r="Z174" t="str">
            <v xml:space="preserve">Ingrédients : cynorhodon*, cannelle*, écorces d'orange*, gingembre*, clous de girofle*, poivre noir*, cardamome*. *Issu de l’agriculture biologique. </v>
          </cell>
          <cell r="AA174" t="str">
            <v>/</v>
          </cell>
          <cell r="AB174" t="str">
            <v>/</v>
          </cell>
          <cell r="AC174">
            <v>1.5</v>
          </cell>
          <cell r="AD174" t="str">
            <v>15</v>
          </cell>
          <cell r="AE174">
            <v>95</v>
          </cell>
          <cell r="AF174">
            <v>2</v>
          </cell>
          <cell r="AG174">
            <v>750</v>
          </cell>
          <cell r="AH174">
            <v>3582811716112</v>
          </cell>
          <cell r="AI174" t="str">
            <v>/</v>
          </cell>
          <cell r="AJ174" t="str">
            <v>INTERNE</v>
          </cell>
          <cell r="AK174" t="str">
            <v>INTERNE</v>
          </cell>
          <cell r="AL174" t="str">
            <v>/</v>
          </cell>
          <cell r="AM174" t="str">
            <v>Création maison</v>
          </cell>
        </row>
        <row r="175">
          <cell r="A175" t="str">
            <v>TM1612</v>
          </cell>
          <cell r="B175"/>
          <cell r="C175"/>
          <cell r="D175"/>
          <cell r="E175"/>
          <cell r="F175"/>
          <cell r="G175"/>
          <cell r="H175" t="str">
            <v>LES GRANDS CLASSIQUES</v>
          </cell>
          <cell r="I175" t="str">
            <v>LES INFUSIONS DE PLANTES</v>
          </cell>
          <cell r="J175" t="str">
            <v>Épices vin chaud</v>
          </cell>
          <cell r="K175" t="str">
            <v>Recette alsacienne</v>
          </cell>
          <cell r="L175" t="str">
            <v>Infusion d'épices</v>
          </cell>
          <cell r="M175" t="str">
            <v>?</v>
          </cell>
          <cell r="N175" t="str">
            <v>AB</v>
          </cell>
          <cell r="O175" t="str">
            <v>/</v>
          </cell>
          <cell r="P175" t="str">
            <v>/</v>
          </cell>
          <cell r="Q175" t="str">
            <v>/</v>
          </cell>
          <cell r="R175" t="str">
            <v>/</v>
          </cell>
          <cell r="S175" t="str">
            <v>/</v>
          </cell>
          <cell r="T175" t="str">
            <v>Agriculture non UE</v>
          </cell>
          <cell r="U175"/>
          <cell r="V175" t="str">
            <v>Élaboré d'après une recette originelle d’Alsace, ce savoureux mélange d'épices accommode harmonieusement le vin chaud, le cidre, les jus ou les tisanes de fruits. D'un goût riche, chaud au palais, ce breuvage réchauffera les plus frileux.</v>
          </cell>
          <cell r="W175" t="str">
            <v>S24</v>
          </cell>
          <cell r="X175" t="str">
            <v>Élaboré d'après une recette originelle d’Alsace, ce savoureux mélange d'épices accommode harmonieusement le vin chaud, le cidre, les jus ou les tisanes de fruits. Réconfortant, riche en saveurs, il fleure bon les marchés de Noël et a le pouvoir de réchauffer même les plus frileux.</v>
          </cell>
          <cell r="Y175"/>
          <cell r="Z175" t="str">
            <v xml:space="preserve">Ingrédients : cynorhodon*, cannelle*, écorces d'orange*, gingembre*, clous de girofle*, poivre noir*, cardamome*. *Issu de l’agriculture biologique. </v>
          </cell>
          <cell r="AA175" t="str">
            <v>/</v>
          </cell>
          <cell r="AB175" t="str">
            <v>/</v>
          </cell>
          <cell r="AC175">
            <v>100</v>
          </cell>
          <cell r="AD175" t="str">
            <v>15</v>
          </cell>
          <cell r="AE175">
            <v>95</v>
          </cell>
          <cell r="AF175">
            <v>2</v>
          </cell>
          <cell r="AG175">
            <v>50</v>
          </cell>
          <cell r="AH175">
            <v>3582811716129</v>
          </cell>
          <cell r="AI175" t="str">
            <v>/</v>
          </cell>
          <cell r="AJ175" t="str">
            <v>ETTM161</v>
          </cell>
          <cell r="AK175" t="str">
            <v>ETTM161V5</v>
          </cell>
          <cell r="AL175" t="str">
            <v>ETCTM1612V5N</v>
          </cell>
          <cell r="AM175" t="str">
            <v>Création maison</v>
          </cell>
        </row>
        <row r="176">
          <cell r="A176" t="str">
            <v>TM1612</v>
          </cell>
          <cell r="B176"/>
          <cell r="C176"/>
          <cell r="D176"/>
          <cell r="E176"/>
          <cell r="F176"/>
          <cell r="G176"/>
          <cell r="H176" t="str">
            <v>LES GRANDS CLASSIQUES</v>
          </cell>
          <cell r="I176" t="str">
            <v>LES INFUSIONS DE PLANTES</v>
          </cell>
          <cell r="J176" t="str">
            <v>Épices vin chaud</v>
          </cell>
          <cell r="K176" t="str">
            <v>Recette alsacienne</v>
          </cell>
          <cell r="L176" t="str">
            <v>Infusion d'épices</v>
          </cell>
          <cell r="M176" t="str">
            <v>?</v>
          </cell>
          <cell r="N176" t="str">
            <v>AB</v>
          </cell>
          <cell r="O176" t="str">
            <v>/</v>
          </cell>
          <cell r="P176" t="str">
            <v>/</v>
          </cell>
          <cell r="Q176" t="str">
            <v>/</v>
          </cell>
          <cell r="R176" t="str">
            <v>/</v>
          </cell>
          <cell r="S176" t="str">
            <v>/</v>
          </cell>
          <cell r="T176" t="str">
            <v>Agriculture non UE</v>
          </cell>
          <cell r="U176"/>
          <cell r="V176" t="str">
            <v>Élaboré d'après une recette originelle d’Alsace, ce savoureux mélange d'épices accommode harmonieusement le vin chaud, le cidre, les jus ou les tisanes de fruits. D'un goût riche, chaud au palais, ce breuvage réchauffera les plus frileux.</v>
          </cell>
          <cell r="W176" t="str">
            <v>S24</v>
          </cell>
          <cell r="X176" t="str">
            <v>Élaboré d'après une recette originelle d’Alsace, ce savoureux mélange d'épices accommode harmonieusement le vin chaud, le cidre, les jus ou les tisanes de fruits. Réconfortant, riche en saveurs, il fleure bon les marchés de Noël et a le pouvoir de réchauffer même les plus frileux.</v>
          </cell>
          <cell r="Y176"/>
          <cell r="Z176" t="str">
            <v xml:space="preserve">Ingrédients : cynorhodon*, cannelle*, écorces d'orange*, gingembre*, clous de girofle*, poivre noir*, cardamome*. *Issu de l’agriculture biologique. </v>
          </cell>
          <cell r="AA176" t="str">
            <v>/</v>
          </cell>
          <cell r="AB176" t="str">
            <v>/</v>
          </cell>
          <cell r="AC176">
            <v>100</v>
          </cell>
          <cell r="AD176" t="str">
            <v>15</v>
          </cell>
          <cell r="AE176">
            <v>95</v>
          </cell>
          <cell r="AF176">
            <v>2</v>
          </cell>
          <cell r="AG176">
            <v>50</v>
          </cell>
          <cell r="AH176">
            <v>3582811716129</v>
          </cell>
          <cell r="AI176" t="str">
            <v>/</v>
          </cell>
          <cell r="AJ176" t="str">
            <v>ETTM161V5N</v>
          </cell>
          <cell r="AK176" t="str">
            <v>ETTM161V5N</v>
          </cell>
          <cell r="AL176" t="str">
            <v>ETCTM1612V5N</v>
          </cell>
          <cell r="AM176" t="str">
            <v>Création maison</v>
          </cell>
        </row>
        <row r="177">
          <cell r="A177" t="str">
            <v>TA8401</v>
          </cell>
          <cell r="B177"/>
          <cell r="C177"/>
          <cell r="D177"/>
          <cell r="E177"/>
          <cell r="F177"/>
          <cell r="G177"/>
          <cell r="H177" t="str">
            <v>LES GRANDS CLASSIQUES</v>
          </cell>
          <cell r="I177"/>
          <cell r="J177" t="str">
            <v>Escapade orientale</v>
          </cell>
          <cell r="K177" t="str">
            <v>Grenade - Fleurs de sureau</v>
          </cell>
          <cell r="L177" t="str">
            <v>Thé vert aromatisé</v>
          </cell>
          <cell r="M177" t="str">
            <v>Chine</v>
          </cell>
          <cell r="N177" t="str">
            <v>AB</v>
          </cell>
          <cell r="O177" t="str">
            <v>WFTO</v>
          </cell>
          <cell r="P177" t="str">
            <v>/</v>
          </cell>
          <cell r="Q177" t="str">
            <v>/</v>
          </cell>
          <cell r="R177" t="str">
            <v>/</v>
          </cell>
          <cell r="S177" t="str">
            <v>/</v>
          </cell>
          <cell r="T177" t="str">
            <v>Agriculture UE/non UE</v>
          </cell>
          <cell r="U177"/>
          <cell r="V177" t="str">
            <v>Thé vert d’une agréable plénitude qui, mêlé à une association de fruits divins, vous emporte au cœur d’un Orient sensuel et enveloppant…</v>
          </cell>
          <cell r="W177" t="str">
            <v>S27</v>
          </cell>
          <cell r="X177" t="str">
            <v>Sur sa base de thé vert, cette recette d’une agréable plénitude offre un dialogue intensément gourmand entre les saveurs fruitées de la grenade et les notes douces et florales de la fleur de sureau. A déguster tendrement pour se laisser emporter au cœur d’un Orient sensuel et enveloppant.</v>
          </cell>
          <cell r="Y177"/>
          <cell r="Z177" t="str">
            <v>Ingrédients : thé vert*, arômes naturels de (grenade*, fleur de sureau*) 7%, écorces de grenade* 3%, pétales de rose*, fleurs de sureau* 0,5%. *Issu de l'agriculture biologique.</v>
          </cell>
          <cell r="AA177" t="str">
            <v>/</v>
          </cell>
          <cell r="AB177" t="str">
            <v>Membre certifié World Fair Trade Organization, Les Jardins de Gaïa s’engagent pour un commerce plus juste et répondent aux exigences du commerce équitable. Pour en savoir plus : www.wfto.com.</v>
          </cell>
          <cell r="AC177">
            <v>1.5</v>
          </cell>
          <cell r="AD177" t="str">
            <v>3</v>
          </cell>
          <cell r="AE177">
            <v>75</v>
          </cell>
          <cell r="AF177">
            <v>2</v>
          </cell>
          <cell r="AG177">
            <v>750</v>
          </cell>
          <cell r="AH177">
            <v>3582810384015</v>
          </cell>
          <cell r="AI177" t="str">
            <v>/</v>
          </cell>
          <cell r="AJ177" t="str">
            <v>INTERNE</v>
          </cell>
          <cell r="AK177" t="str">
            <v>INTERNE</v>
          </cell>
          <cell r="AL177" t="str">
            <v>/</v>
          </cell>
          <cell r="AM177" t="str">
            <v>Création maison</v>
          </cell>
        </row>
        <row r="178">
          <cell r="A178" t="str">
            <v>TA8402</v>
          </cell>
          <cell r="B178"/>
          <cell r="C178"/>
          <cell r="D178"/>
          <cell r="E178"/>
          <cell r="F178"/>
          <cell r="G178"/>
          <cell r="H178" t="str">
            <v>LES GRANDS CLASSIQUES</v>
          </cell>
          <cell r="I178"/>
          <cell r="J178" t="str">
            <v>Escapade orientale</v>
          </cell>
          <cell r="K178" t="str">
            <v>Grenade - Fleurs de sureau</v>
          </cell>
          <cell r="L178" t="str">
            <v>Thé vert aromatisé</v>
          </cell>
          <cell r="M178" t="str">
            <v>Chine</v>
          </cell>
          <cell r="N178" t="str">
            <v>AB</v>
          </cell>
          <cell r="O178" t="str">
            <v>WFTO</v>
          </cell>
          <cell r="P178" t="str">
            <v>/</v>
          </cell>
          <cell r="Q178" t="str">
            <v>/</v>
          </cell>
          <cell r="R178" t="str">
            <v>/</v>
          </cell>
          <cell r="S178" t="str">
            <v>/</v>
          </cell>
          <cell r="T178" t="str">
            <v>Agriculture UE/non UE</v>
          </cell>
          <cell r="U178"/>
          <cell r="V178" t="str">
            <v>Thé vert d’une agréable plénitude qui, mêlé à une association de fruits divins, vous emporte au cœur d’un Orient sensuel et enveloppant…</v>
          </cell>
          <cell r="W178" t="str">
            <v>S24</v>
          </cell>
          <cell r="X178" t="str">
            <v>Sur sa base de thé vert, cette recette d’une agréable plénitude offre un dialogue intensément gourmand entre les saveurs fruitées de la grenade et les notes douces et florales de la fleur de sureau. A déguster tendrement pour se laisser emporter au cœur d’un Orient sensuel et enveloppant.</v>
          </cell>
          <cell r="Y178"/>
          <cell r="Z178" t="str">
            <v>Ingrédients : thé vert*, arômes naturels de (grenade*, fleur de sureau*) 7%, écorces de grenade* 3%, pétales de rose*, fleurs de sureau* 0,5%. *Issu de l'agriculture biologique.</v>
          </cell>
          <cell r="AA178" t="str">
            <v>/</v>
          </cell>
          <cell r="AB178" t="str">
            <v>Membre certifié World Fair Trade Organization, Les Jardins de Gaïa s’engagent pour un commerce plus juste et répondent aux exigences du commerce équitable. Pour en savoir plus : www.wfto.com.</v>
          </cell>
          <cell r="AC178">
            <v>100</v>
          </cell>
          <cell r="AD178" t="str">
            <v>3</v>
          </cell>
          <cell r="AE178">
            <v>75</v>
          </cell>
          <cell r="AF178">
            <v>2</v>
          </cell>
          <cell r="AG178">
            <v>50</v>
          </cell>
          <cell r="AH178">
            <v>3582810384022</v>
          </cell>
          <cell r="AI178" t="str">
            <v>/</v>
          </cell>
          <cell r="AJ178" t="str">
            <v>ETVA840V5</v>
          </cell>
          <cell r="AK178" t="str">
            <v>ETVA840V5</v>
          </cell>
          <cell r="AL178" t="str">
            <v>ETCVA8402V5</v>
          </cell>
          <cell r="AM178" t="str">
            <v>Création maison</v>
          </cell>
        </row>
        <row r="179">
          <cell r="A179" t="str">
            <v>TM6901</v>
          </cell>
          <cell r="B179"/>
          <cell r="C179"/>
          <cell r="D179"/>
          <cell r="E179"/>
          <cell r="F179"/>
          <cell r="G179"/>
          <cell r="H179" t="str">
            <v>LES GRANDS CLASSIQUES</v>
          </cell>
          <cell r="I179"/>
          <cell r="J179" t="str">
            <v>Esprit d'hiver</v>
          </cell>
          <cell r="K179" t="str">
            <v>Épices masala - Hibiscus</v>
          </cell>
          <cell r="L179" t="str">
            <v>Thé vert parfumé</v>
          </cell>
          <cell r="M179" t="str">
            <v>Chine - Inde</v>
          </cell>
          <cell r="N179" t="str">
            <v>AB</v>
          </cell>
          <cell r="O179" t="str">
            <v>WFTO</v>
          </cell>
          <cell r="P179" t="str">
            <v>/</v>
          </cell>
          <cell r="Q179" t="str">
            <v>/</v>
          </cell>
          <cell r="R179" t="str">
            <v>/</v>
          </cell>
          <cell r="S179" t="str">
            <v>/</v>
          </cell>
          <cell r="T179" t="str">
            <v>Agriculture UE/non UE</v>
          </cell>
          <cell r="U179"/>
          <cell r="V179" t="str">
            <v>Séduisant mélange d’un thé vert vigoureux aux arômes riches souligné par une note subtile d’épices nobles, additionné de petits morceaux de fruits. Envoûtant et chaleureux.</v>
          </cell>
          <cell r="W179" t="str">
            <v>S27</v>
          </cell>
          <cell r="X179" t="str">
            <v>Belle à croquer avec ses petits morceaux de fruits, cette composition réconfortante à base de thé vert est un condensé d’esprit d’hiver et d’envie de réconfort… A chaque gorgée, les arômes riches des épices soulignés par une jolie touche acidulée d’hibiscus se révèlent plus envoûtants et chaleureux.</v>
          </cell>
          <cell r="Y179"/>
          <cell r="Z179" t="str">
            <v xml:space="preserve">Ingrédients : thé vert*, épices (cannelle*, poivre noir*, gingembre*, clous de girofle*, cardamome*) 36%, morceaux de pomme*, hibiscus* 3%, fleurs de sureau*. *Issu de l'agriculture biologique. </v>
          </cell>
          <cell r="AA179" t="str">
            <v>/</v>
          </cell>
          <cell r="AB179" t="str">
            <v>Membre certifié World Fair Trade Organization, Les Jardins de Gaïa s’engagent pour un commerce plus juste et répondent aux exigences du commerce équitable. Pour en savoir plus : www.wfto.com.</v>
          </cell>
          <cell r="AC179">
            <v>1.5</v>
          </cell>
          <cell r="AD179" t="str">
            <v>3</v>
          </cell>
          <cell r="AE179">
            <v>75</v>
          </cell>
          <cell r="AF179">
            <v>2</v>
          </cell>
          <cell r="AG179">
            <v>750</v>
          </cell>
          <cell r="AH179">
            <v>3582813569013</v>
          </cell>
          <cell r="AI179" t="str">
            <v>/</v>
          </cell>
          <cell r="AJ179" t="str">
            <v>INTERNE</v>
          </cell>
          <cell r="AK179" t="str">
            <v>INTERNE</v>
          </cell>
          <cell r="AL179" t="str">
            <v>/</v>
          </cell>
          <cell r="AM179" t="str">
            <v>Création maison</v>
          </cell>
        </row>
        <row r="180">
          <cell r="A180" t="str">
            <v>TM6902</v>
          </cell>
          <cell r="B180"/>
          <cell r="C180"/>
          <cell r="D180"/>
          <cell r="E180"/>
          <cell r="F180"/>
          <cell r="G180"/>
          <cell r="H180" t="str">
            <v>LES GRANDS CLASSIQUES</v>
          </cell>
          <cell r="I180"/>
          <cell r="J180" t="str">
            <v>Esprit d'hiver</v>
          </cell>
          <cell r="K180" t="str">
            <v>Épices masala - Hibiscus</v>
          </cell>
          <cell r="L180" t="str">
            <v>Thé vert parfumé</v>
          </cell>
          <cell r="M180" t="str">
            <v>Chine - Inde</v>
          </cell>
          <cell r="N180" t="str">
            <v>AB</v>
          </cell>
          <cell r="O180" t="str">
            <v>WFTO</v>
          </cell>
          <cell r="P180" t="str">
            <v>/</v>
          </cell>
          <cell r="Q180" t="str">
            <v>/</v>
          </cell>
          <cell r="R180" t="str">
            <v>/</v>
          </cell>
          <cell r="S180" t="str">
            <v>/</v>
          </cell>
          <cell r="T180" t="str">
            <v>Agriculture UE/non UE</v>
          </cell>
          <cell r="U180"/>
          <cell r="V180" t="str">
            <v>Séduisant mélange d’un thé vert vigoureux aux arômes riches souligné par une note subtile d’épices nobles, additionné de petits morceaux de fruits. Envoûtant et chaleureux.</v>
          </cell>
          <cell r="W180" t="str">
            <v>S24</v>
          </cell>
          <cell r="X180" t="str">
            <v>Belle à croquer avec ses petits morceaux de fruits, cette composition réconfortante à base de thé vert est un condensé d’esprit d’hiver et d’envie de réconfort… A chaque gorgée, les arômes riches des épices soulignés par une jolie touche acidulée d’hibiscus se révèlent plus envoûtants et chaleureux.</v>
          </cell>
          <cell r="Y180"/>
          <cell r="Z180" t="str">
            <v xml:space="preserve">Ingrédients : thé vert*, épices (cannelle*, poivre noir*, gingembre*, clous de girofle*, cardamome*) 36%, morceaux de pomme*, hibiscus* 3%, fleurs de sureau*. *Issu de l'agriculture biologique. </v>
          </cell>
          <cell r="AA180" t="str">
            <v>/</v>
          </cell>
          <cell r="AB180" t="str">
            <v>Membre certifié World Fair Trade Organization, Les Jardins de Gaïa s’engagent pour un commerce plus juste et répondent aux exigences du commerce équitable. Pour en savoir plus : www.wfto.com.</v>
          </cell>
          <cell r="AC180">
            <v>100</v>
          </cell>
          <cell r="AD180" t="str">
            <v>3</v>
          </cell>
          <cell r="AE180">
            <v>75</v>
          </cell>
          <cell r="AF180">
            <v>2</v>
          </cell>
          <cell r="AG180">
            <v>50</v>
          </cell>
          <cell r="AH180">
            <v>3582813569020</v>
          </cell>
          <cell r="AI180" t="str">
            <v>/</v>
          </cell>
          <cell r="AJ180" t="str">
            <v>ETVM690</v>
          </cell>
          <cell r="AK180" t="str">
            <v>ETVM690V5</v>
          </cell>
          <cell r="AL180" t="str">
            <v>ETCVM6902V5</v>
          </cell>
          <cell r="AM180" t="str">
            <v>Création maison</v>
          </cell>
        </row>
        <row r="181">
          <cell r="A181" t="str">
            <v>TB7195</v>
          </cell>
          <cell r="B181"/>
          <cell r="C181"/>
          <cell r="D181"/>
          <cell r="E181"/>
          <cell r="F181"/>
          <cell r="G181"/>
          <cell r="H181" t="str">
            <v>LES GRAND CRUS</v>
          </cell>
          <cell r="I181"/>
          <cell r="J181" t="str">
            <v>Fairy Tea</v>
          </cell>
          <cell r="K181" t="str">
            <v>Bourgeons de Shan Tuyêt</v>
          </cell>
          <cell r="L181" t="str">
            <v>Thé blanc d'origine</v>
          </cell>
          <cell r="M181" t="str">
            <v>Vietnam - Lào Cai</v>
          </cell>
          <cell r="N181" t="str">
            <v>AB</v>
          </cell>
          <cell r="O181" t="str">
            <v>WFTO</v>
          </cell>
          <cell r="P181" t="str">
            <v>/</v>
          </cell>
          <cell r="Q181" t="str">
            <v>/</v>
          </cell>
          <cell r="R181" t="str">
            <v>/</v>
          </cell>
          <cell r="S181" t="str">
            <v>/</v>
          </cell>
          <cell r="T181" t="str">
            <v>Agriculture Vietnam</v>
          </cell>
          <cell r="U181"/>
          <cell r="V181" t="str">
            <v>Thé blanc rare de bourgeons de Shan Tuyêt. Notes : petit beurre, fruits jaunes, confiseries.</v>
          </cell>
          <cell r="W181" t="str">
            <v>S23</v>
          </cell>
          <cell r="X181" t="str">
            <v>Composé de longs bourgeons au duvet argenté de théiers rares dits "Shan Tuyêt" (Camellia sinensis var. Shan) ce thé blanc est unique. Sa liqueur surprend par une absence totale d'amertume, par sa douceur et ses notes biscuitées et fruitées aussi raffinées que gourmandes.
Texte court : Thé blanc rare de bourgeons de théiers Shan Tuyêt. Notes : petit beurre, fruits jaunes, confiseries.</v>
          </cell>
          <cell r="Y181"/>
          <cell r="Z181" t="str">
            <v xml:space="preserve">Ingrédient : thé blanc*. *Issu de l'agriculture biologique. </v>
          </cell>
          <cell r="AA181" t="str">
            <v>/</v>
          </cell>
          <cell r="AB181" t="str">
            <v>Membre certifié World Fair Trade Organization, Les Jardins de Gaïa s’engagent pour un commerce plus juste et répondent aux exigences du commerce équitable. Pour en savoir plus : www.wfto.com.</v>
          </cell>
          <cell r="AC181">
            <v>500</v>
          </cell>
          <cell r="AD181" t="str">
            <v>4</v>
          </cell>
          <cell r="AE181">
            <v>90</v>
          </cell>
          <cell r="AF181">
            <v>2</v>
          </cell>
          <cell r="AG181">
            <v>250</v>
          </cell>
          <cell r="AH181">
            <v>3582810671955</v>
          </cell>
          <cell r="AI181" t="str">
            <v>Plusieurs infusions</v>
          </cell>
          <cell r="AJ181" t="str">
            <v>INTERNE</v>
          </cell>
          <cell r="AK181" t="str">
            <v>INTERNE</v>
          </cell>
          <cell r="AL181" t="str">
            <v>/</v>
          </cell>
          <cell r="AM181" t="str">
            <v>Coopérative Bản Liền Organic Tea Cooperative</v>
          </cell>
        </row>
        <row r="182">
          <cell r="A182" t="str">
            <v>TB7196</v>
          </cell>
          <cell r="B182"/>
          <cell r="C182"/>
          <cell r="D182"/>
          <cell r="E182"/>
          <cell r="F182"/>
          <cell r="G182"/>
          <cell r="H182" t="str">
            <v>LES GRAND CRUS</v>
          </cell>
          <cell r="I182"/>
          <cell r="J182" t="str">
            <v>Fairy Tea</v>
          </cell>
          <cell r="K182" t="str">
            <v>Bourgeons de Shan Tuyêt</v>
          </cell>
          <cell r="L182" t="str">
            <v>Thé blanc d'origine</v>
          </cell>
          <cell r="M182" t="str">
            <v>Vietnam - Lào Cai</v>
          </cell>
          <cell r="N182" t="str">
            <v>AB</v>
          </cell>
          <cell r="O182" t="str">
            <v>WFTO</v>
          </cell>
          <cell r="P182" t="str">
            <v>/</v>
          </cell>
          <cell r="Q182" t="str">
            <v>/</v>
          </cell>
          <cell r="R182" t="str">
            <v>/</v>
          </cell>
          <cell r="S182" t="str">
            <v>/</v>
          </cell>
          <cell r="T182" t="str">
            <v>Agriculture Vietnam</v>
          </cell>
          <cell r="U182"/>
          <cell r="V182" t="str">
            <v>Thé blanc rare de bourgeons de Shan Tuyêt. Notes : petit beurre, fruits jaunes, confiseries.</v>
          </cell>
          <cell r="W182" t="str">
            <v>S23</v>
          </cell>
          <cell r="X182" t="str">
            <v>Composé de longs bourgeons au duvet argenté de théiers rares dits "Shan Tuyêt" (Camellia sinensis var. Shan) ce thé blanc est unique. Sa liqueur surprend par une absence totale d'amertume, par sa douceur et ses notes biscuitées et fruitées aussi raffinées que gourmandes.
Texte court : Thé blanc rare de bourgeons de théiers Shan Tuyêt. Notes : petit beurre, fruits jaunes, confiseries.</v>
          </cell>
          <cell r="Y182"/>
          <cell r="Z182" t="str">
            <v xml:space="preserve">Ingrédient : thé blanc*. *Issu de l'agriculture biologique. </v>
          </cell>
          <cell r="AA182" t="str">
            <v>/</v>
          </cell>
          <cell r="AB182" t="str">
            <v>Membre certifié World Fair Trade Organization, Les Jardins de Gaïa s’engagent pour un commerce plus juste et répondent aux exigences du commerce équitable. Pour en savoir plus : www.wfto.com.</v>
          </cell>
          <cell r="AC182">
            <v>50</v>
          </cell>
          <cell r="AD182" t="str">
            <v>4</v>
          </cell>
          <cell r="AE182">
            <v>90</v>
          </cell>
          <cell r="AF182">
            <v>2</v>
          </cell>
          <cell r="AG182">
            <v>25</v>
          </cell>
          <cell r="AH182">
            <v>3582810671962</v>
          </cell>
          <cell r="AI182" t="str">
            <v>Plusieurs infusions</v>
          </cell>
          <cell r="AJ182" t="str">
            <v>ETBN719V5</v>
          </cell>
          <cell r="AK182" t="str">
            <v>ETBN719V5</v>
          </cell>
          <cell r="AL182" t="str">
            <v>Q de tube</v>
          </cell>
          <cell r="AM182" t="str">
            <v>Coopérative Bản Liền Organic Tea Cooperative</v>
          </cell>
        </row>
        <row r="183">
          <cell r="A183" t="str">
            <v>TF133</v>
          </cell>
          <cell r="B183"/>
          <cell r="C183" t="str">
            <v>X</v>
          </cell>
          <cell r="D183"/>
          <cell r="E183"/>
          <cell r="F183" t="str">
            <v>BRODART</v>
          </cell>
          <cell r="G183"/>
          <cell r="H183" t="str">
            <v>LES GRANDS CLASSIQUES</v>
          </cell>
          <cell r="I183" t="str">
            <v>SELECTION DE NOËL</v>
          </cell>
          <cell r="J183" t="str">
            <v>Féérie</v>
          </cell>
          <cell r="K183" t="str">
            <v>Saveur miel - épices</v>
          </cell>
          <cell r="L183" t="str">
            <v>Infusion de fruits aromatisée</v>
          </cell>
          <cell r="M183"/>
          <cell r="N183" t="str">
            <v>AB</v>
          </cell>
          <cell r="O183" t="str">
            <v>/</v>
          </cell>
          <cell r="P183" t="str">
            <v>/</v>
          </cell>
          <cell r="Q183" t="str">
            <v>/</v>
          </cell>
          <cell r="R183" t="str">
            <v>/</v>
          </cell>
          <cell r="S183" t="str">
            <v>/</v>
          </cell>
          <cell r="T183" t="str">
            <v>Agriculture UE/non UE</v>
          </cell>
          <cell r="U183"/>
          <cell r="V183" t="str">
            <v xml:space="preserve">Inspirée par la féérie des marchés de Noël et de ses douceurs, cette recette est dédiée aux gourmands ! Le mariage du miel et des épices qui enveloppe agréablement le palais est délicieusement accompagné par une farandole de saveurs lactées, fruitées et cacaotées. </v>
          </cell>
          <cell r="W183" t="str">
            <v>S12</v>
          </cell>
          <cell r="X183" t="str">
            <v xml:space="preserve">Inspirée par la féérie des marchés de Noël et de ses douceurs, cette infusion est dédiée aux gourmands ! Le mariage du miel et des épices qui enveloppe agréablement le palais est délicieusement accompagné par une farandole de saveurs lactées, fruitées et cacaotées. </v>
          </cell>
          <cell r="Y183"/>
          <cell r="Z183" t="str">
            <v>ingrédients : gingembre* 22%, morceaux de fruits (pomme*, figue*), cannelle* 11%, anis vert* 11%, amandes effilées*, noisettes*, feuilles de noisetier*, écorce de cacao*, arôme naturel de miel* 2%. *Issu de l’agriculture biologique.</v>
          </cell>
          <cell r="AA183" t="str">
            <v>/</v>
          </cell>
          <cell r="AB183" t="str">
            <v>/</v>
          </cell>
          <cell r="AC183">
            <v>100</v>
          </cell>
          <cell r="AD183" t="str">
            <v>5-8</v>
          </cell>
          <cell r="AE183">
            <v>95</v>
          </cell>
          <cell r="AF183">
            <v>2</v>
          </cell>
          <cell r="AG183">
            <v>50</v>
          </cell>
          <cell r="AH183">
            <v>3582810113325</v>
          </cell>
          <cell r="AI183" t="str">
            <v>/</v>
          </cell>
          <cell r="AJ183"/>
          <cell r="AK183" t="str">
            <v>/</v>
          </cell>
          <cell r="AL183" t="str">
            <v>/</v>
          </cell>
          <cell r="AM183" t="str">
            <v>Création maison</v>
          </cell>
        </row>
        <row r="184">
          <cell r="A184" t="str">
            <v>TH1481</v>
          </cell>
          <cell r="B184"/>
          <cell r="C184"/>
          <cell r="D184"/>
          <cell r="E184"/>
          <cell r="F184"/>
          <cell r="G184"/>
          <cell r="H184" t="str">
            <v>LES GRANDS CLASSIQUES</v>
          </cell>
          <cell r="I184" t="str">
            <v>LES INFUSIONS DE PLANTES</v>
          </cell>
          <cell r="J184" t="str">
            <v>Feuilles de chanvre</v>
          </cell>
          <cell r="K184" t="str">
            <v>/</v>
          </cell>
          <cell r="L184" t="str">
            <v>Infusion de plante</v>
          </cell>
          <cell r="M184" t="str">
            <v>Europe</v>
          </cell>
          <cell r="N184" t="str">
            <v>AB</v>
          </cell>
          <cell r="O184" t="str">
            <v>/</v>
          </cell>
          <cell r="P184" t="str">
            <v>/</v>
          </cell>
          <cell r="Q184" t="str">
            <v>/</v>
          </cell>
          <cell r="R184" t="str">
            <v>/</v>
          </cell>
          <cell r="S184" t="str">
            <v>/</v>
          </cell>
          <cell r="T184" t="str">
            <v>Agriculture UE</v>
          </cell>
          <cell r="U184"/>
          <cell r="V184" t="str">
            <v>Le chanvre cultivé (Cannabis sativa L.) cousin du houblon fut l'une des premières plantes domestiquées et cultivées par l'homme. Utilisé notamment pour fabriquer les cordages et les voiles de bateau, il a largement contribué aux explorations maritimes lointaines et à ouvrir les horizons du monde. Son infusion offre des saveurs végétales, acidulées et miellées particulièrement douces. Une boisson étonnante qui peut agréablement accompagner de nombreux plats salés.</v>
          </cell>
          <cell r="W184" t="str">
            <v>S11</v>
          </cell>
          <cell r="X184" t="str">
            <v>Le chanvre cultivé (Cannabis sativa L.), l’une des premières plantes domestiquées et cousin du houblon, produit une tisane aux saveurs végétales, acidulées et miellées particulièrement douces. Une boisson étonnante qui peut agréablement accompagner de nombreux plats salés.</v>
          </cell>
          <cell r="Y184"/>
          <cell r="Z184" t="str">
            <v>Ingrédient : feuilles de chanvre* (Cannabis sativa L.). *Issu de l’agriculture biologique.</v>
          </cell>
          <cell r="AA184" t="str">
            <v>/</v>
          </cell>
          <cell r="AB184" t="str">
            <v>/</v>
          </cell>
          <cell r="AC184">
            <v>300</v>
          </cell>
          <cell r="AD184" t="str">
            <v>3-5</v>
          </cell>
          <cell r="AE184">
            <v>95</v>
          </cell>
          <cell r="AF184">
            <v>2</v>
          </cell>
          <cell r="AG184">
            <v>150</v>
          </cell>
          <cell r="AH184">
            <v>3582811014812</v>
          </cell>
          <cell r="AI184" t="str">
            <v>/</v>
          </cell>
          <cell r="AJ184" t="str">
            <v>INTERNE</v>
          </cell>
          <cell r="AK184" t="str">
            <v>INTERNE</v>
          </cell>
          <cell r="AL184" t="str">
            <v>/</v>
          </cell>
          <cell r="AM184" t="str">
            <v>Sonnentor
cond JDG</v>
          </cell>
        </row>
        <row r="185">
          <cell r="A185" t="str">
            <v>TH1486</v>
          </cell>
          <cell r="B185"/>
          <cell r="C185" t="str">
            <v>X</v>
          </cell>
          <cell r="D185" t="str">
            <v>X</v>
          </cell>
          <cell r="E185"/>
          <cell r="F185" t="str">
            <v>GRAI</v>
          </cell>
          <cell r="G185">
            <v>45408</v>
          </cell>
          <cell r="H185" t="str">
            <v>LES GRANDS CLASSIQUES</v>
          </cell>
          <cell r="I185" t="str">
            <v>LES INFUSIONS DE PLANTES</v>
          </cell>
          <cell r="J185" t="str">
            <v>Feuilles de chanvre</v>
          </cell>
          <cell r="K185" t="str">
            <v>/</v>
          </cell>
          <cell r="L185" t="str">
            <v>Infusion de plante</v>
          </cell>
          <cell r="M185" t="str">
            <v>Europe</v>
          </cell>
          <cell r="N185" t="str">
            <v>AB</v>
          </cell>
          <cell r="O185" t="str">
            <v>/</v>
          </cell>
          <cell r="P185" t="str">
            <v>/</v>
          </cell>
          <cell r="Q185" t="str">
            <v>/</v>
          </cell>
          <cell r="R185" t="str">
            <v>/</v>
          </cell>
          <cell r="S185" t="str">
            <v>/</v>
          </cell>
          <cell r="T185" t="str">
            <v>Agriculture UE</v>
          </cell>
          <cell r="U185"/>
          <cell r="V185" t="str">
            <v>Le chanvre cultivé (Cannabis sativa L.) cousin du houblon fut l'une des premières plantes domestiquées et cultivées par l'homme. Utilisé notamment pour fabriquer les cordages et les voiles de bateau, il a largement contribué aux explorations maritimes lointaines et à ouvrir les horizons du monde. Son infusion offre des saveurs végétales, acidulées et miellées particulièrement douces. Une boisson étonnante qui peut agréablement accompagner de nombreux plats salés.</v>
          </cell>
          <cell r="W185" t="str">
            <v>S11</v>
          </cell>
          <cell r="X185" t="str">
            <v>Le chanvre cultivé (Cannabis sativa L.), l’une des premières plantes domestiquées et cousin du houblon, produit une tisane aux saveurs végétales, acidulées et miellées particulièrement douces. Une boisson étonnante qui peut agréablement accompagner de nombreux plats salés.</v>
          </cell>
          <cell r="Y185"/>
          <cell r="Z185" t="str">
            <v>Ingrédient : feuilles de chanvre* (Cannabis sativa L.). *Issu de l’agriculture biologique.</v>
          </cell>
          <cell r="AA185" t="str">
            <v>/</v>
          </cell>
          <cell r="AB185" t="str">
            <v>/</v>
          </cell>
          <cell r="AC185">
            <v>50</v>
          </cell>
          <cell r="AD185" t="str">
            <v>3-5</v>
          </cell>
          <cell r="AE185">
            <v>95</v>
          </cell>
          <cell r="AF185">
            <v>2</v>
          </cell>
          <cell r="AG185">
            <v>150</v>
          </cell>
          <cell r="AH185">
            <v>3582811014867</v>
          </cell>
          <cell r="AI185" t="str">
            <v>/</v>
          </cell>
          <cell r="AJ185" t="str">
            <v>ETHN1480V5</v>
          </cell>
          <cell r="AK185" t="str">
            <v>ETHN1480V5</v>
          </cell>
          <cell r="AL185" t="str">
            <v>/</v>
          </cell>
          <cell r="AM185" t="str">
            <v>Sonnentor
cond JDG</v>
          </cell>
        </row>
        <row r="186">
          <cell r="A186" t="str">
            <v>TH2656</v>
          </cell>
          <cell r="B186"/>
          <cell r="C186"/>
          <cell r="D186"/>
          <cell r="E186"/>
          <cell r="F186"/>
          <cell r="G186"/>
          <cell r="H186" t="str">
            <v>LES BIENFAITRICES</v>
          </cell>
          <cell r="I186" t="str">
            <v>LES INFUSIONS DE PLANTES</v>
          </cell>
          <cell r="J186" t="str">
            <v>Feuilles de framboisier</v>
          </cell>
          <cell r="K186" t="str">
            <v>Cycle féminin</v>
          </cell>
          <cell r="L186" t="str">
            <v>Infusion de plante</v>
          </cell>
          <cell r="M186" t="str">
            <v>Europe</v>
          </cell>
          <cell r="N186" t="str">
            <v>AB</v>
          </cell>
          <cell r="O186" t="str">
            <v>/</v>
          </cell>
          <cell r="P186" t="str">
            <v>/</v>
          </cell>
          <cell r="Q186" t="str">
            <v>/</v>
          </cell>
          <cell r="R186" t="str">
            <v>/</v>
          </cell>
          <cell r="S186" t="str">
            <v>/</v>
          </cell>
          <cell r="T186" t="str">
            <v>Agriculture UE</v>
          </cell>
          <cell r="U186"/>
          <cell r="V186"/>
          <cell r="W186"/>
          <cell r="X186" t="str">
            <v>Les feuilles de framboisier offrent une tisane à la texture veloutée dont on apprécie la douceur et les petites notes de fruits rouges et de compote de pomme. Précieuse pour les femmes, ses vertus naturelles permettent de soulager les désagréments du cycle menstruel et de le rendre plus facile à vivre.</v>
          </cell>
          <cell r="Y186"/>
          <cell r="Z186" t="str">
            <v>Ingrédient : feuilles de framboisier* (Rubus idaeus L.). *Issu de l’agriculture biologique.</v>
          </cell>
          <cell r="AA186" t="str">
            <v>Consommation journalière conseillée : 1 tasse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186" t="str">
            <v>/</v>
          </cell>
          <cell r="AC186"/>
          <cell r="AD186" t="str">
            <v>5</v>
          </cell>
          <cell r="AE186">
            <v>95</v>
          </cell>
          <cell r="AF186">
            <v>2</v>
          </cell>
          <cell r="AG186"/>
          <cell r="AH186">
            <v>3582811026563</v>
          </cell>
          <cell r="AI186"/>
          <cell r="AJ186"/>
          <cell r="AK186" t="str">
            <v>ETHN2650V5</v>
          </cell>
          <cell r="AL186"/>
          <cell r="AM186"/>
        </row>
        <row r="187">
          <cell r="A187" t="str">
            <v>TH1021</v>
          </cell>
          <cell r="B187"/>
          <cell r="C187"/>
          <cell r="D187"/>
          <cell r="E187"/>
          <cell r="F187"/>
          <cell r="G187"/>
          <cell r="H187" t="str">
            <v>LES GRANDS CLASSIQUES</v>
          </cell>
          <cell r="I187" t="str">
            <v>LES INFUSIONS DE PLANTES</v>
          </cell>
          <cell r="J187" t="str">
            <v>Feuilles de moringa</v>
          </cell>
          <cell r="K187" t="str">
            <v>L’arbre de la vie</v>
          </cell>
          <cell r="L187" t="str">
            <v>Infusion de plante</v>
          </cell>
          <cell r="M187" t="str">
            <v>Burkina Faso - Dano</v>
          </cell>
          <cell r="N187" t="str">
            <v>AB</v>
          </cell>
          <cell r="O187" t="str">
            <v>/</v>
          </cell>
          <cell r="P187" t="str">
            <v>/</v>
          </cell>
          <cell r="Q187" t="str">
            <v>/</v>
          </cell>
          <cell r="R187" t="str">
            <v>/</v>
          </cell>
          <cell r="S187" t="str">
            <v>/</v>
          </cell>
          <cell r="T187" t="str">
            <v>Agriculture non UE</v>
          </cell>
          <cell r="U187"/>
          <cell r="V187" t="str">
            <v>Ces jolies petites feuilles produisent une infusion à la saveur herbacée et légèrement épicée. Elles sont très appréciées dans la cuisine asiatique et africaine pour leur saveur et leurs qualités nutritives. Une infusion désaltérante et particulièrement originale !</v>
          </cell>
          <cell r="W187" t="str">
            <v>S11</v>
          </cell>
          <cell r="X187" t="str">
            <v>Les feuilles du Moringa oleifera surnommé l’« arbre de vie » produisent une douce infusion aux saveurs herbacées et légèrement épicées. Elles sont appréciées dans la cuisine asiatique et africaine pour leur goût et leur qualité nutritive. Une boisson désaltérante et particulièrement originale !</v>
          </cell>
          <cell r="Y187"/>
          <cell r="Z187" t="str">
            <v>Ingrédient : feuilles de moringa* (Moringa oleifera). *Issu de l'agriculture biologique.</v>
          </cell>
          <cell r="AA187" t="str">
            <v>/</v>
          </cell>
          <cell r="AB187" t="str">
            <v>/</v>
          </cell>
          <cell r="AC187">
            <v>300</v>
          </cell>
          <cell r="AD187" t="str">
            <v>5-10</v>
          </cell>
          <cell r="AE187">
            <v>95</v>
          </cell>
          <cell r="AF187">
            <v>2</v>
          </cell>
          <cell r="AG187">
            <v>150</v>
          </cell>
          <cell r="AH187">
            <v>3582811010210</v>
          </cell>
          <cell r="AI187" t="str">
            <v>/</v>
          </cell>
          <cell r="AJ187" t="str">
            <v>INTERNE</v>
          </cell>
          <cell r="AK187" t="str">
            <v>INTERNE</v>
          </cell>
          <cell r="AL187" t="str">
            <v>/</v>
          </cell>
          <cell r="AM187" t="str">
            <v>Coopérative Tupouor Baon Yin</v>
          </cell>
        </row>
        <row r="188">
          <cell r="A188" t="str">
            <v>TH1026</v>
          </cell>
          <cell r="B188"/>
          <cell r="C188" t="str">
            <v>X</v>
          </cell>
          <cell r="D188" t="str">
            <v>X</v>
          </cell>
          <cell r="E188"/>
          <cell r="F188" t="str">
            <v>GRAI</v>
          </cell>
          <cell r="G188">
            <v>45408</v>
          </cell>
          <cell r="H188" t="str">
            <v>LES GRANDS CLASSIQUES</v>
          </cell>
          <cell r="I188" t="str">
            <v>LES INFUSIONS DE PLANTES</v>
          </cell>
          <cell r="J188" t="str">
            <v>Feuilles de moringa</v>
          </cell>
          <cell r="K188" t="str">
            <v>L’arbre de la vie</v>
          </cell>
          <cell r="L188" t="str">
            <v>Infusion de plante</v>
          </cell>
          <cell r="M188" t="str">
            <v>Burkina Faso - Dano</v>
          </cell>
          <cell r="N188" t="str">
            <v>AB</v>
          </cell>
          <cell r="O188" t="str">
            <v>/</v>
          </cell>
          <cell r="P188" t="str">
            <v>/</v>
          </cell>
          <cell r="Q188" t="str">
            <v>/</v>
          </cell>
          <cell r="R188" t="str">
            <v>/</v>
          </cell>
          <cell r="S188" t="str">
            <v>/</v>
          </cell>
          <cell r="T188" t="str">
            <v>Agriculture non UE</v>
          </cell>
          <cell r="U188"/>
          <cell r="V188" t="str">
            <v>Ces jolies petites feuilles produisent une infusion à la saveur herbacée et légèrement épicée. Elles sont très appréciées dans la cuisine asiatique et africaine pour leur saveur et leurs qualités nutritives. Une infusion désaltérante et particulièrement originale !</v>
          </cell>
          <cell r="W188" t="str">
            <v>S11</v>
          </cell>
          <cell r="X188" t="str">
            <v>Les feuilles du Moringa oleifera surnommé l’« arbre de vie » produisent une douce infusion aux saveurs herbacées et légèrement épicées. Elles sont appréciées dans la cuisine asiatique et africaine pour leur goût et leur qualité nutritive. Une boisson désaltérante et particulièrement originale !</v>
          </cell>
          <cell r="Y188"/>
          <cell r="Z188" t="str">
            <v>Ingrédient : feuilles de moringa* (Moringa oleifera). *Issu de l'agriculture biologique.</v>
          </cell>
          <cell r="AA188" t="str">
            <v>/</v>
          </cell>
          <cell r="AB188" t="str">
            <v>/</v>
          </cell>
          <cell r="AC188">
            <v>60</v>
          </cell>
          <cell r="AD188" t="str">
            <v>5-10</v>
          </cell>
          <cell r="AE188">
            <v>95</v>
          </cell>
          <cell r="AF188">
            <v>2</v>
          </cell>
          <cell r="AG188">
            <v>30</v>
          </cell>
          <cell r="AH188">
            <v>3582811010265</v>
          </cell>
          <cell r="AI188" t="str">
            <v>/</v>
          </cell>
          <cell r="AJ188" t="str">
            <v>ETHN1020V5</v>
          </cell>
          <cell r="AK188" t="str">
            <v>ETHN1020V5</v>
          </cell>
          <cell r="AL188" t="str">
            <v>/</v>
          </cell>
          <cell r="AM188" t="str">
            <v>Coopérative Tupouor Baon Yin</v>
          </cell>
        </row>
        <row r="189">
          <cell r="A189" t="str">
            <v>TA7191</v>
          </cell>
          <cell r="B189"/>
          <cell r="C189"/>
          <cell r="D189"/>
          <cell r="E189"/>
          <cell r="F189"/>
          <cell r="G189"/>
          <cell r="H189" t="str">
            <v>LES GRANDS CLASSIQUES</v>
          </cell>
          <cell r="I189"/>
          <cell r="J189" t="str">
            <v>Finest Earl Grey</v>
          </cell>
          <cell r="K189" t="str">
            <v>Huile essentielle de bergamote</v>
          </cell>
          <cell r="L189" t="str">
            <v>Thé noir aromatisé</v>
          </cell>
          <cell r="M189" t="str">
            <v>Inde - Népal</v>
          </cell>
          <cell r="N189" t="str">
            <v>AB</v>
          </cell>
          <cell r="O189" t="str">
            <v>WFTO</v>
          </cell>
          <cell r="P189" t="str">
            <v>/</v>
          </cell>
          <cell r="Q189" t="str">
            <v>/</v>
          </cell>
          <cell r="R189" t="str">
            <v>/</v>
          </cell>
          <cell r="S189" t="str">
            <v>/</v>
          </cell>
          <cell r="T189" t="str">
            <v>Agriculture UE/non UE</v>
          </cell>
          <cell r="U189"/>
          <cell r="V189" t="str">
            <v xml:space="preserve">Mariage d’un cru du Darjeeling doux et subtil aux essences les plus fines de bergamote. Raffinée, cette infusion laisse une impression épicée et une saveur délicieusement acidulée. À adopter sans hésiter par tous les amateurs d'Earl Grey. </v>
          </cell>
          <cell r="W189"/>
          <cell r="X189" t="str">
            <v>Ce mariage d’un thé noir du Darjeeling doux et subtil avec les notes d’agrumes typiques de la bergamote offre un Earl Grey particulièrement raffiné. La liqueur laisse en bouche une impression épicée et délicieusement acidulée. Un ravissement pour tout amateur d'Earl Grey.</v>
          </cell>
          <cell r="Y189"/>
          <cell r="Z189" t="str">
            <v xml:space="preserve">Ingrédients : thé noir*, huile essentielle de bergamote* 2%. *Issu de l'agriculture biologique. </v>
          </cell>
          <cell r="AA189" t="str">
            <v>/</v>
          </cell>
          <cell r="AB189" t="str">
            <v>Membre certifié World Fair Trade Organization, Les Jardins de Gaïa s’engagent pour un commerce plus juste et répondent aux exigences du commerce équitable. Pour en savoir plus : www.wfto.com.</v>
          </cell>
          <cell r="AC189">
            <v>1.5</v>
          </cell>
          <cell r="AD189" t="str">
            <v>3</v>
          </cell>
          <cell r="AE189">
            <v>90</v>
          </cell>
          <cell r="AF189">
            <v>2</v>
          </cell>
          <cell r="AG189">
            <v>750</v>
          </cell>
          <cell r="AH189">
            <v>3582810471913</v>
          </cell>
          <cell r="AI189" t="str">
            <v>/</v>
          </cell>
          <cell r="AJ189" t="str">
            <v>INTERNE</v>
          </cell>
          <cell r="AK189" t="str">
            <v>INTERNE</v>
          </cell>
          <cell r="AL189" t="str">
            <v>/</v>
          </cell>
          <cell r="AM189" t="str">
            <v>Création maison</v>
          </cell>
        </row>
        <row r="190">
          <cell r="A190" t="str">
            <v>TA7192</v>
          </cell>
          <cell r="B190"/>
          <cell r="C190" t="str">
            <v>X</v>
          </cell>
          <cell r="D190" t="str">
            <v>x</v>
          </cell>
          <cell r="E190" t="str">
            <v>x</v>
          </cell>
          <cell r="F190" t="str">
            <v>GRAI</v>
          </cell>
          <cell r="G190">
            <v>45383</v>
          </cell>
          <cell r="H190" t="str">
            <v>LES GRANDS CLASSIQUES</v>
          </cell>
          <cell r="I190"/>
          <cell r="J190" t="str">
            <v>Finest Earl Grey</v>
          </cell>
          <cell r="K190" t="str">
            <v>Huile essentielle de bergamote</v>
          </cell>
          <cell r="L190" t="str">
            <v>Thé noir aromatisé</v>
          </cell>
          <cell r="M190" t="str">
            <v>Inde - Népal</v>
          </cell>
          <cell r="N190" t="str">
            <v>AB</v>
          </cell>
          <cell r="O190" t="str">
            <v>WFTO</v>
          </cell>
          <cell r="P190" t="str">
            <v>/</v>
          </cell>
          <cell r="Q190" t="str">
            <v>/</v>
          </cell>
          <cell r="R190" t="str">
            <v>/</v>
          </cell>
          <cell r="S190" t="str">
            <v>/</v>
          </cell>
          <cell r="T190" t="str">
            <v>Agriculture UE/non UE</v>
          </cell>
          <cell r="U190"/>
          <cell r="V190" t="str">
            <v xml:space="preserve">Mariage d’un cru du Darjeeling doux et subtil aux essences les plus fines de bergamote. Raffinée, cette infusion laisse une impression épicée et une saveur délicieusement acidulée. À adopter sans hésiter par tous les amateurs d'Earl Grey. </v>
          </cell>
          <cell r="W190"/>
          <cell r="X190" t="str">
            <v>Ce mariage d’un thé noir du Darjeeling doux et subtil avec les notes d’agrumes typiques de la bergamote offre un Earl Grey particulièrement raffiné. La liqueur laisse en bouche une impression épicée et délicieusement acidulée. Un ravissement pour tout amateur d'Earl Grey.</v>
          </cell>
          <cell r="Y190"/>
          <cell r="Z190" t="str">
            <v xml:space="preserve">Ingrédients : thé noir*, huile essentielle de bergamote* 2%. *Issu de l'agriculture biologique. </v>
          </cell>
          <cell r="AA190" t="str">
            <v>/</v>
          </cell>
          <cell r="AB190" t="str">
            <v>Membre certifié World Fair Trade Organization, Les Jardins de Gaïa s’engagent pour un commerce plus juste et répondent aux exigences du commerce équitable. Pour en savoir plus : www.wfto.com.</v>
          </cell>
          <cell r="AC190">
            <v>100</v>
          </cell>
          <cell r="AD190" t="str">
            <v>3</v>
          </cell>
          <cell r="AE190">
            <v>90</v>
          </cell>
          <cell r="AF190">
            <v>2</v>
          </cell>
          <cell r="AG190">
            <v>50</v>
          </cell>
          <cell r="AH190">
            <v>3582810471920</v>
          </cell>
          <cell r="AI190" t="str">
            <v>/</v>
          </cell>
          <cell r="AJ190" t="str">
            <v>ETNA719</v>
          </cell>
          <cell r="AK190" t="str">
            <v>ETNA719V5</v>
          </cell>
          <cell r="AL190" t="str">
            <v>ETCNA7192V5</v>
          </cell>
          <cell r="AM190" t="str">
            <v>Selimbong - Singell - Kachanjangha Tea Estate</v>
          </cell>
        </row>
        <row r="191">
          <cell r="A191" t="str">
            <v>TUTA7192</v>
          </cell>
          <cell r="B191"/>
          <cell r="C191"/>
          <cell r="D191"/>
          <cell r="E191"/>
          <cell r="F191"/>
          <cell r="G191"/>
          <cell r="H191" t="str">
            <v>LES GRANDS CLASSIQUES</v>
          </cell>
          <cell r="I191"/>
          <cell r="J191" t="str">
            <v>Finest Earl Grey</v>
          </cell>
          <cell r="K191" t="str">
            <v>Huile essentielle de bergamote</v>
          </cell>
          <cell r="L191" t="str">
            <v>Thé noir aromatisé</v>
          </cell>
          <cell r="M191" t="str">
            <v>Inde - Népal</v>
          </cell>
          <cell r="N191" t="str">
            <v>AB</v>
          </cell>
          <cell r="O191" t="str">
            <v>WFTO</v>
          </cell>
          <cell r="P191" t="str">
            <v>/</v>
          </cell>
          <cell r="Q191" t="str">
            <v>/</v>
          </cell>
          <cell r="R191" t="str">
            <v>/</v>
          </cell>
          <cell r="S191" t="str">
            <v>/</v>
          </cell>
          <cell r="T191" t="str">
            <v>Agriculture UE/non UE</v>
          </cell>
          <cell r="U191"/>
          <cell r="V191" t="str">
            <v xml:space="preserve">Mariage d’un cru du Darjeeling doux et subtil aux essences les plus fines de bergamote. Raffinée, cette infusion laisse une impression épicée et une saveur délicieusement acidulée. À adopter sans hésiter par tous les amateurs d'Earl Grey. </v>
          </cell>
          <cell r="W191"/>
          <cell r="X191" t="str">
            <v>Ce mariage d’un thé noir du Darjeeling doux et subtil avec les notes d’agrumes typiques de la bergamote offre un Earl Grey particulièrement raffiné. La liqueur laisse en bouche une impression épicée et délicieusement acidulée. Un ravissement pour tout amateur d'Earl Grey.</v>
          </cell>
          <cell r="Y191"/>
          <cell r="Z191" t="str">
            <v xml:space="preserve">Ingrédients : thé noir*, huile essentielle de bergamote* 2%. *Issu de l'agriculture biologique. </v>
          </cell>
          <cell r="AA191" t="str">
            <v>/</v>
          </cell>
          <cell r="AB191" t="str">
            <v>Membre certifié World Fair Trade Organization, Les Jardins de Gaïa s’engagent pour un commerce plus juste et répondent aux exigences du commerce équitable. Pour en savoir plus : www.wfto.com.</v>
          </cell>
          <cell r="AC191">
            <v>100</v>
          </cell>
          <cell r="AD191" t="str">
            <v>3</v>
          </cell>
          <cell r="AE191">
            <v>90</v>
          </cell>
          <cell r="AF191">
            <v>2</v>
          </cell>
          <cell r="AG191">
            <v>50</v>
          </cell>
          <cell r="AH191">
            <v>3582815671929</v>
          </cell>
          <cell r="AI191" t="str">
            <v>/</v>
          </cell>
          <cell r="AJ191" t="str">
            <v>ETTUNA7192V5</v>
          </cell>
          <cell r="AK191" t="str">
            <v>ETTUNA7192V5</v>
          </cell>
          <cell r="AL191" t="str">
            <v>/</v>
          </cell>
          <cell r="AM191" t="str">
            <v>Selimbong - Singell - Kachanjangha Tea Estate</v>
          </cell>
        </row>
        <row r="192">
          <cell r="A192" t="str">
            <v>HB1737</v>
          </cell>
          <cell r="B192"/>
          <cell r="C192"/>
          <cell r="D192"/>
          <cell r="E192"/>
          <cell r="F192"/>
          <cell r="G192"/>
          <cell r="H192" t="str">
            <v>LES GRANDS CLASSIQUES</v>
          </cell>
          <cell r="I192"/>
          <cell r="J192" t="str">
            <v>Fleurs de Honeybush</v>
          </cell>
          <cell r="K192" t="str">
            <v>Nature</v>
          </cell>
          <cell r="L192" t="str">
            <v>Honeybush nature</v>
          </cell>
          <cell r="M192" t="str">
            <v>Afrique du Sud - Cap Occidental</v>
          </cell>
          <cell r="N192" t="str">
            <v>AB</v>
          </cell>
          <cell r="O192" t="str">
            <v>/</v>
          </cell>
          <cell r="P192" t="str">
            <v>/</v>
          </cell>
          <cell r="Q192" t="str">
            <v>/</v>
          </cell>
          <cell r="R192" t="str">
            <v>/</v>
          </cell>
          <cell r="S192" t="str">
            <v>/</v>
          </cell>
          <cell r="T192" t="str">
            <v>Agriculture Afrique du Sud</v>
          </cell>
          <cell r="U192"/>
          <cell r="V192" t="str">
            <v>Récolté en pleine période de floraison, cet honeybush rare délivre des fragrances enivrantes. Les notes florales et exotiques de sa liqueur ambrée aux jolis reflets rosâtres donnent l’impression de se retrouver sur un marché aux fleurs à l’autre bout du monde. En bouche, on perçoit des notes d’eau de rose suivies d’arômes biscuités au cœur desquelles semble s’épanouir une liqueur aux accents agréables de miel sauvage et de géranium. Un délice !</v>
          </cell>
          <cell r="W192" t="str">
            <v>S15</v>
          </cell>
          <cell r="X192" t="str">
            <v>Les fleurs jaune éclatant du honeybush ont un parfum gourmand et exotique inoubliable... Laissez-vous charmer par leur infusion lumineuse aux saveurs biscuitées et miellées accompagnées de jolies notes florales entre la rose et le géranium. Un enchantement pour les papilles !</v>
          </cell>
          <cell r="Y192"/>
          <cell r="Z192" t="str">
            <v>Ingrédient : fleurs de honeybush*. *Issu de l'agriculture biologique.</v>
          </cell>
          <cell r="AA192" t="str">
            <v>/</v>
          </cell>
          <cell r="AB192" t="str">
            <v>/</v>
          </cell>
          <cell r="AC192">
            <v>1</v>
          </cell>
          <cell r="AD192" t="str">
            <v>5-10</v>
          </cell>
          <cell r="AE192">
            <v>95</v>
          </cell>
          <cell r="AF192">
            <v>2</v>
          </cell>
          <cell r="AG192">
            <v>500</v>
          </cell>
          <cell r="AH192">
            <v>3582812417377</v>
          </cell>
          <cell r="AI192" t="str">
            <v>/</v>
          </cell>
          <cell r="AJ192" t="str">
            <v>INTERNE</v>
          </cell>
          <cell r="AK192" t="str">
            <v>INTERNE</v>
          </cell>
          <cell r="AL192" t="str">
            <v>/</v>
          </cell>
          <cell r="AM192" t="str">
            <v>Agulhas Honeybush Tea</v>
          </cell>
        </row>
        <row r="193">
          <cell r="A193" t="str">
            <v>HB1732</v>
          </cell>
          <cell r="B193"/>
          <cell r="C193" t="str">
            <v>X</v>
          </cell>
          <cell r="D193"/>
          <cell r="E193"/>
          <cell r="F193" t="str">
            <v>BRODART</v>
          </cell>
          <cell r="G193"/>
          <cell r="H193" t="str">
            <v>LES GRANDS CLASSIQUES</v>
          </cell>
          <cell r="I193"/>
          <cell r="J193" t="str">
            <v>Fleurs de Honeybush</v>
          </cell>
          <cell r="K193" t="str">
            <v>Nature</v>
          </cell>
          <cell r="L193" t="str">
            <v>Honeybush nature</v>
          </cell>
          <cell r="M193" t="str">
            <v>Afrique du Sud - Cap Occidental</v>
          </cell>
          <cell r="N193" t="str">
            <v>AB</v>
          </cell>
          <cell r="O193" t="str">
            <v>/</v>
          </cell>
          <cell r="P193" t="str">
            <v>/</v>
          </cell>
          <cell r="Q193" t="str">
            <v>/</v>
          </cell>
          <cell r="R193" t="str">
            <v>/</v>
          </cell>
          <cell r="S193" t="str">
            <v>/</v>
          </cell>
          <cell r="T193" t="str">
            <v>Agriculture Afrique du Sud</v>
          </cell>
          <cell r="U193"/>
          <cell r="V193" t="str">
            <v>Récolté en pleine période de floraison, cet honeybush rare délivre des fragrances enivrantes. Les notes florales et exotiques de sa liqueur ambrée aux jolis reflets rosâtres donnent l’impression de se retrouver sur un marché aux fleurs à l’autre bout du monde. En bouche, on perçoit des notes d’eau de rose suivies d’arômes biscuités au cœur desquelles semble s’épanouir une liqueur aux accents agréables de miel sauvage et de géranium. Un délice !</v>
          </cell>
          <cell r="W193" t="str">
            <v>S15</v>
          </cell>
          <cell r="X193" t="str">
            <v>Les fleurs jaune éclatant du honeybush ont un parfum gourmand et exotique inoubliable... Laissez-vous charmer par leur infusion lumineuse aux saveurs biscuitées et miellées accompagnées de jolies notes florales entre la rose et le géranium. Un enchantement pour les papilles !</v>
          </cell>
          <cell r="Y193"/>
          <cell r="Z193" t="str">
            <v>Ingrédient : fleurs de honeybush*. *Issu de l'agriculture biologique.</v>
          </cell>
          <cell r="AA193" t="str">
            <v>/</v>
          </cell>
          <cell r="AB193" t="str">
            <v>/</v>
          </cell>
          <cell r="AC193">
            <v>100</v>
          </cell>
          <cell r="AD193" t="str">
            <v>5-10</v>
          </cell>
          <cell r="AE193">
            <v>95</v>
          </cell>
          <cell r="AF193">
            <v>2</v>
          </cell>
          <cell r="AG193">
            <v>50</v>
          </cell>
          <cell r="AH193">
            <v>3582812417322</v>
          </cell>
          <cell r="AI193" t="str">
            <v>/</v>
          </cell>
          <cell r="AJ193" t="str">
            <v>ETHB173V5</v>
          </cell>
          <cell r="AK193" t="str">
            <v>ETHB173V5</v>
          </cell>
          <cell r="AL193" t="str">
            <v>ETCHB1732V5</v>
          </cell>
          <cell r="AM193" t="str">
            <v>Agulhas Honeybush Tea</v>
          </cell>
        </row>
        <row r="194">
          <cell r="A194" t="str">
            <v>TH0181</v>
          </cell>
          <cell r="B194"/>
          <cell r="C194"/>
          <cell r="D194"/>
          <cell r="E194"/>
          <cell r="F194"/>
          <cell r="G194"/>
          <cell r="H194" t="str">
            <v>LES BIENFAITRICES</v>
          </cell>
          <cell r="I194" t="str">
            <v>LES INFUSIONS DE PLANTES</v>
          </cell>
          <cell r="J194" t="str">
            <v>Fleurs de mauve</v>
          </cell>
          <cell r="K194" t="str">
            <v>Transit &amp; Digestion</v>
          </cell>
          <cell r="L194" t="str">
            <v>Infusion de plante</v>
          </cell>
          <cell r="M194" t="str">
            <v>Portugal - Pologne - Autriche</v>
          </cell>
          <cell r="N194" t="str">
            <v>AB</v>
          </cell>
          <cell r="O194" t="str">
            <v>/</v>
          </cell>
          <cell r="P194" t="str">
            <v>/</v>
          </cell>
          <cell r="Q194" t="str">
            <v>/</v>
          </cell>
          <cell r="R194" t="str">
            <v>/</v>
          </cell>
          <cell r="S194" t="str">
            <v>/</v>
          </cell>
          <cell r="T194" t="str">
            <v>Agriculture UE</v>
          </cell>
          <cell r="U194"/>
          <cell r="V194" t="str">
            <v>La mauve qui a donné son nom à une couleur n’est pas seulement une fleur qui charme l’œil, elle est aussi une alliée précieuse avec ses vertus qui favorisent notamment la digestion et le transit intestinal. Cette plante bien connue des herboristes fait partie de la famille des Althaea, du grec altho “guérir”. Son infusion d’une belle texture en bouche, aux saveurs sucrées évoquant le miel de fleurs sauvages, est particulièrement douce et agréable.</v>
          </cell>
          <cell r="W194" t="str">
            <v>S11</v>
          </cell>
          <cell r="X194" t="str">
            <v>La mauve qui a donné son nom à une couleur n’est pas seulement une fleur qui charme l’œil, son infusion aux notes de miel de fleurs sauvages est particulièrement douce et agréable. Ses vertus qui favorisent notamment la digestion et le transit intestinal en font également une alliée précieuse.</v>
          </cell>
          <cell r="Y194"/>
          <cell r="Z194" t="str">
            <v>Ingrédient : fleurs de mauve* (Malva sylvestris). *Issu de l’agriculture biologique.</v>
          </cell>
          <cell r="AA194" t="str">
            <v>Consommation journalière conseillée : 1 tasse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194" t="str">
            <v>/</v>
          </cell>
          <cell r="AC194">
            <v>100</v>
          </cell>
          <cell r="AD194" t="str">
            <v>5-6</v>
          </cell>
          <cell r="AE194">
            <v>95</v>
          </cell>
          <cell r="AF194">
            <v>2</v>
          </cell>
          <cell r="AG194">
            <v>50</v>
          </cell>
          <cell r="AH194">
            <v>3582811001812</v>
          </cell>
          <cell r="AI194" t="str">
            <v>/</v>
          </cell>
          <cell r="AJ194" t="str">
            <v>INTERNE</v>
          </cell>
          <cell r="AK194" t="str">
            <v>INTERNE</v>
          </cell>
          <cell r="AL194" t="str">
            <v>/</v>
          </cell>
          <cell r="AM194" t="str">
            <v>Herbier du Diois</v>
          </cell>
        </row>
        <row r="195">
          <cell r="A195" t="str">
            <v>TH0186</v>
          </cell>
          <cell r="B195"/>
          <cell r="C195" t="str">
            <v>X</v>
          </cell>
          <cell r="D195" t="str">
            <v>X</v>
          </cell>
          <cell r="E195"/>
          <cell r="F195" t="str">
            <v>GRAI</v>
          </cell>
          <cell r="G195">
            <v>45408</v>
          </cell>
          <cell r="H195" t="str">
            <v>LES BIENFAITRICES</v>
          </cell>
          <cell r="I195" t="str">
            <v>LES INFUSIONS DE PLANTES</v>
          </cell>
          <cell r="J195" t="str">
            <v>Fleurs de mauve</v>
          </cell>
          <cell r="K195" t="str">
            <v>Transit &amp; Digestion</v>
          </cell>
          <cell r="L195" t="str">
            <v>Infusion de plante</v>
          </cell>
          <cell r="M195" t="str">
            <v>Portugal - Pologne - Autriche</v>
          </cell>
          <cell r="N195" t="str">
            <v>AB</v>
          </cell>
          <cell r="O195" t="str">
            <v>/</v>
          </cell>
          <cell r="P195" t="str">
            <v>/</v>
          </cell>
          <cell r="Q195" t="str">
            <v>/</v>
          </cell>
          <cell r="R195" t="str">
            <v>/</v>
          </cell>
          <cell r="S195" t="str">
            <v>/</v>
          </cell>
          <cell r="T195" t="str">
            <v>Agriculture UE</v>
          </cell>
          <cell r="U195"/>
          <cell r="V195" t="str">
            <v>La mauve qui a donné son nom à une couleur n’est pas seulement une fleur qui charme l’œil, elle est aussi une alliée précieuse avec ses vertus qui favorisent notamment la digestion et le transit intestinal. Cette plante bien connue des herboristes fait partie de la famille des Althaea, du grec altho “guérir”. Son infusion d’une belle texture en bouche, aux saveurs sucrées évoquant le miel de fleurs sauvages, est particulièrement douce et agréable.</v>
          </cell>
          <cell r="W195" t="str">
            <v>S11</v>
          </cell>
          <cell r="X195" t="str">
            <v>La mauve qui a donné son nom à une couleur n’est pas seulement une fleur qui charme l’œil, son infusion aux notes de miel de fleurs sauvages est particulièrement douce et agréable. Ses vertus qui favorisent notamment la digestion et le transit intestinal en font également une alliée précieuse.</v>
          </cell>
          <cell r="Y195"/>
          <cell r="Z195" t="str">
            <v>Ingrédient : fleurs de mauve* (Malva sylvestris). *Issu de l’agriculture biologique.</v>
          </cell>
          <cell r="AA195" t="str">
            <v>Consommation journalière conseillée : 1 tasse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195" t="str">
            <v>/</v>
          </cell>
          <cell r="AC195">
            <v>25</v>
          </cell>
          <cell r="AD195" t="str">
            <v>5-6</v>
          </cell>
          <cell r="AE195">
            <v>95</v>
          </cell>
          <cell r="AF195">
            <v>2</v>
          </cell>
          <cell r="AG195">
            <v>13</v>
          </cell>
          <cell r="AH195">
            <v>3582811001867</v>
          </cell>
          <cell r="AI195" t="str">
            <v>/</v>
          </cell>
          <cell r="AJ195" t="str">
            <v>ETHN0180V5</v>
          </cell>
          <cell r="AK195" t="str">
            <v>ETHN0180V5</v>
          </cell>
          <cell r="AL195" t="str">
            <v>/</v>
          </cell>
          <cell r="AM195" t="str">
            <v>Herbier du Diois</v>
          </cell>
        </row>
        <row r="196">
          <cell r="A196" t="str">
            <v>TH0691</v>
          </cell>
          <cell r="B196"/>
          <cell r="C196"/>
          <cell r="D196"/>
          <cell r="E196"/>
          <cell r="F196"/>
          <cell r="G196"/>
          <cell r="H196" t="str">
            <v>LES GRANDS CLASSIQUES</v>
          </cell>
          <cell r="I196" t="str">
            <v>LES INFUSIONS DE PLANTES</v>
          </cell>
          <cell r="J196" t="str">
            <v>Fleurs de sureau</v>
          </cell>
          <cell r="K196" t="str">
            <v>/</v>
          </cell>
          <cell r="L196" t="str">
            <v>Infusion de plante</v>
          </cell>
          <cell r="M196" t="str">
            <v>Bosnie Herzégovine</v>
          </cell>
          <cell r="N196" t="str">
            <v>AB</v>
          </cell>
          <cell r="O196" t="str">
            <v>/</v>
          </cell>
          <cell r="P196" t="str">
            <v>/</v>
          </cell>
          <cell r="Q196" t="str">
            <v>/</v>
          </cell>
          <cell r="R196" t="str">
            <v>/</v>
          </cell>
          <cell r="S196" t="str">
            <v>/</v>
          </cell>
          <cell r="T196" t="str">
            <v>Agriculture UE</v>
          </cell>
          <cell r="U196"/>
          <cell r="V196" t="str">
            <v>Retrouvez le parfum printanier des ombelles du sureau dans votre tasse ! Leurs minuscules pétales offrent une infusion particulièrement aromatique, aux notes douces et florales accompagnées d'une petite touche biscuitée. Une tisane savoureuse qui s'apprécie à tous les instants.</v>
          </cell>
          <cell r="W196" t="str">
            <v>S11</v>
          </cell>
          <cell r="X196" t="str">
            <v>Retrouvez dans votre tasse, le parfum printanier des ombelles du sureau dont les minuscules pétales produisent une infusion particulièrement aromatique. Ses notes douces et florales accompagnées d'une petite touche biscuitée s'apprécient à tous les instants.</v>
          </cell>
          <cell r="Y196"/>
          <cell r="Z196" t="str">
            <v>Ingrédient : fleurs de sureau* (Sambucus nigra L.). *Issu de l'agriculture biologique.</v>
          </cell>
          <cell r="AA196" t="str">
            <v>/</v>
          </cell>
          <cell r="AB196" t="str">
            <v>/</v>
          </cell>
          <cell r="AC196">
            <v>500</v>
          </cell>
          <cell r="AD196" t="str">
            <v>5-10</v>
          </cell>
          <cell r="AE196">
            <v>95</v>
          </cell>
          <cell r="AF196">
            <v>2</v>
          </cell>
          <cell r="AG196">
            <v>250</v>
          </cell>
          <cell r="AH196">
            <v>3582811006916</v>
          </cell>
          <cell r="AI196" t="str">
            <v>/</v>
          </cell>
          <cell r="AJ196" t="str">
            <v>INTERNE</v>
          </cell>
          <cell r="AK196" t="str">
            <v>INTERNE</v>
          </cell>
          <cell r="AL196" t="str">
            <v>/</v>
          </cell>
          <cell r="AM196" t="str">
            <v>?</v>
          </cell>
        </row>
        <row r="197">
          <cell r="A197" t="str">
            <v>TH0692</v>
          </cell>
          <cell r="B197"/>
          <cell r="C197" t="str">
            <v>X</v>
          </cell>
          <cell r="D197" t="str">
            <v>X</v>
          </cell>
          <cell r="E197"/>
          <cell r="F197" t="str">
            <v>GRAI</v>
          </cell>
          <cell r="G197">
            <v>45408</v>
          </cell>
          <cell r="H197" t="str">
            <v>LES GRANDS CLASSIQUES</v>
          </cell>
          <cell r="I197" t="str">
            <v>LES INFUSIONS DE PLANTES</v>
          </cell>
          <cell r="J197" t="str">
            <v>Fleurs de sureau</v>
          </cell>
          <cell r="K197" t="str">
            <v>/</v>
          </cell>
          <cell r="L197" t="str">
            <v>Infusion de plante</v>
          </cell>
          <cell r="M197" t="str">
            <v>Bosnie Herzégovine</v>
          </cell>
          <cell r="N197" t="str">
            <v>AB</v>
          </cell>
          <cell r="O197" t="str">
            <v>/</v>
          </cell>
          <cell r="P197" t="str">
            <v>/</v>
          </cell>
          <cell r="Q197" t="str">
            <v>/</v>
          </cell>
          <cell r="R197" t="str">
            <v>/</v>
          </cell>
          <cell r="S197" t="str">
            <v>/</v>
          </cell>
          <cell r="T197" t="str">
            <v>Agriculture UE</v>
          </cell>
          <cell r="U197"/>
          <cell r="V197" t="str">
            <v>Retrouvez le parfum printanier des ombelles du sureau dans votre tasse ! Leurs minuscules pétales offrent une infusion particulièrement aromatique, aux notes douces et florales accompagnées d'une petite touche biscuitée. Une tisane savoureuse qui s'apprécie à tous les instants.</v>
          </cell>
          <cell r="W197" t="str">
            <v>S11</v>
          </cell>
          <cell r="X197" t="str">
            <v>Retrouvez dans votre tasse, le parfum printanier des ombelles du sureau dont les minuscules pétales produisent une infusion particulièrement aromatique. Ses notes douces et florales accompagnées d'une petite touche biscuitée s'apprécient à tous les instants.</v>
          </cell>
          <cell r="Y197"/>
          <cell r="Z197" t="str">
            <v>Ingrédient : fleurs de sureau* (Sambucus nigra L.). *Issu de l'agriculture biologique.</v>
          </cell>
          <cell r="AA197" t="str">
            <v>/</v>
          </cell>
          <cell r="AB197" t="str">
            <v>/</v>
          </cell>
          <cell r="AC197">
            <v>100</v>
          </cell>
          <cell r="AD197" t="str">
            <v>5-10</v>
          </cell>
          <cell r="AE197">
            <v>95</v>
          </cell>
          <cell r="AF197">
            <v>2</v>
          </cell>
          <cell r="AG197">
            <v>50</v>
          </cell>
          <cell r="AH197">
            <v>3582811006923</v>
          </cell>
          <cell r="AI197" t="str">
            <v>/</v>
          </cell>
          <cell r="AJ197" t="str">
            <v>ETHN0690V5</v>
          </cell>
          <cell r="AK197" t="str">
            <v>ETHN0690V5</v>
          </cell>
          <cell r="AL197" t="str">
            <v>/</v>
          </cell>
          <cell r="AM197" t="str">
            <v>?</v>
          </cell>
        </row>
        <row r="198">
          <cell r="A198" t="str">
            <v>TH2171</v>
          </cell>
          <cell r="B198"/>
          <cell r="C198"/>
          <cell r="D198"/>
          <cell r="E198"/>
          <cell r="F198"/>
          <cell r="G198"/>
          <cell r="H198" t="str">
            <v>LES BIENFAITRICES</v>
          </cell>
          <cell r="I198" t="str">
            <v>LES INFUSIONS DE PLANTES</v>
          </cell>
          <cell r="J198" t="str">
            <v>Fleurs de tilleul</v>
          </cell>
          <cell r="K198" t="str">
            <v>Relaxante</v>
          </cell>
          <cell r="L198" t="str">
            <v>Infusion de plante</v>
          </cell>
          <cell r="M198" t="str">
            <v>France</v>
          </cell>
          <cell r="N198" t="str">
            <v>AB</v>
          </cell>
          <cell r="O198" t="str">
            <v>/</v>
          </cell>
          <cell r="P198" t="str">
            <v>/</v>
          </cell>
          <cell r="Q198" t="str">
            <v>/</v>
          </cell>
          <cell r="R198" t="str">
            <v>/</v>
          </cell>
          <cell r="S198" t="str">
            <v>/</v>
          </cell>
          <cell r="T198" t="str">
            <v>Agriculture UE</v>
          </cell>
          <cell r="U198"/>
          <cell r="V198" t="str">
            <v>Arbre d'amour et de fidélité, arbre de liberté ou arbre des fêtes de villages, le tilleul est chargé d'histoire. Récoltées en pleine floraison, ses fleurs odorantes libèrent une liqueur apaisante aux agréables notes miellées qui favorise un sommeil profond et récupérateur. Excellente comme tisane du soir !</v>
          </cell>
          <cell r="W198" t="str">
            <v>S12</v>
          </cell>
          <cell r="X198" t="str">
            <v>Récoltées au début de l’été, les fleurs odorantes du tilleul, l’arbre d'amour et de fidélité qui embaument nos villages, offrent une liqueur souple et apaisante. On apprécie ses agréables notes miellées et ses effets relaxants qui favorisent le sommeil. Une excellente tisane du soir !</v>
          </cell>
          <cell r="Y198"/>
          <cell r="Z198" t="str">
            <v>Ingrédient : fleurs de tilleul* (Tilia platyphyllos Scop). *Issu de l'agriculture biologique.</v>
          </cell>
          <cell r="AA198"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198" t="str">
            <v>/</v>
          </cell>
          <cell r="AC198">
            <v>100</v>
          </cell>
          <cell r="AD198" t="str">
            <v>5-10</v>
          </cell>
          <cell r="AE198">
            <v>95</v>
          </cell>
          <cell r="AF198">
            <v>2</v>
          </cell>
          <cell r="AG198">
            <v>50</v>
          </cell>
          <cell r="AH198">
            <v>3582811021711</v>
          </cell>
          <cell r="AI198" t="str">
            <v>/</v>
          </cell>
          <cell r="AJ198" t="str">
            <v>INTERNE</v>
          </cell>
          <cell r="AK198" t="str">
            <v>INTERNE</v>
          </cell>
          <cell r="AL198" t="str">
            <v>/</v>
          </cell>
          <cell r="AM198" t="str">
            <v>Herbier du Diois</v>
          </cell>
        </row>
        <row r="199">
          <cell r="A199" t="str">
            <v>TH217</v>
          </cell>
          <cell r="B199"/>
          <cell r="C199" t="str">
            <v>X</v>
          </cell>
          <cell r="D199" t="str">
            <v>X</v>
          </cell>
          <cell r="E199"/>
          <cell r="F199" t="str">
            <v>GRAI</v>
          </cell>
          <cell r="G199">
            <v>45408</v>
          </cell>
          <cell r="H199" t="str">
            <v>LES BIENFAITRICES</v>
          </cell>
          <cell r="I199" t="str">
            <v>LES INFUSIONS DE PLANTES</v>
          </cell>
          <cell r="J199" t="str">
            <v>Fleurs de tilleul</v>
          </cell>
          <cell r="K199" t="str">
            <v>Relaxante</v>
          </cell>
          <cell r="L199" t="str">
            <v>Infusion de plante</v>
          </cell>
          <cell r="M199" t="str">
            <v>France</v>
          </cell>
          <cell r="N199" t="str">
            <v>AB</v>
          </cell>
          <cell r="O199" t="str">
            <v>/</v>
          </cell>
          <cell r="P199" t="str">
            <v>/</v>
          </cell>
          <cell r="Q199" t="str">
            <v>/</v>
          </cell>
          <cell r="R199" t="str">
            <v>/</v>
          </cell>
          <cell r="S199" t="str">
            <v>/</v>
          </cell>
          <cell r="T199" t="str">
            <v>Agriculture UE</v>
          </cell>
          <cell r="U199"/>
          <cell r="V199" t="str">
            <v>Arbre d'amour et de fidélité, arbre de liberté ou arbre des fêtes de villages, le tilleul est chargé d'histoire. Récoltées en pleine floraison, ses fleurs odorantes libèrent une liqueur apaisante aux agréables notes miellées qui favorise un sommeil profond et récupérateur. Excellente comme tisane du soir !</v>
          </cell>
          <cell r="W199" t="str">
            <v>S12</v>
          </cell>
          <cell r="X199" t="str">
            <v>Récoltées au début de l’été, les fleurs odorantes du tilleul, l’arbre d'amour et de fidélité qui embaument nos villages, offrent une liqueur souple et apaisante. On apprécie ses agréables notes miellées et ses effets relaxants qui favorisent le sommeil. Une excellente tisane du soir !</v>
          </cell>
          <cell r="Y199"/>
          <cell r="Z199" t="str">
            <v>Ingrédient : fleurs de tilleul* (Tilia platyphyllos Scop). *Issu de l'agriculture biologique.</v>
          </cell>
          <cell r="AA199"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199" t="str">
            <v>/</v>
          </cell>
          <cell r="AC199">
            <v>35</v>
          </cell>
          <cell r="AD199" t="str">
            <v>5-10</v>
          </cell>
          <cell r="AE199">
            <v>95</v>
          </cell>
          <cell r="AF199">
            <v>2</v>
          </cell>
          <cell r="AG199">
            <v>17</v>
          </cell>
          <cell r="AH199">
            <v>3582811002178</v>
          </cell>
          <cell r="AI199" t="str">
            <v>/</v>
          </cell>
          <cell r="AJ199" t="str">
            <v>ETHN2170V5</v>
          </cell>
          <cell r="AK199" t="str">
            <v>ETHN2170V5</v>
          </cell>
          <cell r="AL199" t="str">
            <v>/</v>
          </cell>
          <cell r="AM199" t="str">
            <v>Herbier du Diois</v>
          </cell>
        </row>
        <row r="200">
          <cell r="A200" t="str">
            <v>TH5151</v>
          </cell>
          <cell r="B200"/>
          <cell r="C200"/>
          <cell r="D200"/>
          <cell r="E200"/>
          <cell r="F200"/>
          <cell r="G200"/>
          <cell r="H200" t="str">
            <v>LES BIENFAITRICES</v>
          </cell>
          <cell r="I200" t="str">
            <v>LES INFUSIONS DE PLANTES</v>
          </cell>
          <cell r="J200" t="str">
            <v>Fontaine de jouvence</v>
          </cell>
          <cell r="K200" t="str">
            <v>Bien-être
Mélisse - Mauve - Feuilles de framboisier</v>
          </cell>
          <cell r="L200" t="str">
            <v>Infusion de plantes</v>
          </cell>
          <cell r="M200" t="str">
            <v>/</v>
          </cell>
          <cell r="N200" t="str">
            <v>AB</v>
          </cell>
          <cell r="O200" t="str">
            <v>/</v>
          </cell>
          <cell r="P200" t="str">
            <v>/</v>
          </cell>
          <cell r="Q200" t="str">
            <v>/</v>
          </cell>
          <cell r="R200" t="str">
            <v>/</v>
          </cell>
          <cell r="S200" t="str">
            <v>/</v>
          </cell>
          <cell r="T200" t="str">
            <v>AT-BIO-302
Agriculture UE</v>
          </cell>
          <cell r="U200"/>
          <cell r="V200" t="str">
            <v>Aussi lumineuse que gourmande, cette recette est un véritable élixir qui contribue au bien-être physique et à l'équilibre moral. Coup de pouce aux digestions difficiles, au maintien des fonctions intestinales et à un repos de qualité, elle se révèle précieuse pour prendre soin de soi et se chouchouter de l'intérieur.</v>
          </cell>
          <cell r="W200" t="str">
            <v>S12</v>
          </cell>
          <cell r="X200" t="str">
            <v>Gourmande et lumineuse, cette tisane est un véritable élixir qui contribue au bien-être physique et à l'équilibre moral. Coup de pouce aux digestions difficiles, au maintien des fonctions intestinales et à un repos de qualité, elle est une précieuse alliée pour se chouchouter de l'intérieur.</v>
          </cell>
          <cell r="Y200"/>
          <cell r="Z200" t="str">
            <v>Ingrédients : mélisse* 30% (Melissa officinalis), pétales de mauve* 30% (Malva sylvestris), feuilles de framboisier* 20% (Rubus idaeus), menthe douce* (Mentha spicata), fleurs de tilleul* 5% (Tiliae flos), fleurs de sureau * (Sambucus nigra), pétales de bleuet* (Centaurea cyanus). *Issu de l'agriculture biologique.</v>
          </cell>
          <cell r="AA200" t="str">
            <v>Consommation journalière conseillée : 5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200" t="str">
            <v>/</v>
          </cell>
          <cell r="AC200" t="str">
            <v>?</v>
          </cell>
          <cell r="AD200" t="str">
            <v>5-10</v>
          </cell>
          <cell r="AE200">
            <v>95</v>
          </cell>
          <cell r="AF200">
            <v>2</v>
          </cell>
          <cell r="AG200" t="str">
            <v>?</v>
          </cell>
          <cell r="AH200" t="str">
            <v>?</v>
          </cell>
          <cell r="AI200" t="str">
            <v>/</v>
          </cell>
          <cell r="AJ200" t="str">
            <v>INTERNE</v>
          </cell>
          <cell r="AK200" t="str">
            <v>INTERNE</v>
          </cell>
          <cell r="AL200" t="str">
            <v>/</v>
          </cell>
          <cell r="AM200" t="str">
            <v>Sonnentor</v>
          </cell>
        </row>
        <row r="201">
          <cell r="A201" t="str">
            <v>TH515</v>
          </cell>
          <cell r="B201"/>
          <cell r="C201" t="str">
            <v>X</v>
          </cell>
          <cell r="D201" t="str">
            <v>X</v>
          </cell>
          <cell r="E201"/>
          <cell r="F201" t="str">
            <v>GRAI</v>
          </cell>
          <cell r="G201">
            <v>45408</v>
          </cell>
          <cell r="H201" t="str">
            <v>LES BIENFAITRICES</v>
          </cell>
          <cell r="I201" t="str">
            <v>LES INFUSIONS DE PLANTES</v>
          </cell>
          <cell r="J201" t="str">
            <v>Fontaine de jouvence</v>
          </cell>
          <cell r="K201" t="str">
            <v>Bien-être
Mélisse - Mauve - Feuilles de framboisier</v>
          </cell>
          <cell r="L201" t="str">
            <v>Infusion de plantes</v>
          </cell>
          <cell r="M201" t="str">
            <v>/</v>
          </cell>
          <cell r="N201" t="str">
            <v>AB</v>
          </cell>
          <cell r="O201" t="str">
            <v>/</v>
          </cell>
          <cell r="P201" t="str">
            <v>/</v>
          </cell>
          <cell r="Q201" t="str">
            <v>/</v>
          </cell>
          <cell r="R201" t="str">
            <v>/</v>
          </cell>
          <cell r="S201" t="str">
            <v>/</v>
          </cell>
          <cell r="T201" t="str">
            <v>AT-BIO-302
Agriculture UE</v>
          </cell>
          <cell r="U201"/>
          <cell r="V201" t="str">
            <v>Aussi lumineuse que gourmande, cette recette est un véritable élixir qui contribue au bien-être physique et à l'équilibre moral. Coup de pouce aux digestions difficiles, au maintien des fonctions intestinales et à un repos de qualité, elle se révèle précieuse pour prendre soin de soi et se chouchouter de l'intérieur.</v>
          </cell>
          <cell r="W201" t="str">
            <v>S12</v>
          </cell>
          <cell r="X201" t="str">
            <v>Gourmande et lumineuse, cette tisane est un véritable élixir qui contribue au bien-être physique et à l'équilibre moral. Coup de pouce aux digestions difficiles, au maintien des fonctions intestinales et à un repos de qualité, elle est une précieuse alliée pour se chouchouter de l'intérieur.</v>
          </cell>
          <cell r="Y201"/>
          <cell r="Z201" t="str">
            <v>Ingrédients : mélisse* 30% (Melissa officinalis), pétales de mauve* 30% (Malva sylvestris), feuilles de framboisier* 20% (Rubus idaeus), menthe douce* (Mentha spicata), fleurs de tilleul* 5% (Tiliae flos), fleurs de sureau * (Sambucus nigra), pétales de bleuet* (Centaurea cyanus). *Issu de l'agriculture biologique.</v>
          </cell>
          <cell r="AA201" t="str">
            <v>Consommation journalière conseillée : 5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201" t="str">
            <v>/</v>
          </cell>
          <cell r="AC201">
            <v>50</v>
          </cell>
          <cell r="AD201" t="str">
            <v>5-10</v>
          </cell>
          <cell r="AE201">
            <v>95</v>
          </cell>
          <cell r="AF201">
            <v>2</v>
          </cell>
          <cell r="AG201">
            <v>25</v>
          </cell>
          <cell r="AH201">
            <v>3582811005155</v>
          </cell>
          <cell r="AI201" t="str">
            <v>/</v>
          </cell>
          <cell r="AJ201" t="str">
            <v>ETHN5150V5</v>
          </cell>
          <cell r="AK201" t="str">
            <v>ETHN5150V5</v>
          </cell>
          <cell r="AL201" t="str">
            <v>/</v>
          </cell>
          <cell r="AM201" t="str">
            <v>Sonnentor</v>
          </cell>
        </row>
        <row r="202">
          <cell r="A202" t="str">
            <v>TO2031</v>
          </cell>
          <cell r="B202"/>
          <cell r="C202" t="str">
            <v>X</v>
          </cell>
          <cell r="D202"/>
          <cell r="E202"/>
          <cell r="F202"/>
          <cell r="G202"/>
          <cell r="H202" t="str">
            <v>LES GRANDS CLASSIQUES</v>
          </cell>
          <cell r="I202"/>
          <cell r="J202" t="str">
            <v>Four Seasons</v>
          </cell>
          <cell r="K202" t="str">
            <v>/</v>
          </cell>
          <cell r="L202" t="str">
            <v>Thé wulong d'origine</v>
          </cell>
          <cell r="M202" t="str">
            <v>Thaïlande - Chiang Rai</v>
          </cell>
          <cell r="N202" t="str">
            <v>AB</v>
          </cell>
          <cell r="O202" t="str">
            <v>/</v>
          </cell>
          <cell r="P202" t="str">
            <v>/</v>
          </cell>
          <cell r="Q202" t="str">
            <v>/</v>
          </cell>
          <cell r="R202" t="str">
            <v>/</v>
          </cell>
          <cell r="S202" t="str">
            <v>/</v>
          </cell>
          <cell r="T202" t="str">
            <v>Agriculture Thaïlande</v>
          </cell>
          <cell r="U202"/>
          <cell r="V202" t="str">
            <v>Issu du cultivar Four seasons (四季春) connu pour produire d'excellents thés quelle que soit la période de récolte, ce wulong est un ravissement pour le palais. Son infusion limpide, d'une couleur jaune soleil caractéristique, séduit par ses notes d'agrumes et ses saveurs végétales complexes qui évoquent les patates douces et la fève de haricot. Un wulong à la fois aérien et gourmand.</v>
          </cell>
          <cell r="W202" t="str">
            <v>S15</v>
          </cell>
          <cell r="X202" t="str">
            <v>Issu du cultivar Four seasons connu pour être à la base d'excellents thés quelle que soit la période de récolte, ce thé wulong est un ravissement. Son infusion d’un jaune caractéristique séduit par ses saveurs rondes qui évoquent la patate douce et la fève de haricot accompagnées de notes d’agrumes.</v>
          </cell>
          <cell r="Y202"/>
          <cell r="Z202" t="str">
            <v>Ingrédient : thé wulong*. *Issu de l'agriculture biologique.</v>
          </cell>
          <cell r="AA202" t="str">
            <v>/</v>
          </cell>
          <cell r="AB202" t="str">
            <v>/</v>
          </cell>
          <cell r="AC202">
            <v>1.5</v>
          </cell>
          <cell r="AD202" t="str">
            <v>5</v>
          </cell>
          <cell r="AE202">
            <v>95</v>
          </cell>
          <cell r="AF202">
            <v>2</v>
          </cell>
          <cell r="AG202">
            <v>750</v>
          </cell>
          <cell r="AH202">
            <v>3582810720318</v>
          </cell>
          <cell r="AI202" t="str">
            <v>/</v>
          </cell>
          <cell r="AJ202" t="str">
            <v>INTERNE</v>
          </cell>
          <cell r="AK202" t="str">
            <v>INTERNE</v>
          </cell>
          <cell r="AL202" t="str">
            <v>/</v>
          </cell>
          <cell r="AM202" t="str">
            <v>Choke Chamroen Tea Co., Ltd.</v>
          </cell>
        </row>
        <row r="203">
          <cell r="A203" t="str">
            <v>TO2032</v>
          </cell>
          <cell r="B203"/>
          <cell r="C203" t="str">
            <v>X</v>
          </cell>
          <cell r="D203" t="str">
            <v>X</v>
          </cell>
          <cell r="E203" t="str">
            <v>X</v>
          </cell>
          <cell r="F203" t="str">
            <v>BRODART</v>
          </cell>
          <cell r="G203"/>
          <cell r="H203" t="str">
            <v>LES GRANDS CLASSIQUES</v>
          </cell>
          <cell r="I203"/>
          <cell r="J203" t="str">
            <v>Four Seasons</v>
          </cell>
          <cell r="K203" t="str">
            <v>/</v>
          </cell>
          <cell r="L203" t="str">
            <v>Thé wulong d'origine</v>
          </cell>
          <cell r="M203" t="str">
            <v>Thaïlande - Chiang Rai</v>
          </cell>
          <cell r="N203" t="str">
            <v>AB</v>
          </cell>
          <cell r="O203" t="str">
            <v>/</v>
          </cell>
          <cell r="P203" t="str">
            <v>/</v>
          </cell>
          <cell r="Q203" t="str">
            <v>/</v>
          </cell>
          <cell r="R203" t="str">
            <v>/</v>
          </cell>
          <cell r="S203" t="str">
            <v>/</v>
          </cell>
          <cell r="T203" t="str">
            <v>Agriculture Thaïlande</v>
          </cell>
          <cell r="U203"/>
          <cell r="V203" t="str">
            <v>Issu du cultivar Four seasons (四季春) connu pour produire d'excellents thés quelle que soit la période de récolte, ce wulong est un ravissement pour le palais. Son infusion limpide, d'une couleur jaune soleil caractéristique, séduit par ses notes d'agrumes et ses saveurs végétales complexes qui évoquent les patates douces et la fève de haricot. Un wulong à la fois aérien et gourmand.</v>
          </cell>
          <cell r="W203" t="str">
            <v>S15</v>
          </cell>
          <cell r="X203" t="str">
            <v>Issu du cultivar Four seasons connu pour être à la base d'excellents thés quelle que soit la période de récolte, ce thé wulong est un ravissement. Son infusion d’un jaune caractéristique séduit par ses saveurs rondes qui évoquent la patate douce et la fève de haricot accompagnées de notes d’agrumes.</v>
          </cell>
          <cell r="Y203"/>
          <cell r="Z203" t="str">
            <v>Ingrédient : thé wulong*. *Issu de l'agriculture biologique.</v>
          </cell>
          <cell r="AA203" t="str">
            <v>/</v>
          </cell>
          <cell r="AB203" t="str">
            <v>/</v>
          </cell>
          <cell r="AC203">
            <v>100</v>
          </cell>
          <cell r="AD203" t="str">
            <v>5</v>
          </cell>
          <cell r="AE203">
            <v>95</v>
          </cell>
          <cell r="AF203">
            <v>2</v>
          </cell>
          <cell r="AG203">
            <v>50</v>
          </cell>
          <cell r="AH203">
            <v>3582810720325</v>
          </cell>
          <cell r="AI203" t="str">
            <v>/</v>
          </cell>
          <cell r="AJ203" t="str">
            <v>ETON203</v>
          </cell>
          <cell r="AK203" t="str">
            <v>ETON203V5</v>
          </cell>
          <cell r="AL203" t="str">
            <v>ETCON2032V5</v>
          </cell>
          <cell r="AM203" t="str">
            <v>Choke Chamroen Tea Co., Ltd.</v>
          </cell>
        </row>
        <row r="204">
          <cell r="A204" t="str">
            <v>TR2181</v>
          </cell>
          <cell r="B204"/>
          <cell r="C204" t="str">
            <v>X</v>
          </cell>
          <cell r="D204"/>
          <cell r="E204"/>
          <cell r="F204"/>
          <cell r="G204"/>
          <cell r="H204" t="str">
            <v>LES GRANDS CLASSIQUES</v>
          </cell>
          <cell r="I204"/>
          <cell r="J204" t="str">
            <v>Fraîcheur africaine</v>
          </cell>
          <cell r="K204" t="str">
            <v>Menthe douce</v>
          </cell>
          <cell r="L204" t="str">
            <v>Rooibos parfumé</v>
          </cell>
          <cell r="M204" t="str">
            <v>Afrique du Sud - Cap Occidental</v>
          </cell>
          <cell r="N204" t="str">
            <v>AB</v>
          </cell>
          <cell r="O204" t="str">
            <v>WFTO</v>
          </cell>
          <cell r="P204" t="str">
            <v>/</v>
          </cell>
          <cell r="Q204" t="str">
            <v>/</v>
          </cell>
          <cell r="R204" t="str">
            <v>/</v>
          </cell>
          <cell r="S204" t="str">
            <v>/</v>
          </cell>
          <cell r="T204" t="str">
            <v>Agriculture UE/non UE</v>
          </cell>
          <cell r="U204"/>
          <cell r="V204" t="str">
            <v>Souffle frais dans la savane… Ce délicieux mélange à la saveur onctueuse soulignée d’une note fraîche est très digeste. Parfait après les repas ou en boisson glacée.</v>
          </cell>
          <cell r="W204" t="str">
            <v>S15</v>
          </cell>
          <cell r="X204" t="str">
            <v xml:space="preserve">Vivez l’expérience d’un souffle frais au cœur de la savane avec cette recette née de la délicieuse rencontre du rooibos et de la menthe douce. Les saveurs boisées et vanillées de l’emblématique boisson sud-africaine sont agréablement relevées par les notes fraîches de la menthe. </v>
          </cell>
          <cell r="Y204"/>
          <cell r="Z204" t="str">
            <v>Ingrédients : rooibos*, menthe douce* 13%. *Issu de l'agriculture biologique.</v>
          </cell>
          <cell r="AA204" t="str">
            <v>/</v>
          </cell>
          <cell r="AB204" t="str">
            <v>Membre certifié World Fair Trade Organization, Les Jardins de Gaïa s’engagent pour un commerce plus juste et répondent aux exigences du commerce équitable. Pour en savoir plus : www.wfto.com.</v>
          </cell>
          <cell r="AC204">
            <v>1.5</v>
          </cell>
          <cell r="AD204" t="str">
            <v>5-10</v>
          </cell>
          <cell r="AE204">
            <v>95</v>
          </cell>
          <cell r="AF204">
            <v>2</v>
          </cell>
          <cell r="AG204">
            <v>750</v>
          </cell>
          <cell r="AH204">
            <v>3582810921814</v>
          </cell>
          <cell r="AI204" t="str">
            <v>/</v>
          </cell>
          <cell r="AJ204" t="str">
            <v>INTERNE</v>
          </cell>
          <cell r="AK204" t="str">
            <v>INTERNE</v>
          </cell>
          <cell r="AL204" t="str">
            <v>/</v>
          </cell>
          <cell r="AM204" t="str">
            <v>Création maison</v>
          </cell>
        </row>
        <row r="205">
          <cell r="A205" t="str">
            <v>TR2182</v>
          </cell>
          <cell r="B205"/>
          <cell r="C205" t="str">
            <v>X</v>
          </cell>
          <cell r="D205" t="str">
            <v>X</v>
          </cell>
          <cell r="E205" t="str">
            <v>X</v>
          </cell>
          <cell r="F205" t="str">
            <v>BRODART</v>
          </cell>
          <cell r="G205"/>
          <cell r="H205" t="str">
            <v>LES GRANDS CLASSIQUES</v>
          </cell>
          <cell r="I205"/>
          <cell r="J205" t="str">
            <v>Fraîcheur africaine</v>
          </cell>
          <cell r="K205" t="str">
            <v>Menthe douce</v>
          </cell>
          <cell r="L205" t="str">
            <v>Rooibos parfumé</v>
          </cell>
          <cell r="M205" t="str">
            <v>Afrique du Sud - Cap Occidental</v>
          </cell>
          <cell r="N205" t="str">
            <v>AB</v>
          </cell>
          <cell r="O205" t="str">
            <v>WFTO</v>
          </cell>
          <cell r="P205" t="str">
            <v>/</v>
          </cell>
          <cell r="Q205" t="str">
            <v>/</v>
          </cell>
          <cell r="R205" t="str">
            <v>/</v>
          </cell>
          <cell r="S205" t="str">
            <v>/</v>
          </cell>
          <cell r="T205" t="str">
            <v>Agriculture UE/non UE</v>
          </cell>
          <cell r="U205"/>
          <cell r="V205" t="str">
            <v>Souffle frais dans la savane… Ce délicieux mélange à la saveur onctueuse soulignée d’une note fraîche est très digeste. Parfait après les repas ou en boisson glacée.</v>
          </cell>
          <cell r="W205" t="str">
            <v>S15</v>
          </cell>
          <cell r="X205" t="str">
            <v xml:space="preserve">Vivez l’expérience d’un souffle frais au cœur de la savane avec cette recette née de la délicieuse rencontre du rooibos et de la menthe douce. Les saveurs boisées et vanillées de l’emblématique boisson sud-africaine sont agréablement relevées par les notes fraîches de la menthe. </v>
          </cell>
          <cell r="Y205"/>
          <cell r="Z205" t="str">
            <v>Ingrédients : rooibos*, menthe douce* 13%. *Issu de l'agriculture biologique.</v>
          </cell>
          <cell r="AA205" t="str">
            <v>/</v>
          </cell>
          <cell r="AB205" t="str">
            <v>Membre certifié World Fair Trade Organization, Les Jardins de Gaïa s’engagent pour un commerce plus juste et répondent aux exigences du commerce équitable. Pour en savoir plus : www.wfto.com.</v>
          </cell>
          <cell r="AC205">
            <v>100</v>
          </cell>
          <cell r="AD205" t="str">
            <v>5-10</v>
          </cell>
          <cell r="AE205">
            <v>95</v>
          </cell>
          <cell r="AF205">
            <v>2</v>
          </cell>
          <cell r="AG205">
            <v>50</v>
          </cell>
          <cell r="AH205">
            <v>3582810921821</v>
          </cell>
          <cell r="AI205" t="str">
            <v>/</v>
          </cell>
          <cell r="AJ205" t="str">
            <v>ETRM218</v>
          </cell>
          <cell r="AK205" t="str">
            <v>ETRM218V5</v>
          </cell>
          <cell r="AL205" t="str">
            <v>ETCRM2182V5</v>
          </cell>
          <cell r="AM205" t="str">
            <v>Création maison</v>
          </cell>
        </row>
        <row r="206">
          <cell r="A206" t="str">
            <v>TA6101</v>
          </cell>
          <cell r="B206"/>
          <cell r="C206"/>
          <cell r="D206"/>
          <cell r="E206"/>
          <cell r="F206"/>
          <cell r="G206"/>
          <cell r="H206" t="str">
            <v>LES GRANDS CLASSIQUES</v>
          </cell>
          <cell r="I206"/>
          <cell r="J206" t="str">
            <v>Fraises au basilic</v>
          </cell>
          <cell r="K206" t="str">
            <v>Basilic - Saveur fraise</v>
          </cell>
          <cell r="L206" t="str">
            <v>Thé vert aromatisé</v>
          </cell>
          <cell r="M206" t="str">
            <v>Chine - Inde - Vietnam</v>
          </cell>
          <cell r="N206" t="str">
            <v>AB</v>
          </cell>
          <cell r="O206" t="str">
            <v>WFTO</v>
          </cell>
          <cell r="P206" t="str">
            <v>/</v>
          </cell>
          <cell r="Q206" t="str">
            <v>/</v>
          </cell>
          <cell r="R206" t="str">
            <v>/</v>
          </cell>
          <cell r="S206" t="str">
            <v>/</v>
          </cell>
          <cell r="T206" t="str">
            <v>Agriculture UE/non UE</v>
          </cell>
          <cell r="U206"/>
          <cell r="V206" t="str">
            <v>Ce thé vert original rappelle la richesse des saveurs estivales avec un parfum gourmand de fraise, porté par la force du basilic. Une composition aromatique d’une belle intensité qui rend hommage à une nature généreuse, source intarissable d’associations et de plaisirs.</v>
          </cell>
          <cell r="W206" t="str">
            <v>S21</v>
          </cell>
          <cell r="X206" t="str">
            <v>Cette recette originale à base de thé vert évoque la richesse des parfums estivaux avec ses notes gourmandes de fraise, portées par la force aromatique du basilic. Une composition lumineuse et intense qui rend hommage à une nature généreuse, source intarissable d’associations et de plaisirs.</v>
          </cell>
          <cell r="Y206"/>
          <cell r="Z206" t="str">
            <v>Ingrédients : thé vert*, basilic* 9%, arôme naturel de fraise* 3%, écorce d'orange*, pétales de bleuet*, huile essentielle de citron*. *Issu de l'agriculture biologique.</v>
          </cell>
          <cell r="AA206" t="str">
            <v>/</v>
          </cell>
          <cell r="AB206" t="str">
            <v>Membre certifié World Fair Trade Organization, Les Jardins de Gaïa s’engagent pour un commerce plus juste et répondent aux exigences du commerce équitable. Pour en savoir plus : www.wfto.com.</v>
          </cell>
          <cell r="AC206">
            <v>1.5</v>
          </cell>
          <cell r="AD206" t="str">
            <v>3</v>
          </cell>
          <cell r="AE206">
            <v>75</v>
          </cell>
          <cell r="AF206">
            <v>2</v>
          </cell>
          <cell r="AG206">
            <v>750</v>
          </cell>
          <cell r="AH206">
            <v>3582810361016</v>
          </cell>
          <cell r="AI206" t="str">
            <v>/</v>
          </cell>
          <cell r="AJ206" t="str">
            <v>INTERNE</v>
          </cell>
          <cell r="AK206" t="str">
            <v>INTERNE</v>
          </cell>
          <cell r="AL206" t="str">
            <v>/</v>
          </cell>
          <cell r="AM206" t="str">
            <v>Création maison</v>
          </cell>
        </row>
        <row r="207">
          <cell r="A207" t="str">
            <v>TA6102</v>
          </cell>
          <cell r="B207"/>
          <cell r="C207" t="str">
            <v>X</v>
          </cell>
          <cell r="D207"/>
          <cell r="E207"/>
          <cell r="F207"/>
          <cell r="G207"/>
          <cell r="H207" t="str">
            <v>LES GRANDS CLASSIQUES</v>
          </cell>
          <cell r="I207"/>
          <cell r="J207" t="str">
            <v>Fraises au basilic</v>
          </cell>
          <cell r="K207" t="str">
            <v>Basilic - Saveur fraise</v>
          </cell>
          <cell r="L207" t="str">
            <v>Thé vert aromatisé</v>
          </cell>
          <cell r="M207" t="str">
            <v>Chine - Inde - Vietnam</v>
          </cell>
          <cell r="N207" t="str">
            <v>AB</v>
          </cell>
          <cell r="O207" t="str">
            <v>WFTO</v>
          </cell>
          <cell r="P207" t="str">
            <v>/</v>
          </cell>
          <cell r="Q207" t="str">
            <v>/</v>
          </cell>
          <cell r="R207" t="str">
            <v>/</v>
          </cell>
          <cell r="S207" t="str">
            <v>/</v>
          </cell>
          <cell r="T207" t="str">
            <v>Agriculture UE/non UE</v>
          </cell>
          <cell r="U207"/>
          <cell r="V207" t="str">
            <v>Ce thé vert original rappelle la richesse des saveurs estivales avec un parfum gourmand de fraise, porté par la force du basilic. Une composition aromatique d’une belle intensité qui rend hommage à une nature généreuse, source intarissable d’associations et de plaisirs.</v>
          </cell>
          <cell r="W207" t="str">
            <v>S21</v>
          </cell>
          <cell r="X207" t="str">
            <v>Cette recette originale à base de thé vert évoque la richesse des parfums estivaux avec ses notes gourmandes de fraise, portées par la force aromatique du basilic. Une composition lumineuse et intense qui rend hommage à une nature généreuse, source intarissable d’associations et de plaisirs.</v>
          </cell>
          <cell r="Y207"/>
          <cell r="Z207" t="str">
            <v>Ingrédients : thé vert*, basilic* 9%, arôme naturel de fraise* 3%, écorce d'orange*, pétales de bleuet*, huile essentielle de citron*. *Issu de l'agriculture biologique.</v>
          </cell>
          <cell r="AA207" t="str">
            <v>/</v>
          </cell>
          <cell r="AB207" t="str">
            <v>Membre certifié World Fair Trade Organization, Les Jardins de Gaïa s’engagent pour un commerce plus juste et répondent aux exigences du commerce équitable. Pour en savoir plus : www.wfto.com.</v>
          </cell>
          <cell r="AC207">
            <v>100</v>
          </cell>
          <cell r="AD207" t="str">
            <v>3-4</v>
          </cell>
          <cell r="AE207">
            <v>85</v>
          </cell>
          <cell r="AF207">
            <v>2</v>
          </cell>
          <cell r="AG207">
            <v>50</v>
          </cell>
          <cell r="AH207">
            <v>3582810361023</v>
          </cell>
          <cell r="AI207" t="str">
            <v>/</v>
          </cell>
          <cell r="AJ207" t="str">
            <v>ETVA610V5</v>
          </cell>
          <cell r="AK207" t="str">
            <v>ETVA610V5</v>
          </cell>
          <cell r="AL207" t="str">
            <v>ETCVA6102V5</v>
          </cell>
          <cell r="AM207" t="str">
            <v>Création maison</v>
          </cell>
        </row>
        <row r="208">
          <cell r="A208" t="str">
            <v>TA6201</v>
          </cell>
          <cell r="B208"/>
          <cell r="C208" t="str">
            <v>X</v>
          </cell>
          <cell r="D208"/>
          <cell r="E208"/>
          <cell r="F208"/>
          <cell r="G208"/>
          <cell r="H208" t="str">
            <v>LES GRANDS CLASSIQUES</v>
          </cell>
          <cell r="I208"/>
          <cell r="J208" t="str">
            <v>Fruits de sagesse</v>
          </cell>
          <cell r="K208" t="str">
            <v>Fleurs de sureau - Framboise</v>
          </cell>
          <cell r="L208" t="str">
            <v>Thé vert aromatisé</v>
          </cell>
          <cell r="M208" t="str">
            <v>Inde - Chine</v>
          </cell>
          <cell r="N208" t="str">
            <v>AB</v>
          </cell>
          <cell r="O208" t="str">
            <v>WFTO</v>
          </cell>
          <cell r="P208" t="str">
            <v>/</v>
          </cell>
          <cell r="Q208" t="str">
            <v>/</v>
          </cell>
          <cell r="R208" t="str">
            <v>/</v>
          </cell>
          <cell r="S208" t="str">
            <v>/</v>
          </cell>
          <cell r="T208" t="str">
            <v>Agriculture UE/non UE</v>
          </cell>
          <cell r="U208"/>
          <cell r="V208" t="str">
            <v xml:space="preserve">Cette harmonie aux notes herbacées de thé vert et de feuilles de moringa est agréablement relevée par de gourmands accents de framboise et des notes de miel caractéristiques de la fleur de sureau. Une composition d’un équilibre parfait qui amène naturellement l’esprit à une douce méditation… </v>
          </cell>
          <cell r="W208" t="str">
            <v>S15</v>
          </cell>
          <cell r="X208" t="str">
            <v xml:space="preserve">Cette composition trouve sa belle harmonie entre les notes végétales du thé vert et de la moringa, les accents acidulés de la framboise et les notes miellées de la fleur de sureau. Un équilibre parfait qui amène naturellement l’esprit à une douce méditation sur la gourmandise… </v>
          </cell>
          <cell r="Y208"/>
          <cell r="Z208" t="str">
            <v>Ingrédients : thé vert*, fleurs de sureau* 33%, arôme naturel de framboise* 9%, morceaux de framboise* 7%, feuilles de moringa*. *Issu de l'agriculture biologique.</v>
          </cell>
          <cell r="AA208" t="str">
            <v>/</v>
          </cell>
          <cell r="AB208" t="str">
            <v>Membre certifié World Fair Trade Organization, Les Jardins de Gaïa s’engagent pour un commerce plus juste et répondent aux exigences du commerce équitable. Pour en savoir plus : www.wfto.com.</v>
          </cell>
          <cell r="AC208">
            <v>1.5</v>
          </cell>
          <cell r="AD208" t="str">
            <v>3-4</v>
          </cell>
          <cell r="AE208" t="str">
            <v>80-85</v>
          </cell>
          <cell r="AF208">
            <v>2</v>
          </cell>
          <cell r="AG208">
            <v>750</v>
          </cell>
          <cell r="AH208">
            <v>3582810362013</v>
          </cell>
          <cell r="AI208" t="str">
            <v>/</v>
          </cell>
          <cell r="AJ208" t="str">
            <v>INTERNE</v>
          </cell>
          <cell r="AK208" t="str">
            <v>INTERNE</v>
          </cell>
          <cell r="AL208" t="str">
            <v>/</v>
          </cell>
          <cell r="AM208" t="str">
            <v>Création maison</v>
          </cell>
        </row>
        <row r="209">
          <cell r="A209" t="str">
            <v>TA6202</v>
          </cell>
          <cell r="B209"/>
          <cell r="C209" t="str">
            <v>X</v>
          </cell>
          <cell r="D209" t="str">
            <v>X</v>
          </cell>
          <cell r="E209" t="str">
            <v>X</v>
          </cell>
          <cell r="F209" t="str">
            <v>BRODART</v>
          </cell>
          <cell r="G209"/>
          <cell r="H209" t="str">
            <v>LES GRANDS CLASSIQUES</v>
          </cell>
          <cell r="I209"/>
          <cell r="J209" t="str">
            <v>Fruits de sagesse</v>
          </cell>
          <cell r="K209" t="str">
            <v>Fleurs de sureau - Framboise</v>
          </cell>
          <cell r="L209" t="str">
            <v>Thé vert aromatisé</v>
          </cell>
          <cell r="M209" t="str">
            <v>Inde - Chine</v>
          </cell>
          <cell r="N209" t="str">
            <v>AB</v>
          </cell>
          <cell r="O209" t="str">
            <v>WFTO</v>
          </cell>
          <cell r="P209" t="str">
            <v>/</v>
          </cell>
          <cell r="Q209" t="str">
            <v>/</v>
          </cell>
          <cell r="R209" t="str">
            <v>/</v>
          </cell>
          <cell r="S209" t="str">
            <v>/</v>
          </cell>
          <cell r="T209" t="str">
            <v>Agriculture UE/non UE</v>
          </cell>
          <cell r="U209"/>
          <cell r="V209" t="str">
            <v xml:space="preserve">Cette harmonie aux notes herbacées de thé vert et de feuilles de moringa est agréablement relevée par de gourmands accents de framboise et des notes de miel caractéristiques de la fleur de sureau. Une composition d’un équilibre parfait qui amène naturellement l’esprit à une douce méditation… </v>
          </cell>
          <cell r="W209" t="str">
            <v>S15</v>
          </cell>
          <cell r="X209" t="str">
            <v xml:space="preserve">Cette composition trouve sa belle harmonie entre les notes végétales du thé vert et de la moringa, les accents acidulés de la framboise et les notes miellées de la fleur de sureau. Un équilibre parfait qui amène naturellement l’esprit à une douce méditation sur la gourmandise… </v>
          </cell>
          <cell r="Y209"/>
          <cell r="Z209" t="str">
            <v>Ingrédients : thé vert*, fleurs de sureau* 33%, arôme naturel de framboise* 9%, morceaux de framboise* 7%, feuilles de moringa*. *Issu de l'agriculture biologique.</v>
          </cell>
          <cell r="AA209" t="str">
            <v>/</v>
          </cell>
          <cell r="AB209" t="str">
            <v>Membre certifié World Fair Trade Organization, Les Jardins de Gaïa s’engagent pour un commerce plus juste et répondent aux exigences du commerce équitable. Pour en savoir plus : www.wfto.com.</v>
          </cell>
          <cell r="AC209">
            <v>80</v>
          </cell>
          <cell r="AD209" t="str">
            <v>3-4</v>
          </cell>
          <cell r="AE209" t="str">
            <v>80-85</v>
          </cell>
          <cell r="AF209">
            <v>2</v>
          </cell>
          <cell r="AG209">
            <v>40</v>
          </cell>
          <cell r="AH209">
            <v>3582810362020</v>
          </cell>
          <cell r="AI209" t="str">
            <v>/</v>
          </cell>
          <cell r="AJ209" t="str">
            <v>ETVA620V5</v>
          </cell>
          <cell r="AK209" t="str">
            <v>ETVA620V5</v>
          </cell>
          <cell r="AL209" t="str">
            <v>ETCVA6202V5</v>
          </cell>
          <cell r="AM209" t="str">
            <v>Création maison</v>
          </cell>
        </row>
        <row r="210">
          <cell r="A210" t="str">
            <v>TA6941</v>
          </cell>
          <cell r="B210"/>
          <cell r="C210"/>
          <cell r="D210"/>
          <cell r="E210"/>
          <cell r="F210"/>
          <cell r="G210"/>
          <cell r="H210" t="str">
            <v>LES GRANDS CLASSIQUES</v>
          </cell>
          <cell r="I210"/>
          <cell r="J210" t="str">
            <v>Fruits défendus</v>
          </cell>
          <cell r="K210" t="str">
            <v>Pomme - Saveur poire</v>
          </cell>
          <cell r="L210" t="str">
            <v>Thé vert aromatisé</v>
          </cell>
          <cell r="M210" t="str">
            <v>Chine</v>
          </cell>
          <cell r="N210" t="str">
            <v>AB</v>
          </cell>
          <cell r="O210" t="str">
            <v>WFTO</v>
          </cell>
          <cell r="P210" t="str">
            <v>/</v>
          </cell>
          <cell r="Q210" t="str">
            <v>/</v>
          </cell>
          <cell r="R210" t="str">
            <v>/</v>
          </cell>
          <cell r="S210" t="str">
            <v>/</v>
          </cell>
          <cell r="T210" t="str">
            <v>Agriculture UE/non UE</v>
          </cell>
          <cell r="U210"/>
          <cell r="V210" t="str">
            <v>Ce thé vert suave et frais aux saveurs fruitées et légèrement acidulées est une invitation à croquer la pomme… Un péché gourmand au goût onctueux et sucré qui se déguste lors de moments privilégiés, en mode chaud ou glacé.</v>
          </cell>
          <cell r="W210"/>
          <cell r="X210" t="str">
            <v>Cette recette à base de thé vert, suave et fraîche, est une invitation à goûter le fruit défendu. Les saveurs fruitées et légèrement acidulées de la pomme sont accompagnées par la douceur de la poire. Une gourmandise qui se déguste aussi bien chaude que glacée.</v>
          </cell>
          <cell r="Y210"/>
          <cell r="Z210" t="str">
            <v>Ingrédients : thé vert*, arômes naturels de (pomme*, poire*) 4%, morceaux de pomme* 2%, pétales de rose*. *Issu de l'agriculture biologique.</v>
          </cell>
          <cell r="AA210" t="str">
            <v>/</v>
          </cell>
          <cell r="AB210" t="str">
            <v>Membre certifié World Fair Trade Organization, Les Jardins de Gaïa s’engagent pour un commerce plus juste et répondent aux exigences du commerce équitable. Pour en savoir plus : www.wfto.com.</v>
          </cell>
          <cell r="AC210">
            <v>1.5</v>
          </cell>
          <cell r="AD210" t="str">
            <v>3</v>
          </cell>
          <cell r="AE210">
            <v>75</v>
          </cell>
          <cell r="AF210">
            <v>2</v>
          </cell>
          <cell r="AG210">
            <v>750</v>
          </cell>
          <cell r="AH210">
            <v>3582810869413</v>
          </cell>
          <cell r="AI210" t="str">
            <v>/</v>
          </cell>
          <cell r="AJ210" t="str">
            <v>INTERNE</v>
          </cell>
          <cell r="AK210" t="str">
            <v>INTERNE</v>
          </cell>
          <cell r="AL210" t="str">
            <v>/</v>
          </cell>
          <cell r="AM210" t="str">
            <v>Création maison</v>
          </cell>
        </row>
        <row r="211">
          <cell r="A211" t="str">
            <v>TA6942</v>
          </cell>
          <cell r="B211"/>
          <cell r="C211" t="str">
            <v>X</v>
          </cell>
          <cell r="D211" t="str">
            <v>x</v>
          </cell>
          <cell r="E211" t="str">
            <v>x</v>
          </cell>
          <cell r="F211" t="str">
            <v>GRAI</v>
          </cell>
          <cell r="G211">
            <v>45383</v>
          </cell>
          <cell r="H211" t="str">
            <v>LES GRANDS CLASSIQUES</v>
          </cell>
          <cell r="I211"/>
          <cell r="J211" t="str">
            <v>Fruits défendus</v>
          </cell>
          <cell r="K211" t="str">
            <v>Pomme - Saveur poire</v>
          </cell>
          <cell r="L211" t="str">
            <v>Thé vert aromatisé</v>
          </cell>
          <cell r="M211" t="str">
            <v>Chine</v>
          </cell>
          <cell r="N211" t="str">
            <v>AB</v>
          </cell>
          <cell r="O211" t="str">
            <v>WFTO</v>
          </cell>
          <cell r="P211" t="str">
            <v>/</v>
          </cell>
          <cell r="Q211" t="str">
            <v>/</v>
          </cell>
          <cell r="R211" t="str">
            <v>/</v>
          </cell>
          <cell r="S211" t="str">
            <v>/</v>
          </cell>
          <cell r="T211" t="str">
            <v>Agriculture UE/non UE</v>
          </cell>
          <cell r="U211"/>
          <cell r="V211" t="str">
            <v>Ce thé vert suave et frais aux saveurs fruitées et légèrement acidulées est une invitation à croquer la pomme… Un péché gourmand au goût onctueux et sucré qui se déguste lors de moments privilégiés, en mode chaud ou glacé.</v>
          </cell>
          <cell r="W211"/>
          <cell r="X211" t="str">
            <v>Cette recette à base de thé vert, suave et fraîche, est une invitation à goûter le fruit défendu. Les saveurs fruitées et légèrement acidulées de la pomme sont accompagnées par la douceur de la poire. Une gourmandise qui se déguste aussi bien chaude que glacée.</v>
          </cell>
          <cell r="Y211"/>
          <cell r="Z211" t="str">
            <v>Ingrédients : thé vert*, arômes naturels de (pomme*, poire*) 4%, morceaux de pomme* 2%, pétales de rose*. *Issu de l'agriculture biologique.</v>
          </cell>
          <cell r="AA211" t="str">
            <v>/</v>
          </cell>
          <cell r="AB211" t="str">
            <v>Membre certifié World Fair Trade Organization, Les Jardins de Gaïa s’engagent pour un commerce plus juste et répondent aux exigences du commerce équitable. Pour en savoir plus : www.wfto.com.</v>
          </cell>
          <cell r="AC211">
            <v>100</v>
          </cell>
          <cell r="AD211" t="str">
            <v>3</v>
          </cell>
          <cell r="AE211">
            <v>75</v>
          </cell>
          <cell r="AF211">
            <v>2</v>
          </cell>
          <cell r="AG211">
            <v>50</v>
          </cell>
          <cell r="AH211">
            <v>3582811769422</v>
          </cell>
          <cell r="AI211" t="str">
            <v>/</v>
          </cell>
          <cell r="AJ211" t="str">
            <v>ETVA694V5</v>
          </cell>
          <cell r="AK211" t="str">
            <v>ETVA694V5</v>
          </cell>
          <cell r="AL211" t="str">
            <v>ETCVA6942V5</v>
          </cell>
          <cell r="AM211" t="str">
            <v>Création maison</v>
          </cell>
        </row>
        <row r="212">
          <cell r="A212" t="str">
            <v>TN2255</v>
          </cell>
          <cell r="B212"/>
          <cell r="C212"/>
          <cell r="D212"/>
          <cell r="E212"/>
          <cell r="F212"/>
          <cell r="G212"/>
          <cell r="H212" t="str">
            <v>LES GRAND CRUS</v>
          </cell>
          <cell r="I212"/>
          <cell r="J212" t="str">
            <v>Full Moon Spirit</v>
          </cell>
          <cell r="K212" t="str">
            <v>jardin de Selimbong Ex.13.04.2023
cultivar selimbong PS 312</v>
          </cell>
          <cell r="L212" t="str">
            <v>Thé noir primeur</v>
          </cell>
          <cell r="M212" t="str">
            <v>Inde - Darjeeling - Selimbong garden</v>
          </cell>
          <cell r="N212" t="str">
            <v>AB</v>
          </cell>
          <cell r="O212" t="str">
            <v>WFTO</v>
          </cell>
          <cell r="P212" t="str">
            <v>D</v>
          </cell>
          <cell r="Q212" t="str">
            <v>/</v>
          </cell>
          <cell r="R212" t="str">
            <v>IGP</v>
          </cell>
          <cell r="S212" t="str">
            <v>/</v>
          </cell>
          <cell r="T212" t="str">
            <v>Agriculture Inde</v>
          </cell>
          <cell r="U212"/>
          <cell r="V212" t="str">
            <v>Primeur du jardin de Selimbong cueilli un soir de pleine lune. Notes : herbes et fleurs sauvages, amande verte.</v>
          </cell>
          <cell r="W212" t="str">
            <v>S23</v>
          </cell>
          <cell r="X212" t="str">
            <v>Cueilli par un soir de pleine lune dans le jardin de Selimbong auréolé de mystiques indiennes, ce thé noir primeur est un enchantement ! Sa liqueur offre des saveurs d’herbe coupée, d’amande fraîche et de miel de fleurs sauvages particulièrement expressives qui enrobent le palais avec gourmandise.
Texte court : Primeur du jardin de Selimbong cueilli par un soir de pleine lune. Notes : herbe coupée, amande fraîche, miel de fleurs sauvages.</v>
          </cell>
          <cell r="Y212"/>
          <cell r="Z212" t="str">
            <v xml:space="preserve">Ingrédient : thé noir**. **Issu de l'agriculture biologique et biodynamique. demeter est la marque des produits issus de l'agriculture biodynamique certifiée. </v>
          </cell>
          <cell r="AA212" t="str">
            <v>/</v>
          </cell>
          <cell r="AB212" t="str">
            <v>Membre certifié World Fair Trade Organization, Les Jardins de Gaïa s’engagent pour un commerce plus juste et répondent aux exigences du commerce équitable. Pour en savoir plus : www.wfto.com.</v>
          </cell>
          <cell r="AC212">
            <v>400</v>
          </cell>
          <cell r="AD212" t="str">
            <v>2</v>
          </cell>
          <cell r="AE212">
            <v>90</v>
          </cell>
          <cell r="AF212">
            <v>2</v>
          </cell>
          <cell r="AG212">
            <v>250</v>
          </cell>
          <cell r="AH212">
            <v>3582810222553</v>
          </cell>
          <cell r="AI212" t="str">
            <v>/</v>
          </cell>
          <cell r="AJ212" t="str">
            <v>INTERNE</v>
          </cell>
          <cell r="AK212" t="str">
            <v>INTERNE</v>
          </cell>
          <cell r="AL212" t="str">
            <v>/</v>
          </cell>
          <cell r="AM212" t="str">
            <v>Selimong Tea Estate</v>
          </cell>
        </row>
        <row r="213">
          <cell r="A213" t="str">
            <v>TN2256</v>
          </cell>
          <cell r="B213"/>
          <cell r="C213"/>
          <cell r="D213"/>
          <cell r="E213"/>
          <cell r="F213"/>
          <cell r="G213"/>
          <cell r="H213" t="str">
            <v>LES GRAND CRUS</v>
          </cell>
          <cell r="I213"/>
          <cell r="J213" t="str">
            <v>Full Moon Spirit</v>
          </cell>
          <cell r="K213" t="str">
            <v>jardin de Selimbong Ex.13.04.2023
cultivar selimbong PS 312</v>
          </cell>
          <cell r="L213" t="str">
            <v>Thé noir primeur</v>
          </cell>
          <cell r="M213" t="str">
            <v>Inde - Darjeeling - Selimbong garden</v>
          </cell>
          <cell r="N213" t="str">
            <v>AB</v>
          </cell>
          <cell r="O213" t="str">
            <v>WFTO</v>
          </cell>
          <cell r="P213" t="str">
            <v>D</v>
          </cell>
          <cell r="Q213" t="str">
            <v>/</v>
          </cell>
          <cell r="R213" t="str">
            <v>IGP</v>
          </cell>
          <cell r="S213" t="str">
            <v>/</v>
          </cell>
          <cell r="T213" t="str">
            <v>Agriculture Inde</v>
          </cell>
          <cell r="U213"/>
          <cell r="V213" t="str">
            <v>Primeur du jardin de Selimbong cueilli un soir de pleine lune. Notes : herbes et fleurs sauvages, amande verte.</v>
          </cell>
          <cell r="W213" t="str">
            <v>S23</v>
          </cell>
          <cell r="X213" t="str">
            <v>Cueilli par un soir de pleine lune dans le jardin de Selimbong auréolé de mystiques indiennes, ce thé noir primeur est un enchantement ! Sa liqueur offre des saveurs d’herbe coupée, d’amande fraîche et de miel de fleurs sauvages particulièrement expressives qui enrobent le palais avec gourmandise.
Texte court : Primeur du jardin de Selimbong cueilli par un soir de pleine lune. Notes : herbe coupée, amande fraîche, miel de fleurs sauvages.</v>
          </cell>
          <cell r="Y213"/>
          <cell r="Z213" t="str">
            <v xml:space="preserve">Ingrédient : thé noir**. **Issu de l'agriculture biologique et biodynamique. demeter est la marque des produits issus de l'agriculture biodynamique certifiée. </v>
          </cell>
          <cell r="AA213" t="str">
            <v>/</v>
          </cell>
          <cell r="AB213" t="str">
            <v>Membre certifié World Fair Trade Organization, Les Jardins de Gaïa s’engagent pour un commerce plus juste et répondent aux exigences du commerce équitable. Pour en savoir plus : www.wfto.com.</v>
          </cell>
          <cell r="AC213">
            <v>50</v>
          </cell>
          <cell r="AD213" t="str">
            <v>2</v>
          </cell>
          <cell r="AE213">
            <v>90</v>
          </cell>
          <cell r="AF213">
            <v>2</v>
          </cell>
          <cell r="AG213">
            <v>25</v>
          </cell>
          <cell r="AH213">
            <v>3582810222560</v>
          </cell>
          <cell r="AI213" t="str">
            <v>/</v>
          </cell>
          <cell r="AJ213" t="str">
            <v>ETNN225FF22</v>
          </cell>
          <cell r="AK213" t="str">
            <v>ETNN225FF22V5</v>
          </cell>
          <cell r="AL213" t="str">
            <v>Q de tube</v>
          </cell>
          <cell r="AM213" t="str">
            <v>Selimong Tea Estate</v>
          </cell>
        </row>
        <row r="214">
          <cell r="A214" t="str">
            <v>TUTB3106</v>
          </cell>
          <cell r="B214"/>
          <cell r="C214"/>
          <cell r="D214"/>
          <cell r="E214"/>
          <cell r="F214"/>
          <cell r="G214"/>
          <cell r="H214" t="str">
            <v>LES PRECIEUX DU JAPON ET DE TAIWAN</v>
          </cell>
          <cell r="I214"/>
          <cell r="J214" t="str">
            <v>Gaba Thé Blanc "Main de Bouddha"</v>
          </cell>
          <cell r="K214" t="str">
            <v>jardin Shi Men (porte de pierre)</v>
          </cell>
          <cell r="L214" t="str">
            <v>Thé blanc</v>
          </cell>
          <cell r="M214" t="str">
            <v>Taïwan - New Taipei</v>
          </cell>
          <cell r="N214" t="str">
            <v>sans résidus de pesticides</v>
          </cell>
          <cell r="O214" t="str">
            <v>/</v>
          </cell>
          <cell r="P214" t="str">
            <v>/</v>
          </cell>
          <cell r="Q214" t="str">
            <v>/</v>
          </cell>
          <cell r="R214" t="str">
            <v>/</v>
          </cell>
          <cell r="S214" t="str">
            <v>/</v>
          </cell>
          <cell r="T214" t="str">
            <v>Agriculture Taïwan</v>
          </cell>
          <cell r="U214"/>
          <cell r="V214" t="str">
            <v>Les grandes feuilles de ce thé blanc original issu du très confidentiel cultivar Fo Shou (main de Bouddha) contiennent un taux d’acide aminé gaba particulièrement élevé. Sa liqueur souple séduit par ses saveurs intenses de prune cuite agréablement soulignée par une note fraîche d’eucalyptus.</v>
          </cell>
          <cell r="W214" t="str">
            <v>S23</v>
          </cell>
          <cell r="X214" t="str">
            <v xml:space="preserve">Les grandes feuilles de ce thé blanc original issu du très confidentiel cultivar Fo Shou (main de Bouddha) contiennent un taux d’acide aminé gaba particulièrement élevé. Sa liqueur souple séduit par ses saveurs intenses de prune cuite agréablement soulignée par une note fraîche d’eucalyptus. </v>
          </cell>
          <cell r="Y214"/>
          <cell r="Z214" t="str">
            <v xml:space="preserve">Ingrédient : thé blanc.
Garanti sans résidus de pesticides. </v>
          </cell>
          <cell r="AA214" t="str">
            <v>/</v>
          </cell>
          <cell r="AB214" t="str">
            <v>/</v>
          </cell>
          <cell r="AC214">
            <v>10</v>
          </cell>
          <cell r="AD214" t="str">
            <v>5</v>
          </cell>
          <cell r="AE214">
            <v>90</v>
          </cell>
          <cell r="AF214">
            <v>2</v>
          </cell>
          <cell r="AG214">
            <v>5</v>
          </cell>
          <cell r="AH214">
            <v>3582810631065</v>
          </cell>
          <cell r="AI214" t="str">
            <v>Plusieurs infusions</v>
          </cell>
          <cell r="AJ214" t="str">
            <v>ETTUTB3106</v>
          </cell>
          <cell r="AK214" t="str">
            <v>ETTUTB3106V5</v>
          </cell>
          <cell r="AL214"/>
          <cell r="AM214" t="str">
            <v>jardin Shi Men (porte de pierre)</v>
          </cell>
        </row>
        <row r="215">
          <cell r="A215" t="str">
            <v>TO1245</v>
          </cell>
          <cell r="B215"/>
          <cell r="C215"/>
          <cell r="D215"/>
          <cell r="E215"/>
          <cell r="F215"/>
          <cell r="G215"/>
          <cell r="H215" t="str">
            <v>LES PRECIEUX DU JAPON ET DE TAIWAN</v>
          </cell>
          <cell r="I215"/>
          <cell r="J215" t="str">
            <v>Gaba wulong</v>
          </cell>
          <cell r="K215" t="str">
            <v>/</v>
          </cell>
          <cell r="L215" t="str">
            <v>Thé wulong d'origine</v>
          </cell>
          <cell r="M215" t="str">
            <v>Taïwan - New Taipei</v>
          </cell>
          <cell r="N215" t="str">
            <v>AB</v>
          </cell>
          <cell r="O215" t="str">
            <v>/</v>
          </cell>
          <cell r="P215" t="str">
            <v>/</v>
          </cell>
          <cell r="Q215" t="str">
            <v>/</v>
          </cell>
          <cell r="R215" t="str">
            <v>/</v>
          </cell>
          <cell r="S215" t="str">
            <v>/</v>
          </cell>
          <cell r="T215" t="str">
            <v>Agriculture Taïwan</v>
          </cell>
          <cell r="U215"/>
          <cell r="V215" t="str">
            <v>Grand wulong au procédé de fabrication unique et aux saveurs complexes et intenses. Notes : pommes compotées, réglisse, iode, cacao, épices (cannelle, muscade). Agréable finale beurrée…</v>
          </cell>
          <cell r="W215" t="str">
            <v>S23</v>
          </cell>
          <cell r="X215" t="str">
            <v>Privées d'oxygène pendant leur phase d’oxydation, les feuilles de ce wulong ont développé leur richesse en acide aminé "gaba" et leur profil organoleptique particulier. Notes de pommes compotées, réglisse, iode, cacao, cannelle, muscade dessinent le foisonnant tableau aromatique de ce thé taiwanais.</v>
          </cell>
          <cell r="Y215"/>
          <cell r="Z215" t="str">
            <v>Ingrédient : thé wulong*. *Issu de l'agriculture biologique.</v>
          </cell>
          <cell r="AA215" t="str">
            <v>/</v>
          </cell>
          <cell r="AB215" t="str">
            <v>/</v>
          </cell>
          <cell r="AC215">
            <v>500</v>
          </cell>
          <cell r="AD215" t="str">
            <v>4-5</v>
          </cell>
          <cell r="AE215">
            <v>95</v>
          </cell>
          <cell r="AF215">
            <v>2</v>
          </cell>
          <cell r="AG215">
            <v>250</v>
          </cell>
          <cell r="AH215">
            <v>3582810712450</v>
          </cell>
          <cell r="AI215" t="str">
            <v>Plusieurs infusions</v>
          </cell>
          <cell r="AJ215" t="str">
            <v>INTERNE</v>
          </cell>
          <cell r="AK215" t="str">
            <v>INTERNE</v>
          </cell>
          <cell r="AL215" t="str">
            <v>/</v>
          </cell>
          <cell r="AM215" t="str">
            <v>Taiwan - Pinglin</v>
          </cell>
        </row>
        <row r="216">
          <cell r="A216" t="str">
            <v>TO1246</v>
          </cell>
          <cell r="B216"/>
          <cell r="C216"/>
          <cell r="D216"/>
          <cell r="E216"/>
          <cell r="F216"/>
          <cell r="G216"/>
          <cell r="H216" t="str">
            <v>LES PRECIEUX DU JAPON ET DE TAIWAN</v>
          </cell>
          <cell r="I216"/>
          <cell r="J216" t="str">
            <v>Gaba wulong</v>
          </cell>
          <cell r="K216" t="str">
            <v>/</v>
          </cell>
          <cell r="L216" t="str">
            <v>Thé wulong d'origine</v>
          </cell>
          <cell r="M216" t="str">
            <v>Taïwan - New Taipei</v>
          </cell>
          <cell r="N216" t="str">
            <v>AB</v>
          </cell>
          <cell r="O216" t="str">
            <v>/</v>
          </cell>
          <cell r="P216" t="str">
            <v>/</v>
          </cell>
          <cell r="Q216" t="str">
            <v>/</v>
          </cell>
          <cell r="R216" t="str">
            <v>/</v>
          </cell>
          <cell r="S216" t="str">
            <v>/</v>
          </cell>
          <cell r="T216" t="str">
            <v>Agriculture Taïwan</v>
          </cell>
          <cell r="U216"/>
          <cell r="V216" t="str">
            <v>Grand wulong au procédé de fabrication unique et aux saveurs complexes et intenses. Notes : pommes compotées, réglisse, iode, cacao, épices (cannelle, muscade). Agréable finale beurrée…</v>
          </cell>
          <cell r="W216" t="str">
            <v>S23</v>
          </cell>
          <cell r="X216" t="str">
            <v>Privées d'oxygène pendant leur phase d’oxydation, les feuilles de ce wulong ont développé leur richesse en acide aminé "gaba" et leur profil organoleptique particulier. Notes de pommes compotées, réglisse, iode, cacao, cannelle, muscade dessinent le foisonnant tableau aromatique de ce thé taiwanais.</v>
          </cell>
          <cell r="Y216"/>
          <cell r="Z216" t="str">
            <v>Ingrédient : thé wulong*. *Issu de l'agriculture biologique.</v>
          </cell>
          <cell r="AA216" t="str">
            <v>/</v>
          </cell>
          <cell r="AB216" t="str">
            <v>/</v>
          </cell>
          <cell r="AC216">
            <v>50</v>
          </cell>
          <cell r="AD216" t="str">
            <v>4-5</v>
          </cell>
          <cell r="AE216">
            <v>95</v>
          </cell>
          <cell r="AF216">
            <v>2</v>
          </cell>
          <cell r="AG216">
            <v>25</v>
          </cell>
          <cell r="AH216">
            <v>3582810712467</v>
          </cell>
          <cell r="AI216" t="str">
            <v>Plusieurs infusions</v>
          </cell>
          <cell r="AJ216" t="str">
            <v>ETTUTO1246</v>
          </cell>
          <cell r="AK216" t="str">
            <v>ETTUTO1246V5</v>
          </cell>
          <cell r="AL216" t="str">
            <v>/</v>
          </cell>
          <cell r="AM216" t="str">
            <v>Taiwan - Pinglin</v>
          </cell>
        </row>
        <row r="217">
          <cell r="A217" t="str">
            <v>TUTO1316</v>
          </cell>
          <cell r="B217"/>
          <cell r="C217"/>
          <cell r="D217"/>
          <cell r="E217"/>
          <cell r="F217"/>
          <cell r="G217"/>
          <cell r="H217" t="str">
            <v>LES PRECIEUX DU JAPON ET DE TAIWAN</v>
          </cell>
          <cell r="I217"/>
          <cell r="J217" t="str">
            <v>Gaba wulong Supérieur</v>
          </cell>
          <cell r="K217" t="str">
            <v>原鄉自然復育茶園 - «Jardin de thé de restauration écologique originelle»</v>
          </cell>
          <cell r="L217" t="str">
            <v>Thé wulong d'origine</v>
          </cell>
          <cell r="M217" t="str">
            <v>Taïwan - Nantou</v>
          </cell>
          <cell r="N217" t="str">
            <v>AB</v>
          </cell>
          <cell r="O217" t="str">
            <v>/</v>
          </cell>
          <cell r="P217" t="str">
            <v>/</v>
          </cell>
          <cell r="Q217" t="str">
            <v>/</v>
          </cell>
          <cell r="R217" t="str">
            <v>/</v>
          </cell>
          <cell r="S217" t="str">
            <v>/</v>
          </cell>
          <cell r="T217" t="str">
            <v>Agriculture Taïwan</v>
          </cell>
          <cell r="U217"/>
          <cell r="V217" t="str">
            <v>Ce gaba wulong issu du prestigieux cultivar Qing Xin a été produit au sein d’un jardin pionnier de l’agriculture biologique à Taïwan. La liqueur séduit par ses notes de cerise fraîche et de feuilles de sakura, mises en valeur par un fond malté, boisé et torréfié particulièrement envoûtant.</v>
          </cell>
          <cell r="W217" t="str">
            <v>S23</v>
          </cell>
          <cell r="X217" t="str">
            <v>Ce gaba wulong supérieur issu du prestigieux cultivar Qing Xin a été produit au sein d’un jardin pionnier de l’agriculture biologique à Taïwan. La liqueur séduit par ses notes de cerise fraîche et de feuilles de sakura, mises en valeur par un fond malté, boisé et torréfié particulièrement envoûtant.</v>
          </cell>
          <cell r="Y217"/>
          <cell r="Z217" t="str">
            <v>Ingrédient : thé wulong*. *Issu de l'agriculture biologique.</v>
          </cell>
          <cell r="AA217" t="str">
            <v>/</v>
          </cell>
          <cell r="AB217" t="str">
            <v>/</v>
          </cell>
          <cell r="AC217">
            <v>50</v>
          </cell>
          <cell r="AD217" t="str">
            <v>5</v>
          </cell>
          <cell r="AE217">
            <v>95</v>
          </cell>
          <cell r="AF217">
            <v>2</v>
          </cell>
          <cell r="AG217">
            <v>25</v>
          </cell>
          <cell r="AH217">
            <v>3582810713167</v>
          </cell>
          <cell r="AI217" t="str">
            <v>Plusieurs infusions</v>
          </cell>
          <cell r="AJ217" t="str">
            <v>ETTUTO1316</v>
          </cell>
          <cell r="AK217" t="str">
            <v>ETTUTO1316V5</v>
          </cell>
          <cell r="AL217" t="str">
            <v>/</v>
          </cell>
          <cell r="AM217" t="str">
            <v>原鄉自然復育茶園 - «Jardin de thé de restauration écologique originelle»</v>
          </cell>
        </row>
        <row r="218">
          <cell r="A218" t="str">
            <v>TN3257</v>
          </cell>
          <cell r="B218"/>
          <cell r="C218" t="str">
            <v>X</v>
          </cell>
          <cell r="D218"/>
          <cell r="E218"/>
          <cell r="F218"/>
          <cell r="G218"/>
          <cell r="H218" t="str">
            <v>LES GRANDS CLASSIQUES</v>
          </cell>
          <cell r="I218"/>
          <cell r="J218" t="str">
            <v xml:space="preserve">Gaïa Bari Potong </v>
          </cell>
          <cell r="K218" t="str">
            <v>FTGFOP1 SF</v>
          </cell>
          <cell r="L218" t="str">
            <v>Thé noir d'origine</v>
          </cell>
          <cell r="M218" t="str">
            <v>Inde - Darjeeling</v>
          </cell>
          <cell r="N218" t="str">
            <v>AB</v>
          </cell>
          <cell r="O218" t="str">
            <v>WFTO</v>
          </cell>
          <cell r="P218" t="str">
            <v>/</v>
          </cell>
          <cell r="Q218" t="str">
            <v>/</v>
          </cell>
          <cell r="R218" t="str">
            <v>IGP</v>
          </cell>
          <cell r="S218" t="str">
            <v>/</v>
          </cell>
          <cell r="T218" t="str">
            <v>Agriculture Inde</v>
          </cell>
          <cell r="U218"/>
          <cell r="V218" t="str">
            <v>Littéralement “le jardin de Gaïa” en népalais, ce thé est pour nous l’aboutissement d’une belle collaboration avec le jardin Potong. Issu de théiers sélectionnés avec soin, il libère un nez floral et sucré qui révèle une infusion aux notes gourmandes de pain grillé accompagnées d’accents de pâte de fruits et de pointes discrètes de fleur de macis. Belle réussite, rare et cher à notre cœur, ce thé est un cadeau que nous sommes fiers de partager !</v>
          </cell>
          <cell r="W218" t="str">
            <v>S15</v>
          </cell>
          <cell r="X218" t="str">
            <v xml:space="preserve">Littéralement “le jardin de Gaïa” en népalais, ce thé noir Gaïa Bari est pour nous l’aboutissement d’une belle collaboration avec le petit jardin de thé de Potong. Il offre une liqueur aux saveurs gourmandes de pain grillé, de pâte de fruits, accompagnés d’une note discrète de fleur de macis. </v>
          </cell>
          <cell r="Y218"/>
          <cell r="Z218" t="str">
            <v>Ingrédient : thé noir*. *Issu de l'agriculture biologique.</v>
          </cell>
          <cell r="AA218" t="str">
            <v>/</v>
          </cell>
          <cell r="AB218" t="str">
            <v>Membre certifié World Fair Trade Organization, Les Jardins de Gaïa s’engagent pour un commerce plus juste et répondent aux exigences du commerce équitable. Pour en savoir plus : www.wfto.com.</v>
          </cell>
          <cell r="AC218">
            <v>1</v>
          </cell>
          <cell r="AD218" t="str">
            <v>3</v>
          </cell>
          <cell r="AE218">
            <v>90</v>
          </cell>
          <cell r="AF218">
            <v>2</v>
          </cell>
          <cell r="AG218">
            <v>500</v>
          </cell>
          <cell r="AH218">
            <v>3582810233979</v>
          </cell>
          <cell r="AI218" t="str">
            <v>/</v>
          </cell>
          <cell r="AJ218" t="str">
            <v>INTERNE</v>
          </cell>
          <cell r="AK218" t="str">
            <v>INTERNE</v>
          </cell>
          <cell r="AL218" t="str">
            <v>/</v>
          </cell>
          <cell r="AM218" t="str">
            <v>Création maison</v>
          </cell>
        </row>
        <row r="219">
          <cell r="A219" t="str">
            <v>TN3252</v>
          </cell>
          <cell r="B219"/>
          <cell r="C219" t="str">
            <v>X</v>
          </cell>
          <cell r="D219" t="str">
            <v>X</v>
          </cell>
          <cell r="E219" t="str">
            <v>X</v>
          </cell>
          <cell r="F219" t="str">
            <v>BRODART</v>
          </cell>
          <cell r="G219"/>
          <cell r="H219" t="str">
            <v>LES GRANDS CLASSIQUES</v>
          </cell>
          <cell r="I219"/>
          <cell r="J219" t="str">
            <v xml:space="preserve">Gaïa Bari Potong </v>
          </cell>
          <cell r="K219" t="str">
            <v>FTGFOP1 SF</v>
          </cell>
          <cell r="L219" t="str">
            <v>Thé noir d'origine</v>
          </cell>
          <cell r="M219" t="str">
            <v>Inde - Darjeeling</v>
          </cell>
          <cell r="N219" t="str">
            <v>AB</v>
          </cell>
          <cell r="O219" t="str">
            <v>WFTO</v>
          </cell>
          <cell r="P219" t="str">
            <v>/</v>
          </cell>
          <cell r="Q219" t="str">
            <v>/</v>
          </cell>
          <cell r="R219" t="str">
            <v>IGP</v>
          </cell>
          <cell r="S219" t="str">
            <v>/</v>
          </cell>
          <cell r="T219" t="str">
            <v>Agriculture Inde</v>
          </cell>
          <cell r="U219"/>
          <cell r="V219" t="str">
            <v>Littéralement “le jardin de Gaïa” en népalais, ce thé est pour nous l’aboutissement d’une belle collaboration avec le jardin Potong. Issu de théiers sélectionnés avec soin, il libère un nez floral et sucré qui révèle une infusion aux notes gourmandes de pain grillé accompagnées d’accents de pâte de fruits et de pointes discrètes de fleur de macis. Belle réussite, rare et cher à notre cœur, ce thé est un cadeau que nous sommes fiers de partager !</v>
          </cell>
          <cell r="W219" t="str">
            <v>S15</v>
          </cell>
          <cell r="X219" t="str">
            <v xml:space="preserve">Littéralement “le jardin de Gaïa” en népalais, ce thé noir Gaïa Bari est pour nous l’aboutissement d’une belle collaboration avec le petit jardin de thé de Potong. Il offre une liqueur aux saveurs gourmandes de pain grillé, de pâte de fruits, accompagnés d’une note discrète de fleur de macis. </v>
          </cell>
          <cell r="Y219"/>
          <cell r="Z219" t="str">
            <v>Ingrédient : thé noir*. *Issu de l'agriculture biologique.</v>
          </cell>
          <cell r="AA219" t="str">
            <v>/</v>
          </cell>
          <cell r="AB219" t="str">
            <v>Membre certifié World Fair Trade Organization, Les Jardins de Gaïa s’engagent pour un commerce plus juste et répondent aux exigences du commerce équitable. Pour en savoir plus : www.wfto.com.</v>
          </cell>
          <cell r="AC219">
            <v>100</v>
          </cell>
          <cell r="AD219" t="str">
            <v>3</v>
          </cell>
          <cell r="AE219">
            <v>90</v>
          </cell>
          <cell r="AF219">
            <v>2</v>
          </cell>
          <cell r="AG219">
            <v>50</v>
          </cell>
          <cell r="AH219">
            <v>3582810232521</v>
          </cell>
          <cell r="AI219" t="str">
            <v>/</v>
          </cell>
          <cell r="AJ219" t="str">
            <v>ETNN325V5</v>
          </cell>
          <cell r="AK219" t="str">
            <v>ETNN325V5</v>
          </cell>
          <cell r="AL219" t="str">
            <v>ETCNN3252V5</v>
          </cell>
          <cell r="AM219" t="str">
            <v>Création maison</v>
          </cell>
        </row>
        <row r="220">
          <cell r="A220" t="str">
            <v>TA6191</v>
          </cell>
          <cell r="B220"/>
          <cell r="C220" t="str">
            <v>X</v>
          </cell>
          <cell r="D220"/>
          <cell r="E220"/>
          <cell r="F220"/>
          <cell r="G220"/>
          <cell r="H220" t="str">
            <v>LES GRANDS CLASSIQUES</v>
          </cell>
          <cell r="I220"/>
          <cell r="J220" t="str">
            <v xml:space="preserve">Gaïa en fête </v>
          </cell>
          <cell r="K220" t="str">
            <v>Jasmin – Saveur framboise</v>
          </cell>
          <cell r="L220" t="str">
            <v>Thé vert aromatisé</v>
          </cell>
          <cell r="M220" t="str">
            <v>Chine - Inde - Vietnam</v>
          </cell>
          <cell r="N220" t="str">
            <v>AB</v>
          </cell>
          <cell r="O220" t="str">
            <v>/</v>
          </cell>
          <cell r="P220" t="str">
            <v>/</v>
          </cell>
          <cell r="Q220" t="str">
            <v>/</v>
          </cell>
          <cell r="R220" t="str">
            <v>/</v>
          </cell>
          <cell r="S220" t="str">
            <v>/</v>
          </cell>
          <cell r="T220" t="str">
            <v>Agriculture UE/non UE</v>
          </cell>
          <cell r="U220"/>
          <cell r="V220" t="str">
            <v>Joyeux mélange coloré de thés verts et noirs, saveurs fruitées, fleuries et généreuses pour une tasse gourmande et lumineuse à l’image des Jardins de Gaïa. Sur la route du thé, célébrons les belles énergies, l’engagement, la fête et remercions Gaïa, cette Terre riche de bon’Thé !</v>
          </cell>
          <cell r="W220" t="str">
            <v>S15</v>
          </cell>
          <cell r="X220" t="str">
            <v>Sur sa base de thé vert au jasmin et de thé noir, ce joyeux mariage floral, fruité et coloré est un régal pour les papilles ! Il offre une tasse gourmande aux saveurs enivrantes de jasmin, acidulées de framboise et miellées de sureau. Un thé qui fête la générosité de Gaïa notre Terre-Mère.</v>
          </cell>
          <cell r="Y220"/>
          <cell r="Z220" t="str">
            <v>Ingrédients : thé vert au jasmin* 37%, thé noir*, honeybush*, fleurs de sureau*, arômes naturels de (framboise* 3%, fleur de sureau*), buchu*, pétales de fleurs (souci*, amarante*, bleuet*, camomille*). *Issu de l'agriculture biologique.</v>
          </cell>
          <cell r="AA220" t="str">
            <v>/</v>
          </cell>
          <cell r="AB220" t="str">
            <v>/</v>
          </cell>
          <cell r="AC220">
            <v>1.5</v>
          </cell>
          <cell r="AD220" t="str">
            <v>3</v>
          </cell>
          <cell r="AE220" t="str">
            <v>85-90</v>
          </cell>
          <cell r="AF220">
            <v>2</v>
          </cell>
          <cell r="AG220">
            <v>750</v>
          </cell>
          <cell r="AH220">
            <v>3582810361917</v>
          </cell>
          <cell r="AI220" t="str">
            <v>plusieurs infusions</v>
          </cell>
          <cell r="AJ220" t="str">
            <v>INTERNE</v>
          </cell>
          <cell r="AK220" t="str">
            <v>INTERNE</v>
          </cell>
          <cell r="AL220" t="str">
            <v>/</v>
          </cell>
          <cell r="AM220" t="str">
            <v>Création maison</v>
          </cell>
        </row>
        <row r="221">
          <cell r="A221" t="str">
            <v>TA6192</v>
          </cell>
          <cell r="B221"/>
          <cell r="C221" t="str">
            <v>X</v>
          </cell>
          <cell r="D221" t="str">
            <v>X</v>
          </cell>
          <cell r="E221" t="str">
            <v>X</v>
          </cell>
          <cell r="F221" t="str">
            <v>BRODART</v>
          </cell>
          <cell r="G221"/>
          <cell r="H221" t="str">
            <v>LES GRANDS CLASSIQUES</v>
          </cell>
          <cell r="I221"/>
          <cell r="J221" t="str">
            <v xml:space="preserve">Gaïa en fête </v>
          </cell>
          <cell r="K221" t="str">
            <v>Jasmin – Saveur framboise</v>
          </cell>
          <cell r="L221" t="str">
            <v>Thé vert aromatisé</v>
          </cell>
          <cell r="M221" t="str">
            <v>Chine - Inde - Vietnam</v>
          </cell>
          <cell r="N221" t="str">
            <v>AB</v>
          </cell>
          <cell r="O221" t="str">
            <v>/</v>
          </cell>
          <cell r="P221" t="str">
            <v>/</v>
          </cell>
          <cell r="Q221" t="str">
            <v>/</v>
          </cell>
          <cell r="R221" t="str">
            <v>/</v>
          </cell>
          <cell r="S221" t="str">
            <v>/</v>
          </cell>
          <cell r="T221" t="str">
            <v>Agriculture UE/non UE</v>
          </cell>
          <cell r="U221"/>
          <cell r="V221" t="str">
            <v>Joyeux mélange coloré de thés verts et noirs, saveurs fruitées, fleuries et généreuses pour une tasse gourmande et lumineuse à l’image des Jardins de Gaïa. Sur la route du thé, célébrons les belles énergies, l’engagement, la fête et remercions Gaïa, cette Terre riche de bon’Thé !</v>
          </cell>
          <cell r="W221" t="str">
            <v>S15</v>
          </cell>
          <cell r="X221" t="str">
            <v>Sur sa base de thé vert au jasmin et de thé noir, ce joyeux mariage floral, fruité et coloré est un régal pour les papilles ! Il offre une tasse gourmande aux saveurs enivrantes de jasmin, acidulées de framboise et miellées de sureau. Un thé qui fête la générosité de Gaïa notre Terre-Mère.</v>
          </cell>
          <cell r="Y221"/>
          <cell r="Z221" t="str">
            <v>Ingrédients : thé vert au jasmin* 37%, thé noir*, honeybush*, fleurs de sureau*, arômes naturels de (framboise* 3%, fleur de sureau*), buchu*, pétales de fleurs (souci*, amarante*, bleuet*, camomille*). *Issu de l'agriculture biologique.</v>
          </cell>
          <cell r="AA221" t="str">
            <v>/</v>
          </cell>
          <cell r="AB221" t="str">
            <v>/</v>
          </cell>
          <cell r="AC221">
            <v>100</v>
          </cell>
          <cell r="AD221" t="str">
            <v>3</v>
          </cell>
          <cell r="AE221" t="str">
            <v>85-90</v>
          </cell>
          <cell r="AF221">
            <v>2</v>
          </cell>
          <cell r="AG221">
            <v>50</v>
          </cell>
          <cell r="AH221">
            <v>3582810361924</v>
          </cell>
          <cell r="AI221" t="str">
            <v>plusieurs infusions</v>
          </cell>
          <cell r="AJ221" t="str">
            <v>ETVA619V5</v>
          </cell>
          <cell r="AK221" t="str">
            <v>ETVA619V5</v>
          </cell>
          <cell r="AL221" t="str">
            <v>ETCVA6192V5</v>
          </cell>
          <cell r="AM221" t="str">
            <v>Création maison</v>
          </cell>
        </row>
        <row r="222">
          <cell r="A222" t="str">
            <v>TUTA6192</v>
          </cell>
          <cell r="B222"/>
          <cell r="C222"/>
          <cell r="D222"/>
          <cell r="E222"/>
          <cell r="F222"/>
          <cell r="G222"/>
          <cell r="H222" t="str">
            <v>LES GRANDS CLASSIQUES</v>
          </cell>
          <cell r="I222"/>
          <cell r="J222" t="str">
            <v xml:space="preserve">Gaïa en fête </v>
          </cell>
          <cell r="K222" t="str">
            <v>Jasmin – Saveur framboise</v>
          </cell>
          <cell r="L222" t="str">
            <v>Thé vert aromatisé</v>
          </cell>
          <cell r="M222" t="str">
            <v>Chine - Inde - Vietnam</v>
          </cell>
          <cell r="N222" t="str">
            <v>AB</v>
          </cell>
          <cell r="O222" t="str">
            <v>/</v>
          </cell>
          <cell r="P222" t="str">
            <v>/</v>
          </cell>
          <cell r="Q222" t="str">
            <v>/</v>
          </cell>
          <cell r="R222" t="str">
            <v>/</v>
          </cell>
          <cell r="S222" t="str">
            <v>/</v>
          </cell>
          <cell r="T222" t="str">
            <v>Agriculture UE/non UE</v>
          </cell>
          <cell r="U222"/>
          <cell r="V222" t="str">
            <v>Joyeux mélange coloré de thés verts et noirs, saveurs fruitées, fleuries et généreuses pour une tasse gourmande et lumineuse à l’image des Jardins de Gaïa. Sur la route du thé, célébrons les belles énergies, l’engagement, la fête et remercions Gaïa, cette Terre riche de bon’Thé !</v>
          </cell>
          <cell r="W222" t="str">
            <v>S15</v>
          </cell>
          <cell r="X222" t="str">
            <v>Sur sa base de thé vert au jasmin et de thé noir, ce joyeux mariage floral, fruité et coloré est un régal pour les papilles ! Il offre une tasse gourmande aux saveurs enivrantes de jasmin, acidulées de framboise et miellées de sureau. Un thé qui fête la générosité de Gaïa notre Terre-Mère.</v>
          </cell>
          <cell r="Y222"/>
          <cell r="Z222" t="str">
            <v>Ingrédients : thé vert au jasmin* 37%, thé noir*, honeybush*, fleurs de sureau*, arômes naturels de (framboise* 3%, fleur de sureau*), buchu*, pétales de fleurs (souci*, amarante*, bleuet*, camomille*). *Issu de l'agriculture biologique.</v>
          </cell>
          <cell r="AA222" t="str">
            <v>/</v>
          </cell>
          <cell r="AB222" t="str">
            <v>/</v>
          </cell>
          <cell r="AC222">
            <v>100</v>
          </cell>
          <cell r="AD222" t="str">
            <v>3</v>
          </cell>
          <cell r="AE222" t="str">
            <v>85-90</v>
          </cell>
          <cell r="AF222">
            <v>2</v>
          </cell>
          <cell r="AG222">
            <v>50</v>
          </cell>
          <cell r="AH222">
            <v>3582815661920</v>
          </cell>
          <cell r="AI222" t="str">
            <v>plusieurs infusions</v>
          </cell>
          <cell r="AJ222" t="str">
            <v>ETTUTA6192V5</v>
          </cell>
          <cell r="AK222" t="str">
            <v>ETTUTA6192V5</v>
          </cell>
          <cell r="AL222" t="str">
            <v>/</v>
          </cell>
          <cell r="AM222" t="str">
            <v>Création maison</v>
          </cell>
        </row>
        <row r="223">
          <cell r="A223" t="str">
            <v>TUO422</v>
          </cell>
          <cell r="B223"/>
          <cell r="C223"/>
          <cell r="D223"/>
          <cell r="E223"/>
          <cell r="F223"/>
          <cell r="G223"/>
          <cell r="H223" t="str">
            <v>LES GRAND CRUS</v>
          </cell>
          <cell r="I223"/>
          <cell r="J223" t="str">
            <v>Galette Pu'er Qi Zi Bing</v>
          </cell>
          <cell r="K223" t="str">
            <v>Millésime 2012</v>
          </cell>
          <cell r="L223" t="str">
            <v xml:space="preserve">Thé sombre pu'er compressé </v>
          </cell>
          <cell r="M223" t="str">
            <v>Chine - Yunnan</v>
          </cell>
          <cell r="N223" t="str">
            <v>AB</v>
          </cell>
          <cell r="O223" t="str">
            <v>WFTO</v>
          </cell>
          <cell r="P223" t="str">
            <v>/</v>
          </cell>
          <cell r="Q223" t="str">
            <v>WT</v>
          </cell>
          <cell r="R223" t="str">
            <v>/</v>
          </cell>
          <cell r="S223" t="str">
            <v>/</v>
          </cell>
          <cell r="T223" t="str">
            <v>Agriculture Chine</v>
          </cell>
          <cell r="U223"/>
          <cell r="V223" t="str">
            <v>Dans sa forme originale et traditionnelle, cet excellent pu'er ravira les amateurs. Saveur onctueuse et ronde, légèrement sucrée, présente en bouche, au parfum d'humus. Faible en théine, on le consomme tout au long de la journée. Quatre infusions possibles.</v>
          </cell>
          <cell r="W223" t="str">
            <v>S23</v>
          </cell>
          <cell r="X223" t="str">
            <v>Dans sa forme originale et traditionnelle de galette, cet excellent pu'er ravira les amateurs du célèbre thé fermenté. Ses saveurs onctueuses et rondes, légèrement sucrées et ses riches notes de sous-bois sont amenées à se développer avec le temps. Une valeur sûre !</v>
          </cell>
          <cell r="Y223"/>
          <cell r="Z223" t="str">
            <v>Ingrédient : thé sombre pu'er* compressé en galette. *Issu de l'agriculture biologique.</v>
          </cell>
          <cell r="AA223" t="str">
            <v>/</v>
          </cell>
          <cell r="AB223" t="str">
            <v>Membre certifié World Fair Trade Organization, Les Jardins de Gaïa s’engagent pour un commerce plus juste et répondent aux exigences du commerce équitable. Pour en savoir plus : www.wfto.com.</v>
          </cell>
          <cell r="AC223">
            <v>355</v>
          </cell>
          <cell r="AD223" t="str">
            <v>3-4</v>
          </cell>
          <cell r="AE223">
            <v>95</v>
          </cell>
          <cell r="AF223">
            <v>2</v>
          </cell>
          <cell r="AG223">
            <v>177</v>
          </cell>
          <cell r="AH223">
            <v>3582810204221</v>
          </cell>
          <cell r="AI223" t="str">
            <v>Plusieurs infusions</v>
          </cell>
          <cell r="AJ223" t="str">
            <v>ETNN422</v>
          </cell>
          <cell r="AK223" t="str">
            <v>ETNN422V5</v>
          </cell>
          <cell r="AL223" t="str">
            <v>ETCNN4222V5</v>
          </cell>
          <cell r="AM223" t="str">
            <v>Cangyuan Yisheng Organic Tea Specialized Cooperative</v>
          </cell>
        </row>
        <row r="224">
          <cell r="A224" t="str">
            <v>TV3331</v>
          </cell>
          <cell r="B224"/>
          <cell r="C224"/>
          <cell r="D224"/>
          <cell r="E224"/>
          <cell r="F224"/>
          <cell r="G224"/>
          <cell r="H224" t="str">
            <v>LES GRANDS CLASSIQUES</v>
          </cell>
          <cell r="I224"/>
          <cell r="J224" t="str">
            <v>Gampola Green</v>
          </cell>
          <cell r="K224" t="str">
            <v>/</v>
          </cell>
          <cell r="L224" t="str">
            <v>Thé vert d'origine</v>
          </cell>
          <cell r="M224" t="str">
            <v>Sri Lanka - Kandy</v>
          </cell>
          <cell r="N224" t="str">
            <v>AB</v>
          </cell>
          <cell r="O224" t="str">
            <v>WFTO</v>
          </cell>
          <cell r="P224" t="str">
            <v>/</v>
          </cell>
          <cell r="Q224" t="str">
            <v>/</v>
          </cell>
          <cell r="R224" t="str">
            <v>/</v>
          </cell>
          <cell r="S224" t="str">
            <v>/</v>
          </cell>
          <cell r="T224" t="str">
            <v>Agriculture Sri Lanka</v>
          </cell>
          <cell r="U224"/>
          <cell r="V224" t="str">
            <v>Délicieux thé de printemps, au bouquet frais et fleuri. Se caractérise par son arôme aux multiples nuances de fruits mûrs et sa liqueur légèrement sucrée, cristalline et dorée. À savourer par les connaisseurs. Délicat thé de l'après-midi.</v>
          </cell>
          <cell r="W224"/>
          <cell r="X224" t="str">
            <v>Ce délicieux thé vert indien au bouquet printanier frais et floral se caractérise par ses parfums aux multiples nuances de fruits mûrs et une liqueur cristalline aux agréables notes fruitées et sucrées. Un bon compagnon au quotidien qui ravira autant les connaisseurs que les amateurs.</v>
          </cell>
          <cell r="Y224"/>
          <cell r="Z224" t="str">
            <v>Ingrédient : thé vert*. *Issu de l'agriculture biologique.</v>
          </cell>
          <cell r="AA224" t="str">
            <v>/</v>
          </cell>
          <cell r="AB224" t="str">
            <v>Membre certifié World Fair Trade Organization, Les Jardins de Gaïa s’engagent pour un commerce plus juste et répondent aux exigences du commerce équitable. Pour en savoir plus : www.wfto.com.</v>
          </cell>
          <cell r="AC224">
            <v>1.5</v>
          </cell>
          <cell r="AD224" t="str">
            <v>3</v>
          </cell>
          <cell r="AE224">
            <v>80</v>
          </cell>
          <cell r="AF224">
            <v>2</v>
          </cell>
          <cell r="AG224">
            <v>750</v>
          </cell>
          <cell r="AH224">
            <v>3582810333310</v>
          </cell>
          <cell r="AI224" t="str">
            <v>/</v>
          </cell>
          <cell r="AJ224" t="str">
            <v>INTERNE</v>
          </cell>
          <cell r="AK224" t="str">
            <v>INTERNE</v>
          </cell>
          <cell r="AL224" t="str">
            <v>/</v>
          </cell>
          <cell r="AM224" t="str">
            <v>Small Organic Farmers' Association</v>
          </cell>
        </row>
        <row r="225">
          <cell r="A225" t="str">
            <v>TV3332</v>
          </cell>
          <cell r="B225"/>
          <cell r="C225" t="str">
            <v>X</v>
          </cell>
          <cell r="D225" t="str">
            <v>x</v>
          </cell>
          <cell r="E225" t="str">
            <v>x</v>
          </cell>
          <cell r="F225" t="str">
            <v>GRAI</v>
          </cell>
          <cell r="G225">
            <v>45383</v>
          </cell>
          <cell r="H225" t="str">
            <v>LES GRANDS CLASSIQUES</v>
          </cell>
          <cell r="I225"/>
          <cell r="J225" t="str">
            <v>Gampola Green</v>
          </cell>
          <cell r="K225" t="str">
            <v>/</v>
          </cell>
          <cell r="L225" t="str">
            <v>Thé vert d'origine</v>
          </cell>
          <cell r="M225" t="str">
            <v>Sri Lanka - Kandy</v>
          </cell>
          <cell r="N225" t="str">
            <v>AB</v>
          </cell>
          <cell r="O225" t="str">
            <v>WFTO</v>
          </cell>
          <cell r="P225" t="str">
            <v>/</v>
          </cell>
          <cell r="Q225" t="str">
            <v>/</v>
          </cell>
          <cell r="R225" t="str">
            <v>/</v>
          </cell>
          <cell r="S225" t="str">
            <v>/</v>
          </cell>
          <cell r="T225" t="str">
            <v>Agriculture Sri Lanka</v>
          </cell>
          <cell r="U225"/>
          <cell r="V225" t="str">
            <v>Délicieux thé de printemps, au bouquet frais et fleuri. Se caractérise par son arôme aux multiples nuances de fruits mûrs et sa liqueur légèrement sucrée, cristalline et dorée. À savourer par les connaisseurs. Délicat thé de l'après-midi.</v>
          </cell>
          <cell r="W225"/>
          <cell r="X225" t="str">
            <v>Ce délicieux thé vert indien au bouquet printanier frais et floral se caractérise par ses parfums aux multiples nuances de fruits mûrs et une liqueur cristalline aux agréables notes fruitées et sucrées. Un bon compagnon au quotidien qui ravira autant les connaisseurs que les amateurs.</v>
          </cell>
          <cell r="Y225"/>
          <cell r="Z225" t="str">
            <v>Ingrédient : thé vert*. *Issu de l'agriculture biologique.</v>
          </cell>
          <cell r="AA225" t="str">
            <v>/</v>
          </cell>
          <cell r="AB225" t="str">
            <v>Membre certifié World Fair Trade Organization, Les Jardins de Gaïa s’engagent pour un commerce plus juste et répondent aux exigences du commerce équitable. Pour en savoir plus : www.wfto.com.</v>
          </cell>
          <cell r="AC225">
            <v>80</v>
          </cell>
          <cell r="AD225" t="str">
            <v>3</v>
          </cell>
          <cell r="AE225">
            <v>80</v>
          </cell>
          <cell r="AF225">
            <v>2</v>
          </cell>
          <cell r="AG225">
            <v>40</v>
          </cell>
          <cell r="AH225">
            <v>3582810333327</v>
          </cell>
          <cell r="AI225" t="str">
            <v>/</v>
          </cell>
          <cell r="AJ225" t="str">
            <v>ETVN333</v>
          </cell>
          <cell r="AK225" t="str">
            <v>ETVN333V6</v>
          </cell>
          <cell r="AL225" t="str">
            <v>ETCVN3332V6</v>
          </cell>
          <cell r="AM225" t="str">
            <v>Small Organic Farmers' Association</v>
          </cell>
        </row>
        <row r="226">
          <cell r="A226" t="str">
            <v>TJ2167</v>
          </cell>
          <cell r="B226"/>
          <cell r="C226" t="str">
            <v>X</v>
          </cell>
          <cell r="D226"/>
          <cell r="E226"/>
          <cell r="F226"/>
          <cell r="G226"/>
          <cell r="H226" t="str">
            <v>LES GRANDS CLASSIQUES</v>
          </cell>
          <cell r="I226"/>
          <cell r="J226" t="str">
            <v>Genmaicha</v>
          </cell>
          <cell r="K226" t="str">
            <v>Thé vert au riz grillé 玄米茶</v>
          </cell>
          <cell r="L226" t="str">
            <v>Thé vert parfumé d'origine</v>
          </cell>
          <cell r="M226" t="str">
            <v>Japon - Kagoshima</v>
          </cell>
          <cell r="N226" t="str">
            <v>AB</v>
          </cell>
          <cell r="O226" t="str">
            <v>/</v>
          </cell>
          <cell r="P226" t="str">
            <v>/</v>
          </cell>
          <cell r="Q226" t="str">
            <v>/</v>
          </cell>
          <cell r="R226" t="str">
            <v>/</v>
          </cell>
          <cell r="S226" t="str">
            <v>/</v>
          </cell>
          <cell r="T226" t="str">
            <v>Agriculture Japon</v>
          </cell>
          <cell r="U226"/>
          <cell r="V226" t="str">
            <v>Fabuleux mélange de sencha et de riz brun fraîchement grillé. Traditionnellement consommé au Japon, ce thé aux notes végétales et maltées, au goût de noisette et de céréales grillées est séduisant chaud ou froid, il pourra accompagner à merveille un repas.</v>
          </cell>
          <cell r="W226" t="str">
            <v>S15</v>
          </cell>
          <cell r="X226" t="str">
            <v>Laissez-vous surprendre par l’intense gourmandise qu’offre ce mariage traditionnel japonais de sencha et de riz brun grillé. Ses notes végétales, maltées, et son délicieux petit goût de noisette et de céréales grillées s’apprécient aussi bien chauds que froids. Idéal pour accompagner un repas.</v>
          </cell>
          <cell r="Y226"/>
          <cell r="Z226" t="str">
            <v>Ingrédients : thé vert*, riz grillé* ?%. *Issu de l'agriculture biologique.</v>
          </cell>
          <cell r="AA226" t="str">
            <v>/</v>
          </cell>
          <cell r="AB226" t="str">
            <v>/</v>
          </cell>
          <cell r="AC226">
            <v>1</v>
          </cell>
          <cell r="AD226" t="str">
            <v>3-4</v>
          </cell>
          <cell r="AE226">
            <v>75</v>
          </cell>
          <cell r="AF226">
            <v>2</v>
          </cell>
          <cell r="AG226">
            <v>500</v>
          </cell>
          <cell r="AH226">
            <v>3582814121678</v>
          </cell>
          <cell r="AI226" t="str">
            <v>/</v>
          </cell>
          <cell r="AJ226" t="str">
            <v>INTERNE</v>
          </cell>
          <cell r="AK226" t="str">
            <v>INTERNE</v>
          </cell>
          <cell r="AL226" t="str">
            <v>/</v>
          </cell>
          <cell r="AM226" t="str">
            <v>Japon - Kagoshima</v>
          </cell>
        </row>
        <row r="227">
          <cell r="A227" t="str">
            <v>TJ2162</v>
          </cell>
          <cell r="B227"/>
          <cell r="C227" t="str">
            <v>X</v>
          </cell>
          <cell r="D227"/>
          <cell r="E227"/>
          <cell r="F227" t="str">
            <v>BRODART</v>
          </cell>
          <cell r="G227"/>
          <cell r="H227" t="str">
            <v>LES GRANDS CLASSIQUES</v>
          </cell>
          <cell r="I227"/>
          <cell r="J227" t="str">
            <v>Genmaicha</v>
          </cell>
          <cell r="K227" t="str">
            <v>Thé vert au riz grillé 玄米茶</v>
          </cell>
          <cell r="L227" t="str">
            <v>Thé vert parfumé d'origine</v>
          </cell>
          <cell r="M227" t="str">
            <v>Japon - Kagoshima</v>
          </cell>
          <cell r="N227" t="str">
            <v>AB</v>
          </cell>
          <cell r="O227" t="str">
            <v>/</v>
          </cell>
          <cell r="P227" t="str">
            <v>/</v>
          </cell>
          <cell r="Q227" t="str">
            <v>/</v>
          </cell>
          <cell r="R227" t="str">
            <v>/</v>
          </cell>
          <cell r="S227" t="str">
            <v>/</v>
          </cell>
          <cell r="T227" t="str">
            <v>Agriculture Japon</v>
          </cell>
          <cell r="U227"/>
          <cell r="V227" t="str">
            <v>Fabuleux mélange de sencha et de riz brun fraîchement grillé. Traditionnellement consommé au Japon, ce thé aux notes végétales et maltées, au goût de noisette et de céréales grillées est séduisant chaud ou froid, il pourra accompagner à merveille un repas.</v>
          </cell>
          <cell r="W227" t="str">
            <v>S15</v>
          </cell>
          <cell r="X227" t="str">
            <v>Laissez-vous surprendre par l’intense gourmandise qu’offre ce mariage traditionnel japonais de sencha et de riz brun grillé. Ses notes végétales, maltées, et son délicieux petit goût de noisette et de céréales grillées s’apprécient aussi bien chauds que froids. Idéal pour accompagner un repas.</v>
          </cell>
          <cell r="Y227"/>
          <cell r="Z227" t="str">
            <v>Ingrédients : thé vert*, riz grillé* ??%. *Issu de l'agriculture biologique.</v>
          </cell>
          <cell r="AA227" t="str">
            <v>/</v>
          </cell>
          <cell r="AB227" t="str">
            <v>/</v>
          </cell>
          <cell r="AC227">
            <v>100</v>
          </cell>
          <cell r="AD227" t="str">
            <v>3-4</v>
          </cell>
          <cell r="AE227">
            <v>75</v>
          </cell>
          <cell r="AF227">
            <v>2</v>
          </cell>
          <cell r="AG227">
            <v>50</v>
          </cell>
          <cell r="AH227">
            <v>3582814121623</v>
          </cell>
          <cell r="AI227" t="str">
            <v>/</v>
          </cell>
          <cell r="AJ227" t="str">
            <v>ETVJ216V5</v>
          </cell>
          <cell r="AK227" t="str">
            <v>ETVJ216V5</v>
          </cell>
          <cell r="AL227" t="str">
            <v>ETCVJ2162V5</v>
          </cell>
          <cell r="AM227" t="str">
            <v>Japon - Kagoshima</v>
          </cell>
        </row>
        <row r="228">
          <cell r="A228" t="str">
            <v>TV1261</v>
          </cell>
          <cell r="B228"/>
          <cell r="C228"/>
          <cell r="D228"/>
          <cell r="E228"/>
          <cell r="F228"/>
          <cell r="G228"/>
          <cell r="H228" t="str">
            <v>LES GRANDS CLASSIQUES</v>
          </cell>
          <cell r="I228"/>
          <cell r="J228" t="str">
            <v>Genmaicha Sud-Coréen</v>
          </cell>
          <cell r="K228" t="str">
            <v>Thé vert au riz grillé</v>
          </cell>
          <cell r="L228" t="str">
            <v>Thé vert parfumé d'origine</v>
          </cell>
          <cell r="M228" t="str">
            <v>Corée du Sud - Jeju-do</v>
          </cell>
          <cell r="N228" t="str">
            <v>AB</v>
          </cell>
          <cell r="O228" t="str">
            <v>/</v>
          </cell>
          <cell r="P228" t="str">
            <v>/</v>
          </cell>
          <cell r="Q228" t="str">
            <v>/</v>
          </cell>
          <cell r="R228" t="str">
            <v>/</v>
          </cell>
          <cell r="S228" t="str">
            <v>/</v>
          </cell>
          <cell r="T228" t="str">
            <v>Agriculture Corée du Sud</v>
          </cell>
          <cell r="U228"/>
          <cell r="V228" t="str">
            <v>Délicats grains de riz grillés mêlés à de jeunes feuilles vert tendre et saupoudrés de matcha. Ce thé subtil aux saveurs fraîches et herbacées typiques des thés japonais, ponctué de notes toastées et sucrées est un régal. Riche des nutriments des terres volcaniques de l’île de Jeju, cet assemblage divin et apaisant rendra votre teint éclatant !</v>
          </cell>
          <cell r="W228" t="str">
            <v>S16</v>
          </cell>
          <cell r="X228" t="str">
            <v xml:space="preserve">Composé de grains de riz grillés mêlés à de jeunes feuilles de thé vert et saupoudrés de matcha, ce genmaicha sud-coréen offre des saveurs fraîches et herbacées ponctuées de notes toastées et sucrées tout en gourmandise. Un mariage harmonieux qui ravira les amateurs de ce thé original.  </v>
          </cell>
          <cell r="Y228"/>
          <cell r="Z228" t="str">
            <v xml:space="preserve">Ingrédients : thé vert*, riz grillé*. *Issu de l'agriculture biologique.
</v>
          </cell>
          <cell r="AA228" t="str">
            <v>/</v>
          </cell>
          <cell r="AB228" t="str">
            <v>/</v>
          </cell>
          <cell r="AC228">
            <v>1.5</v>
          </cell>
          <cell r="AD228" t="str">
            <v>2-3</v>
          </cell>
          <cell r="AE228">
            <v>85</v>
          </cell>
          <cell r="AF228">
            <v>2</v>
          </cell>
          <cell r="AG228">
            <v>750</v>
          </cell>
          <cell r="AH228">
            <v>3582810312612</v>
          </cell>
          <cell r="AI228" t="str">
            <v>/</v>
          </cell>
          <cell r="AJ228" t="str">
            <v>INTERNE</v>
          </cell>
          <cell r="AK228" t="str">
            <v>INTERNE</v>
          </cell>
          <cell r="AL228" t="str">
            <v>/</v>
          </cell>
          <cell r="AM228" t="str">
            <v>Seogwang tea garden </v>
          </cell>
        </row>
        <row r="229">
          <cell r="A229" t="str">
            <v>TV1262</v>
          </cell>
          <cell r="B229"/>
          <cell r="C229" t="str">
            <v>X</v>
          </cell>
          <cell r="D229" t="str">
            <v>X</v>
          </cell>
          <cell r="E229" t="str">
            <v>X</v>
          </cell>
          <cell r="F229" t="str">
            <v>BRODART</v>
          </cell>
          <cell r="G229"/>
          <cell r="H229" t="str">
            <v>LES GRANDS CLASSIQUES</v>
          </cell>
          <cell r="I229"/>
          <cell r="J229" t="str">
            <v>Genmaicha matcha</v>
          </cell>
          <cell r="K229" t="str">
            <v>Thé vert au riz grillé et matcha</v>
          </cell>
          <cell r="L229" t="str">
            <v>Thé vert parfumé d'origine</v>
          </cell>
          <cell r="M229" t="str">
            <v>Corée du Sud - Jeju-do</v>
          </cell>
          <cell r="N229" t="str">
            <v>AB</v>
          </cell>
          <cell r="O229" t="str">
            <v>/</v>
          </cell>
          <cell r="P229" t="str">
            <v>/</v>
          </cell>
          <cell r="Q229" t="str">
            <v>/</v>
          </cell>
          <cell r="R229" t="str">
            <v>/</v>
          </cell>
          <cell r="S229" t="str">
            <v>/</v>
          </cell>
          <cell r="T229" t="str">
            <v>Agriculture Corée du Sud</v>
          </cell>
          <cell r="U229"/>
          <cell r="V229" t="str">
            <v>Délicats grains de riz grillés mêlés à de jeunes feuilles vert tendre et saupoudrés de matcha. Ce thé subtil aux saveurs fraîches et herbacées typiques des thés japonais, ponctué de notes toastées et sucrées est un régal. Riche des nutriments des terres volcaniques de l’île de Jeju, cet assemblage divin et apaisant rendra votre teint éclatant !</v>
          </cell>
          <cell r="W229" t="str">
            <v>S16</v>
          </cell>
          <cell r="X229" t="str">
            <v xml:space="preserve">Composé de grains de riz grillés mêlés à de jeunes feuilles de thé vert et saupoudrés de matcha, ce genmaicha sud-coréen offre des saveurs fraîches et herbacées ponctuées de notes toastées et sucrées tout en gourmandise. Un mariage harmonieux qui ravira les amateurs de ce thé original.  </v>
          </cell>
          <cell r="Y229"/>
          <cell r="Z229" t="str">
            <v xml:space="preserve">Ingrédients : thé vert*, riz grillé* 49%, matcha* 2%. *Issu de l'agriculture biologique.
</v>
          </cell>
          <cell r="AA229" t="str">
            <v>/</v>
          </cell>
          <cell r="AB229" t="str">
            <v>/</v>
          </cell>
          <cell r="AC229">
            <v>100</v>
          </cell>
          <cell r="AD229" t="str">
            <v>2-3</v>
          </cell>
          <cell r="AE229">
            <v>85</v>
          </cell>
          <cell r="AF229">
            <v>2</v>
          </cell>
          <cell r="AG229">
            <v>50</v>
          </cell>
          <cell r="AH229">
            <v>3582810312629</v>
          </cell>
          <cell r="AI229" t="str">
            <v>/</v>
          </cell>
          <cell r="AJ229" t="str">
            <v>ETVM126</v>
          </cell>
          <cell r="AK229" t="str">
            <v>ETVM126V5</v>
          </cell>
          <cell r="AL229" t="str">
            <v>ETCVM1262V5</v>
          </cell>
          <cell r="AM229" t="str">
            <v>Seogwang tea garden </v>
          </cell>
        </row>
        <row r="230">
          <cell r="A230" t="str">
            <v>TR2231</v>
          </cell>
          <cell r="B230"/>
          <cell r="C230"/>
          <cell r="D230"/>
          <cell r="E230"/>
          <cell r="F230"/>
          <cell r="G230"/>
          <cell r="H230" t="str">
            <v>LES GRANDS CLASSIQUES</v>
          </cell>
          <cell r="I230"/>
          <cell r="J230" t="str">
            <v>Ginger Lemon</v>
          </cell>
          <cell r="K230" t="str">
            <v>Gingembre - Lemongrass</v>
          </cell>
          <cell r="L230" t="str">
            <v>Rooibos parfumé</v>
          </cell>
          <cell r="M230" t="str">
            <v>Afrique du Sud - Cap Occidental</v>
          </cell>
          <cell r="N230" t="str">
            <v>AB</v>
          </cell>
          <cell r="O230" t="str">
            <v>WFTO</v>
          </cell>
          <cell r="P230" t="str">
            <v>/</v>
          </cell>
          <cell r="Q230" t="str">
            <v>/</v>
          </cell>
          <cell r="R230" t="str">
            <v>/</v>
          </cell>
          <cell r="S230" t="str">
            <v>/</v>
          </cell>
          <cell r="T230" t="str">
            <v>Agriculture non UE</v>
          </cell>
          <cell r="U230"/>
          <cell r="V230" t="str">
            <v>Mariage harmonieux à la saveur fruitée, légèrement piquante. Ronde et équilibrée, cette boisson se déguste tout au long de la journée.</v>
          </cell>
          <cell r="W230"/>
          <cell r="X230" t="str">
            <v>Savourez la rencontre originale de la douceur du rooibos, du pep’s du lemongrass et du piquant du gingembre ! Une découverte gustative à la croisée des chemins entre l’épicé, le sucré et l’acidulé qui s’apprécie tout au long de la journée.</v>
          </cell>
          <cell r="Y230"/>
          <cell r="Z230" t="str">
            <v xml:space="preserve">Ingrédients : rooibos*, lemongrass* 11%, gingembre* 9%. *Issu de l'agriculture biologique. </v>
          </cell>
          <cell r="AA230" t="str">
            <v>/</v>
          </cell>
          <cell r="AB230" t="str">
            <v>Membre certifié World Fair Trade Organization, Les Jardins de Gaïa s’engagent pour un commerce plus juste et répondent aux exigences du commerce équitable. Pour en savoir plus : www.wfto.com.</v>
          </cell>
          <cell r="AC230">
            <v>1.5</v>
          </cell>
          <cell r="AD230" t="str">
            <v>5-10</v>
          </cell>
          <cell r="AE230">
            <v>95</v>
          </cell>
          <cell r="AF230">
            <v>2</v>
          </cell>
          <cell r="AG230">
            <v>750</v>
          </cell>
          <cell r="AH230">
            <v>3582810922316</v>
          </cell>
          <cell r="AI230" t="str">
            <v>/</v>
          </cell>
          <cell r="AJ230" t="str">
            <v>INTERNE</v>
          </cell>
          <cell r="AK230" t="str">
            <v>INTERNE</v>
          </cell>
          <cell r="AL230" t="str">
            <v>/</v>
          </cell>
          <cell r="AM230" t="str">
            <v>Création maison</v>
          </cell>
        </row>
        <row r="231">
          <cell r="A231" t="str">
            <v>TR2232</v>
          </cell>
          <cell r="B231"/>
          <cell r="C231" t="str">
            <v>X</v>
          </cell>
          <cell r="D231" t="str">
            <v>X</v>
          </cell>
          <cell r="E231" t="str">
            <v>X</v>
          </cell>
          <cell r="F231" t="str">
            <v>GRAI</v>
          </cell>
          <cell r="G231">
            <v>45383</v>
          </cell>
          <cell r="H231" t="str">
            <v>LES GRANDS CLASSIQUES</v>
          </cell>
          <cell r="I231"/>
          <cell r="J231" t="str">
            <v>Ginger Lemon</v>
          </cell>
          <cell r="K231" t="str">
            <v>Gingembre - Lemongrass</v>
          </cell>
          <cell r="L231" t="str">
            <v>Rooibos parfumé</v>
          </cell>
          <cell r="M231" t="str">
            <v>Afrique du Sud - Cap Occidental</v>
          </cell>
          <cell r="N231" t="str">
            <v>AB</v>
          </cell>
          <cell r="O231" t="str">
            <v>WFTO</v>
          </cell>
          <cell r="P231" t="str">
            <v>/</v>
          </cell>
          <cell r="Q231" t="str">
            <v>/</v>
          </cell>
          <cell r="R231" t="str">
            <v>/</v>
          </cell>
          <cell r="S231" t="str">
            <v>/</v>
          </cell>
          <cell r="T231" t="str">
            <v>Agriculture non UE</v>
          </cell>
          <cell r="U231"/>
          <cell r="V231" t="str">
            <v>Mariage harmonieux à la saveur fruitée, légèrement piquante. Ronde et équilibrée, cette boisson se déguste tout au long de la journée.</v>
          </cell>
          <cell r="W231"/>
          <cell r="X231" t="str">
            <v>Savourez la rencontre originale de la douceur du rooibos, du pep’s du lemongrass et du piquant du gingembre ! Une découverte gustative à la croisée des chemins entre l’épicé, le sucré et l’acidulé qui s’apprécie tout au long de la journée.</v>
          </cell>
          <cell r="Y231"/>
          <cell r="Z231" t="str">
            <v xml:space="preserve">Ingrédients : rooibos*, lemongrass* 11%, gingembre* 9%. *Issu de l'agriculture biologique. </v>
          </cell>
          <cell r="AA231" t="str">
            <v>/</v>
          </cell>
          <cell r="AB231" t="str">
            <v>Membre certifié World Fair Trade Organization, Les Jardins de Gaïa s’engagent pour un commerce plus juste et répondent aux exigences du commerce équitable. Pour en savoir plus : www.wfto.com.</v>
          </cell>
          <cell r="AC231">
            <v>100</v>
          </cell>
          <cell r="AD231" t="str">
            <v>5-10</v>
          </cell>
          <cell r="AE231">
            <v>95</v>
          </cell>
          <cell r="AF231">
            <v>2</v>
          </cell>
          <cell r="AG231">
            <v>50</v>
          </cell>
          <cell r="AH231">
            <v>3582810922323</v>
          </cell>
          <cell r="AI231" t="str">
            <v>/</v>
          </cell>
          <cell r="AJ231" t="str">
            <v>ETRM223</v>
          </cell>
          <cell r="AK231" t="str">
            <v>ETRM223V5</v>
          </cell>
          <cell r="AL231" t="str">
            <v>ETCRM2232V5</v>
          </cell>
          <cell r="AM231" t="str">
            <v>Heiveld Cooperative</v>
          </cell>
        </row>
        <row r="232">
          <cell r="A232" t="str">
            <v>TH2621</v>
          </cell>
          <cell r="B232"/>
          <cell r="C232"/>
          <cell r="D232"/>
          <cell r="E232"/>
          <cell r="F232"/>
          <cell r="G232"/>
          <cell r="H232" t="str">
            <v>LES GRANDS CLASSIQUES</v>
          </cell>
          <cell r="I232" t="str">
            <v>LES INFUSIONS DE PLANTES</v>
          </cell>
          <cell r="J232" t="str">
            <v>Ginkgo</v>
          </cell>
          <cell r="K232" t="str">
            <v>/</v>
          </cell>
          <cell r="L232" t="str">
            <v>Infusion de plante</v>
          </cell>
          <cell r="M232" t="str">
            <v>France</v>
          </cell>
          <cell r="N232" t="str">
            <v>AB</v>
          </cell>
          <cell r="O232" t="str">
            <v>/</v>
          </cell>
          <cell r="P232" t="str">
            <v>/</v>
          </cell>
          <cell r="Q232" t="str">
            <v>/</v>
          </cell>
          <cell r="R232" t="str">
            <v>/</v>
          </cell>
          <cell r="S232" t="str">
            <v>/</v>
          </cell>
          <cell r="T232" t="str">
            <v>Agriculture UE</v>
          </cell>
          <cell r="U232"/>
          <cell r="V232" t="str">
            <v>Arbre unique en son genre, connu pour sa résistance et sa longévité hors norme, le Ginko est vénéré en Asie où il est considéré comme sacré. L'infusion de ses feuilles délivre une liqueur à la fois douce et soyeuse, caractérisée par des notes boisées qui rappellent l'amande.</v>
          </cell>
          <cell r="W232" t="str">
            <v>S12</v>
          </cell>
          <cell r="X232" t="str">
            <v>Le vénéré Ginkgo biloba, connu pour sa résistance et sa longévité hors norme, produit des feuilles dont l’infusion délivre une liqueur à la fois douce et soyeuse, caractérisée par des notes boisées qui rappellent l'amande. Une boisson originale et très attachante !</v>
          </cell>
          <cell r="Y232"/>
          <cell r="Z232" t="str">
            <v>Ingrédient : feuilles de ginkgo* (Ginkgo biloba). *Issu de l'agriculture biologique.</v>
          </cell>
          <cell r="AA232" t="str">
            <v>/</v>
          </cell>
          <cell r="AB232" t="str">
            <v>/</v>
          </cell>
          <cell r="AC232" t="str">
            <v>1.5</v>
          </cell>
          <cell r="AD232" t="str">
            <v>5-10</v>
          </cell>
          <cell r="AE232">
            <v>95</v>
          </cell>
          <cell r="AF232">
            <v>2</v>
          </cell>
          <cell r="AG232">
            <v>750</v>
          </cell>
          <cell r="AH232">
            <v>3582811026211</v>
          </cell>
          <cell r="AI232" t="str">
            <v>/</v>
          </cell>
          <cell r="AJ232" t="str">
            <v>INTERNE</v>
          </cell>
          <cell r="AK232" t="str">
            <v>INTERNE</v>
          </cell>
          <cell r="AL232" t="str">
            <v>/</v>
          </cell>
          <cell r="AM232" t="str">
            <v>?</v>
          </cell>
        </row>
        <row r="233">
          <cell r="A233" t="str">
            <v>TH2625</v>
          </cell>
          <cell r="B233"/>
          <cell r="C233"/>
          <cell r="D233"/>
          <cell r="E233"/>
          <cell r="F233"/>
          <cell r="G233"/>
          <cell r="H233" t="str">
            <v>LES GRANDS CLASSIQUES</v>
          </cell>
          <cell r="I233" t="str">
            <v>LES INFUSIONS DE PLANTES</v>
          </cell>
          <cell r="J233" t="str">
            <v>Ginkgo</v>
          </cell>
          <cell r="K233" t="str">
            <v>/</v>
          </cell>
          <cell r="L233" t="str">
            <v>Infusion de plante</v>
          </cell>
          <cell r="M233" t="str">
            <v>France</v>
          </cell>
          <cell r="N233" t="str">
            <v>AB</v>
          </cell>
          <cell r="O233" t="str">
            <v>/</v>
          </cell>
          <cell r="P233" t="str">
            <v>/</v>
          </cell>
          <cell r="Q233" t="str">
            <v>/</v>
          </cell>
          <cell r="R233" t="str">
            <v>/</v>
          </cell>
          <cell r="S233" t="str">
            <v>/</v>
          </cell>
          <cell r="T233" t="str">
            <v>Agriculture UE</v>
          </cell>
          <cell r="U233"/>
          <cell r="V233" t="str">
            <v>Arbre unique en son genre, connu pour sa résistance et sa longévité hors norme, le Ginko est vénéré en Asie où il est considéré comme sacré. L'infusion de ses feuilles délivre une liqueur à la fois douce et soyeuse, caractérisée par des notes boisées qui rappellent l'amande.</v>
          </cell>
          <cell r="W233" t="str">
            <v>S12</v>
          </cell>
          <cell r="X233" t="str">
            <v>Le vénéré Ginkgo biloba, connu pour sa résistance et sa longévité hors norme, produit des feuilles dont l’infusion délivre une liqueur à la fois douce et soyeuse, caractérisée par des notes boisées qui rappellent l'amande. Une boisson originale et très attachante !</v>
          </cell>
          <cell r="Y233"/>
          <cell r="Z233" t="str">
            <v>Ingrédient : feuilles de ginkgo* (Ginkgo biloba). *Issu de l'agriculture biologique.</v>
          </cell>
          <cell r="AA233" t="str">
            <v>/</v>
          </cell>
          <cell r="AB233" t="str">
            <v>/</v>
          </cell>
          <cell r="AC233">
            <v>500</v>
          </cell>
          <cell r="AD233" t="str">
            <v>5-10</v>
          </cell>
          <cell r="AE233">
            <v>95</v>
          </cell>
          <cell r="AF233">
            <v>2</v>
          </cell>
          <cell r="AG233">
            <v>250</v>
          </cell>
          <cell r="AH233">
            <v>3582811026259</v>
          </cell>
          <cell r="AI233" t="str">
            <v>/</v>
          </cell>
          <cell r="AJ233" t="str">
            <v>INTERNE</v>
          </cell>
          <cell r="AK233" t="str">
            <v>INTERNE</v>
          </cell>
          <cell r="AL233" t="str">
            <v>/</v>
          </cell>
          <cell r="AM233" t="str">
            <v>?</v>
          </cell>
        </row>
        <row r="234">
          <cell r="A234" t="str">
            <v>TH2622</v>
          </cell>
          <cell r="B234"/>
          <cell r="C234" t="str">
            <v>X</v>
          </cell>
          <cell r="D234" t="str">
            <v>X</v>
          </cell>
          <cell r="E234"/>
          <cell r="F234" t="str">
            <v>GRAI</v>
          </cell>
          <cell r="G234">
            <v>45408</v>
          </cell>
          <cell r="H234" t="str">
            <v>LES GRANDS CLASSIQUES</v>
          </cell>
          <cell r="I234" t="str">
            <v>LES INFUSIONS DE PLANTES</v>
          </cell>
          <cell r="J234" t="str">
            <v>Ginkgo</v>
          </cell>
          <cell r="K234" t="str">
            <v>/</v>
          </cell>
          <cell r="L234" t="str">
            <v>Infusion de plante</v>
          </cell>
          <cell r="M234" t="str">
            <v>France</v>
          </cell>
          <cell r="N234" t="str">
            <v>AB</v>
          </cell>
          <cell r="O234" t="str">
            <v>/</v>
          </cell>
          <cell r="P234" t="str">
            <v>/</v>
          </cell>
          <cell r="Q234" t="str">
            <v>/</v>
          </cell>
          <cell r="R234" t="str">
            <v>/</v>
          </cell>
          <cell r="S234" t="str">
            <v>/</v>
          </cell>
          <cell r="T234" t="str">
            <v>Agriculture UE</v>
          </cell>
          <cell r="U234"/>
          <cell r="V234" t="str">
            <v>Arbre unique en son genre, connu pour sa résistance et sa longévité hors norme, le Ginko est vénéré en Asie où il est considéré comme sacré. L'infusion de ses feuilles délivre une liqueur à la fois douce et soyeuse, caractérisée par des notes boisées qui rappellent l'amande.</v>
          </cell>
          <cell r="W234" t="str">
            <v>S12</v>
          </cell>
          <cell r="X234" t="str">
            <v>Le vénéré Ginkgo biloba, connu pour sa résistance et sa longévité hors norme, produit des feuilles dont l’infusion délivre une liqueur à la fois douce et soyeuse, caractérisée par des notes boisées qui rappellent l'amande. Une boisson originale et très attachante !</v>
          </cell>
          <cell r="Y234"/>
          <cell r="Z234" t="str">
            <v>Ingrédient : feuilles de ginkgo* (Ginkgo biloba). *Issu de l'agriculture biologique.</v>
          </cell>
          <cell r="AA234" t="str">
            <v>/</v>
          </cell>
          <cell r="AB234" t="str">
            <v>/</v>
          </cell>
          <cell r="AC234">
            <v>60</v>
          </cell>
          <cell r="AD234" t="str">
            <v>5-10</v>
          </cell>
          <cell r="AE234">
            <v>95</v>
          </cell>
          <cell r="AF234">
            <v>2</v>
          </cell>
          <cell r="AG234">
            <v>30</v>
          </cell>
          <cell r="AH234">
            <v>3582811026228</v>
          </cell>
          <cell r="AI234" t="str">
            <v>/</v>
          </cell>
          <cell r="AJ234" t="str">
            <v>ETHN2620V5</v>
          </cell>
          <cell r="AK234" t="str">
            <v>ETHN2620V5</v>
          </cell>
          <cell r="AL234" t="str">
            <v>/</v>
          </cell>
          <cell r="AM234" t="str">
            <v>?</v>
          </cell>
        </row>
        <row r="235">
          <cell r="A235" t="str">
            <v>TA7201</v>
          </cell>
          <cell r="B235"/>
          <cell r="C235"/>
          <cell r="D235"/>
          <cell r="E235"/>
          <cell r="F235"/>
          <cell r="G235"/>
          <cell r="H235" t="str">
            <v>LES GRANDS CLASSIQUES</v>
          </cell>
          <cell r="I235"/>
          <cell r="J235" t="str">
            <v>Gorgée de Soleil</v>
          </cell>
          <cell r="K235" t="str">
            <v>Pêche - Abricot</v>
          </cell>
          <cell r="L235" t="str">
            <v>Thé noir aromatisé</v>
          </cell>
          <cell r="M235" t="str">
            <v>Inde - Sri Lanka - Chine</v>
          </cell>
          <cell r="N235" t="str">
            <v>AB</v>
          </cell>
          <cell r="O235" t="str">
            <v>WFTO</v>
          </cell>
          <cell r="P235" t="str">
            <v>/</v>
          </cell>
          <cell r="Q235" t="str">
            <v>/</v>
          </cell>
          <cell r="R235" t="str">
            <v>/</v>
          </cell>
          <cell r="S235" t="str">
            <v>/</v>
          </cell>
          <cell r="T235" t="str">
            <v>Agriculture UE/non UE</v>
          </cell>
          <cell r="U235"/>
          <cell r="V235" t="str">
            <v>Mélange de thés noirs de qualité supérieure, aromatisé aux fruits du soleil. Cette liqueur tendre et raffinée nous transporte avec son bel équilibre en saveurs fruitées, sucrées et acidulées, vers la douceur des derniers jours chauds de l’été.</v>
          </cell>
          <cell r="W235" t="str">
            <v>S16</v>
          </cell>
          <cell r="X235" t="str">
            <v>Infusez une ambiance estivale dans votre théière avec cette recette à base d’une sélection de thés noirs qui a la saveur fruitée des beaux jours. Sa liqueur souple et gorgée de soleil distille généreusement les notes lumineuses et gourmandes de l’irrésistible duo pêche-abricot.</v>
          </cell>
          <cell r="Y235"/>
          <cell r="Z235" t="str">
            <v>Ingrédients : thé noir*, arômes naturels de (pêche*, abricot*) 8%, morceaux de fruits (abricot*, pêche*) 1%, pétales de tournesol*. *Issu de l'agriculture biologique.</v>
          </cell>
          <cell r="AA235" t="str">
            <v>/</v>
          </cell>
          <cell r="AB235" t="str">
            <v>Membre certifié World Fair Trade Organization, Les Jardins de Gaïa s’engagent pour un commerce plus juste et répondent aux exigences du commerce équitable. Pour en savoir plus : www.wfto.com.</v>
          </cell>
          <cell r="AC235">
            <v>1.5</v>
          </cell>
          <cell r="AD235" t="str">
            <v>3-4</v>
          </cell>
          <cell r="AE235">
            <v>90</v>
          </cell>
          <cell r="AF235">
            <v>2</v>
          </cell>
          <cell r="AG235">
            <v>750</v>
          </cell>
          <cell r="AH235">
            <v>3582810472019</v>
          </cell>
          <cell r="AI235" t="str">
            <v>/</v>
          </cell>
          <cell r="AJ235" t="str">
            <v>INTERNE</v>
          </cell>
          <cell r="AK235" t="str">
            <v>INTERNE</v>
          </cell>
          <cell r="AL235" t="str">
            <v>/</v>
          </cell>
          <cell r="AM235" t="str">
            <v>Création maison</v>
          </cell>
        </row>
        <row r="236">
          <cell r="A236" t="str">
            <v>TA7202</v>
          </cell>
          <cell r="B236"/>
          <cell r="C236" t="str">
            <v>X</v>
          </cell>
          <cell r="D236" t="str">
            <v>X</v>
          </cell>
          <cell r="E236" t="str">
            <v>X</v>
          </cell>
          <cell r="F236" t="str">
            <v>BRODART</v>
          </cell>
          <cell r="G236"/>
          <cell r="H236" t="str">
            <v>LES GRANDS CLASSIQUES</v>
          </cell>
          <cell r="I236"/>
          <cell r="J236" t="str">
            <v>Gorgée de Soleil</v>
          </cell>
          <cell r="K236" t="str">
            <v>Pêche - Abricot</v>
          </cell>
          <cell r="L236" t="str">
            <v>Thé noir aromatisé</v>
          </cell>
          <cell r="M236" t="str">
            <v>Inde - Sri Lanka - Chine</v>
          </cell>
          <cell r="N236" t="str">
            <v>AB</v>
          </cell>
          <cell r="O236" t="str">
            <v>WFTO</v>
          </cell>
          <cell r="P236" t="str">
            <v>/</v>
          </cell>
          <cell r="Q236" t="str">
            <v>/</v>
          </cell>
          <cell r="R236" t="str">
            <v>/</v>
          </cell>
          <cell r="S236" t="str">
            <v>/</v>
          </cell>
          <cell r="T236" t="str">
            <v>Agriculture UE/non UE</v>
          </cell>
          <cell r="U236"/>
          <cell r="V236" t="str">
            <v>Mélange de thés noirs de qualité supérieure, aromatisé aux fruits du soleil. Cette liqueur tendre et raffinée nous transporte avec son bel équilibre en saveurs fruitées, sucrées et acidulées, vers la douceur des derniers jours chauds de l’été.</v>
          </cell>
          <cell r="W236" t="str">
            <v>S16</v>
          </cell>
          <cell r="X236" t="str">
            <v>Infusez une ambiance estivale dans votre théière avec cette recette à base d’une sélection de thés noirs qui a la saveur fruitée des beaux jours. Sa liqueur souple et gorgée de soleil distille généreusement les notes lumineuses et gourmandes de l’irrésistible duo pêche-abricot.</v>
          </cell>
          <cell r="Y236"/>
          <cell r="Z236" t="str">
            <v>Ingrédients : thé noir*, arômes naturels de (pêche*, abricot*) 8%, morceaux de fruits (abricot*, pêche*) 1%, pétales de tournesol*. *Issu de l'agriculture biologique.</v>
          </cell>
          <cell r="AA236" t="str">
            <v>/</v>
          </cell>
          <cell r="AB236" t="str">
            <v>Membre certifié World Fair Trade Organization, Les Jardins de Gaïa s’engagent pour un commerce plus juste et répondent aux exigences du commerce équitable. Pour en savoir plus : www.wfto.com.</v>
          </cell>
          <cell r="AC236">
            <v>100</v>
          </cell>
          <cell r="AD236" t="str">
            <v>3-4</v>
          </cell>
          <cell r="AE236">
            <v>90</v>
          </cell>
          <cell r="AF236">
            <v>2</v>
          </cell>
          <cell r="AG236">
            <v>50</v>
          </cell>
          <cell r="AH236">
            <v>3582810472026</v>
          </cell>
          <cell r="AI236" t="str">
            <v>/</v>
          </cell>
          <cell r="AJ236" t="str">
            <v>ETNA720V5</v>
          </cell>
          <cell r="AK236" t="str">
            <v>ETNA720V5</v>
          </cell>
          <cell r="AL236" t="str">
            <v>ETCNA7202V5</v>
          </cell>
          <cell r="AM236" t="str">
            <v>Création maison</v>
          </cell>
        </row>
        <row r="237">
          <cell r="A237" t="str">
            <v>TN4677</v>
          </cell>
          <cell r="B237"/>
          <cell r="C237"/>
          <cell r="D237"/>
          <cell r="E237"/>
          <cell r="F237"/>
          <cell r="G237"/>
          <cell r="H237" t="str">
            <v>LES GRANDS CLASSIQUES</v>
          </cell>
          <cell r="I237"/>
          <cell r="J237" t="str">
            <v>Grand Keemun FOP</v>
          </cell>
          <cell r="K237" t="str">
            <v>Qi Men Hong Cha</v>
          </cell>
          <cell r="L237" t="str">
            <v>Thé noir d'origine</v>
          </cell>
          <cell r="M237" t="str">
            <v>Chine - Anhui</v>
          </cell>
          <cell r="N237" t="str">
            <v>AB</v>
          </cell>
          <cell r="O237" t="str">
            <v>/</v>
          </cell>
          <cell r="P237" t="str">
            <v>/</v>
          </cell>
          <cell r="Q237" t="str">
            <v>/</v>
          </cell>
          <cell r="R237" t="str">
            <v>/</v>
          </cell>
          <cell r="S237" t="str">
            <v>/</v>
          </cell>
          <cell r="T237" t="str">
            <v>Agriculture Chine</v>
          </cell>
          <cell r="U237"/>
          <cell r="V237" t="str">
            <v>Littéralement thé rouge de Qimen, ce cru est produit au sud-ouest de la fameuse montagne jaune. Son infusion rouge à la saveur onctueuse mêle des notes chocolatées et maltées à des accents légèrement boisés et fruités. Thé d'un parfait équilibre qui jouit d’une réputation bien méritée !</v>
          </cell>
          <cell r="W237" t="str">
            <v>S16</v>
          </cell>
          <cell r="X237" t="str">
            <v>Ce grand thé noir Qimen produit au sud-ouest de la fameuse Montagne jaune est un classique des grands crus chinois. Son infusion rouge à la texture onctueuse mêle des notes chocolatées et maltées typiques à des accents légèrement boisés et fruités. Un thé gourmand et d'un parfait équilibre.</v>
          </cell>
          <cell r="Y237"/>
          <cell r="Z237" t="str">
            <v>Ingrédient : thé noir*. *Issu de l'agriculture biologique.</v>
          </cell>
          <cell r="AA237" t="str">
            <v>/</v>
          </cell>
          <cell r="AB237" t="str">
            <v>/</v>
          </cell>
          <cell r="AC237">
            <v>1</v>
          </cell>
          <cell r="AD237" t="str">
            <v>3-4</v>
          </cell>
          <cell r="AE237">
            <v>95</v>
          </cell>
          <cell r="AF237">
            <v>2</v>
          </cell>
          <cell r="AG237">
            <v>500</v>
          </cell>
          <cell r="AH237">
            <v>3582810246771</v>
          </cell>
          <cell r="AI237" t="str">
            <v>/</v>
          </cell>
          <cell r="AJ237" t="str">
            <v>INTERNE</v>
          </cell>
          <cell r="AK237" t="str">
            <v>INTERNE</v>
          </cell>
          <cell r="AL237" t="str">
            <v>/</v>
          </cell>
          <cell r="AM237" t="str">
            <v>Huangshan MaoFeng Tea Farm</v>
          </cell>
        </row>
        <row r="238">
          <cell r="A238" t="str">
            <v>TN4672</v>
          </cell>
          <cell r="B238"/>
          <cell r="C238" t="str">
            <v>X</v>
          </cell>
          <cell r="D238" t="str">
            <v>X</v>
          </cell>
          <cell r="E238" t="str">
            <v>X</v>
          </cell>
          <cell r="F238" t="str">
            <v>BRODART</v>
          </cell>
          <cell r="G238"/>
          <cell r="H238" t="str">
            <v>LES GRANDS CLASSIQUES</v>
          </cell>
          <cell r="I238"/>
          <cell r="J238" t="str">
            <v>Grand Keemun FOP</v>
          </cell>
          <cell r="K238" t="str">
            <v>Qi Men Hong Cha</v>
          </cell>
          <cell r="L238" t="str">
            <v>Thé noir d'origine</v>
          </cell>
          <cell r="M238" t="str">
            <v>Chine - Anhui</v>
          </cell>
          <cell r="N238" t="str">
            <v>AB</v>
          </cell>
          <cell r="O238" t="str">
            <v>/</v>
          </cell>
          <cell r="P238" t="str">
            <v>/</v>
          </cell>
          <cell r="Q238" t="str">
            <v>/</v>
          </cell>
          <cell r="R238" t="str">
            <v>/</v>
          </cell>
          <cell r="S238" t="str">
            <v>/</v>
          </cell>
          <cell r="T238" t="str">
            <v>Agriculture Chine</v>
          </cell>
          <cell r="U238"/>
          <cell r="V238" t="str">
            <v>Littéralement thé rouge de Qimen, ce cru est produit au sud-ouest de la fameuse montagne jaune. Son infusion rouge à la saveur onctueuse mêle des notes chocolatées et maltées à des accents légèrement boisés et fruités. Thé d'un parfait équilibre qui jouit d’une réputation bien méritée !</v>
          </cell>
          <cell r="W238" t="str">
            <v>S16</v>
          </cell>
          <cell r="X238" t="str">
            <v>Ce grand thé noir Qimen produit au sud-ouest de la fameuse Montagne jaune est un classique des grands crus chinois. Son infusion rouge à la texture onctueuse mêle des notes chocolatées et maltées typiques à des accents légèrement boisés et fruités. Un thé gourmand et d'un parfait équilibre.</v>
          </cell>
          <cell r="Y238"/>
          <cell r="Z238" t="str">
            <v>Ingrédient : thé noir*. *Issu de l'agriculture biologique.</v>
          </cell>
          <cell r="AA238" t="str">
            <v>/</v>
          </cell>
          <cell r="AB238" t="str">
            <v>/</v>
          </cell>
          <cell r="AC238">
            <v>90</v>
          </cell>
          <cell r="AD238" t="str">
            <v>3-4</v>
          </cell>
          <cell r="AE238">
            <v>95</v>
          </cell>
          <cell r="AF238">
            <v>2</v>
          </cell>
          <cell r="AG238">
            <v>45</v>
          </cell>
          <cell r="AH238">
            <v>3582810246726</v>
          </cell>
          <cell r="AI238" t="str">
            <v>/</v>
          </cell>
          <cell r="AJ238" t="str">
            <v>ETNN467V5</v>
          </cell>
          <cell r="AK238" t="str">
            <v>ETNN467V5</v>
          </cell>
          <cell r="AL238" t="str">
            <v>ETCNN4672V5</v>
          </cell>
          <cell r="AM238" t="str">
            <v>Xuan En Yisheng Tea Cooperative</v>
          </cell>
        </row>
        <row r="239">
          <cell r="A239" t="str">
            <v>TN4676</v>
          </cell>
          <cell r="B239"/>
          <cell r="C239" t="str">
            <v>X</v>
          </cell>
          <cell r="D239" t="str">
            <v>X</v>
          </cell>
          <cell r="E239" t="str">
            <v>X</v>
          </cell>
          <cell r="F239" t="str">
            <v>BRODART</v>
          </cell>
          <cell r="G239"/>
          <cell r="H239" t="str">
            <v>LES GRANDS CLASSIQUES</v>
          </cell>
          <cell r="I239"/>
          <cell r="J239" t="str">
            <v>Grand Keemun FOP</v>
          </cell>
          <cell r="K239" t="str">
            <v>Qi Men Hong Cha</v>
          </cell>
          <cell r="L239" t="str">
            <v>Thé noir d'origine</v>
          </cell>
          <cell r="M239" t="str">
            <v>Chine - Anhui</v>
          </cell>
          <cell r="N239" t="str">
            <v>AB</v>
          </cell>
          <cell r="O239" t="str">
            <v>/</v>
          </cell>
          <cell r="P239" t="str">
            <v>/</v>
          </cell>
          <cell r="Q239" t="str">
            <v>/</v>
          </cell>
          <cell r="R239" t="str">
            <v>/</v>
          </cell>
          <cell r="S239" t="str">
            <v>/</v>
          </cell>
          <cell r="T239" t="str">
            <v>Agriculture Chine</v>
          </cell>
          <cell r="U239"/>
          <cell r="V239" t="str">
            <v>Littéralement thé rouge de Qimen, ce cru est produit au sud-ouest de la fameuse montagne jaune. Son infusion rouge à la saveur onctueuse mêle des notes chocolatées et maltées à des accents légèrement boisés et fruités. Thé d'un parfait équilibre qui jouit d’une réputation bien méritée !</v>
          </cell>
          <cell r="W239" t="str">
            <v>S16</v>
          </cell>
          <cell r="X239" t="str">
            <v>Ce grand thé noir Qimen produit au sud-ouest de la fameuse Montagne jaune est un classique des grands crus chinois. Son infusion rouge à la texture onctueuse mêle des notes chocolatées et maltées typiques à des accents légèrement boisés et fruités. Un thé gourmand et d'un parfait équilibre.</v>
          </cell>
          <cell r="Y239"/>
          <cell r="Z239" t="str">
            <v>Ingrédient : thé noir*. *Issu de l'agriculture biologique.</v>
          </cell>
          <cell r="AA239" t="str">
            <v>/</v>
          </cell>
          <cell r="AB239" t="str">
            <v>/</v>
          </cell>
          <cell r="AC239">
            <v>50</v>
          </cell>
          <cell r="AD239" t="str">
            <v>3-4</v>
          </cell>
          <cell r="AE239">
            <v>95</v>
          </cell>
          <cell r="AF239">
            <v>2</v>
          </cell>
          <cell r="AG239">
            <v>25</v>
          </cell>
          <cell r="AH239">
            <v>3582810246764</v>
          </cell>
          <cell r="AI239" t="str">
            <v>/</v>
          </cell>
          <cell r="AJ239" t="str">
            <v>ETNN467V5</v>
          </cell>
          <cell r="AK239" t="str">
            <v>ETNN467V5</v>
          </cell>
          <cell r="AL239" t="str">
            <v>ETCNN4676V5</v>
          </cell>
          <cell r="AM239" t="str">
            <v>Huangshan MaoFeng Tea Farm</v>
          </cell>
        </row>
        <row r="240">
          <cell r="A240" t="str">
            <v>TA6991</v>
          </cell>
          <cell r="B240"/>
          <cell r="C240"/>
          <cell r="D240"/>
          <cell r="E240"/>
          <cell r="F240"/>
          <cell r="G240"/>
          <cell r="H240" t="str">
            <v>LES GRANDS CLASSIQUES</v>
          </cell>
          <cell r="I240"/>
          <cell r="J240" t="str">
            <v>Green Pep's</v>
          </cell>
          <cell r="K240" t="str">
            <v>Argousier – Huiles essentielles d'agrumes</v>
          </cell>
          <cell r="L240" t="str">
            <v>Thé vert aromatisé</v>
          </cell>
          <cell r="M240" t="str">
            <v>Chine</v>
          </cell>
          <cell r="N240" t="str">
            <v>AB</v>
          </cell>
          <cell r="O240" t="str">
            <v>WFTO</v>
          </cell>
          <cell r="P240" t="str">
            <v>/</v>
          </cell>
          <cell r="Q240" t="str">
            <v>/</v>
          </cell>
          <cell r="R240" t="str">
            <v>/</v>
          </cell>
          <cell r="S240" t="str">
            <v>/</v>
          </cell>
          <cell r="T240" t="str">
            <v>Agriculture UE/non UE</v>
          </cell>
          <cell r="U240"/>
          <cell r="V240" t="str">
            <v>Débordante d'énergie, cette harmonie de thé vert et d'agrumes associée aux petites baies oranges de l'argousier donne une boisson originale au goût citronné. À consommer quand la fatigue pointe le bout de son nez !</v>
          </cell>
          <cell r="W240" t="str">
            <v>S16</v>
          </cell>
          <cell r="X240" t="str">
            <v>Débordante de pep’s et de saveurs, cette recette à base de thé vert et d'agrumes associés aux petites baies orange de l'argousier offre une boisson aux arômes fruités, ponctués d’une note citronnée tout en fraîcheur. Un petit plaisir pour restaurer instantanément sa motivation !</v>
          </cell>
          <cell r="Y240"/>
          <cell r="Z240" t="str">
            <v xml:space="preserve">Ingrédients : thé vert*, argousier* 5%, huiles essentielles d'agrumes (orange douce*, citron*, orange sanguine*, pamplemousse*, mandarine*) 2%. *Issu de l’agriculture biologique. </v>
          </cell>
          <cell r="AA240" t="str">
            <v>/</v>
          </cell>
          <cell r="AB240" t="str">
            <v>Membre certifié World Fair Trade Organization, Les Jardins de Gaïa s’engagent pour un commerce plus juste et répondent aux exigences du commerce équitable. Pour en savoir plus : www.wfto.com.</v>
          </cell>
          <cell r="AC240">
            <v>1.5</v>
          </cell>
          <cell r="AD240" t="str">
            <v>3</v>
          </cell>
          <cell r="AE240">
            <v>80</v>
          </cell>
          <cell r="AF240">
            <v>2</v>
          </cell>
          <cell r="AG240">
            <v>750</v>
          </cell>
          <cell r="AH240">
            <v>3582810869918</v>
          </cell>
          <cell r="AI240" t="str">
            <v>/</v>
          </cell>
          <cell r="AJ240" t="str">
            <v>INTERNE</v>
          </cell>
          <cell r="AK240" t="str">
            <v>INTERNE</v>
          </cell>
          <cell r="AL240" t="str">
            <v>/</v>
          </cell>
          <cell r="AM240" t="str">
            <v>Création maison</v>
          </cell>
        </row>
        <row r="241">
          <cell r="A241" t="str">
            <v>TA6992</v>
          </cell>
          <cell r="B241"/>
          <cell r="C241" t="str">
            <v>X</v>
          </cell>
          <cell r="D241" t="str">
            <v>X</v>
          </cell>
          <cell r="E241" t="str">
            <v>X</v>
          </cell>
          <cell r="F241" t="str">
            <v>BRODART</v>
          </cell>
          <cell r="G241"/>
          <cell r="H241" t="str">
            <v>LES GRANDS CLASSIQUES</v>
          </cell>
          <cell r="I241"/>
          <cell r="J241" t="str">
            <v>Green Pep's</v>
          </cell>
          <cell r="K241" t="str">
            <v>Argousier – Huiles essentielles d'agrumes</v>
          </cell>
          <cell r="L241" t="str">
            <v>Thé vert aromatisé</v>
          </cell>
          <cell r="M241" t="str">
            <v>Chine</v>
          </cell>
          <cell r="N241" t="str">
            <v>AB</v>
          </cell>
          <cell r="O241" t="str">
            <v>WFTO</v>
          </cell>
          <cell r="P241" t="str">
            <v>/</v>
          </cell>
          <cell r="Q241" t="str">
            <v>/</v>
          </cell>
          <cell r="R241" t="str">
            <v>/</v>
          </cell>
          <cell r="S241" t="str">
            <v>/</v>
          </cell>
          <cell r="T241" t="str">
            <v>Agriculture UE/non UE</v>
          </cell>
          <cell r="U241"/>
          <cell r="V241" t="str">
            <v>Débordante d'énergie, cette harmonie de thé vert et d'agrumes associée aux petites baies oranges de l'argousier donne une boisson originale au goût citronné. À consommer quand la fatigue pointe le bout de son nez !</v>
          </cell>
          <cell r="W241" t="str">
            <v>S16</v>
          </cell>
          <cell r="X241" t="str">
            <v>Débordante de pep’s et de saveurs, cette recette à base de thé vert et d'agrumes associés aux petites baies orange de l'argousier offre une boisson aux arômes fruités, ponctués d’une note citronnée tout en fraîcheur. Un petit plaisir pour restaurer instantanément sa motivation !</v>
          </cell>
          <cell r="Y241"/>
          <cell r="Z241" t="str">
            <v xml:space="preserve">Ingrédients : thé vert*, argousier* 5%, huiles essentielles d'agrumes (orange douce*, citron*, orange sanguine*, pamplemousse*, mandarine*) 2%. *Issu de l’agriculture biologique. </v>
          </cell>
          <cell r="AA241" t="str">
            <v>/</v>
          </cell>
          <cell r="AB241" t="str">
            <v>Membre certifié World Fair Trade Organization, Les Jardins de Gaïa s’engagent pour un commerce plus juste et répondent aux exigences du commerce équitable. Pour en savoir plus : www.wfto.com.</v>
          </cell>
          <cell r="AC241">
            <v>100</v>
          </cell>
          <cell r="AD241" t="str">
            <v>3</v>
          </cell>
          <cell r="AE241">
            <v>80</v>
          </cell>
          <cell r="AF241">
            <v>2</v>
          </cell>
          <cell r="AG241">
            <v>50</v>
          </cell>
          <cell r="AH241">
            <v>3582810869925</v>
          </cell>
          <cell r="AI241" t="str">
            <v>/</v>
          </cell>
          <cell r="AJ241" t="str">
            <v>ETVA699V5</v>
          </cell>
          <cell r="AK241" t="str">
            <v>ETVA699V5</v>
          </cell>
          <cell r="AL241" t="str">
            <v>ETCVA6992V5</v>
          </cell>
          <cell r="AM241" t="str">
            <v>Création maison</v>
          </cell>
        </row>
        <row r="242">
          <cell r="A242" t="str">
            <v>TB3715</v>
          </cell>
          <cell r="B242"/>
          <cell r="C242"/>
          <cell r="D242"/>
          <cell r="E242"/>
          <cell r="F242"/>
          <cell r="G242"/>
          <cell r="H242" t="str">
            <v>LES GRAND CRUS</v>
          </cell>
          <cell r="I242"/>
          <cell r="J242" t="str">
            <v>Griffes de Snowview</v>
          </cell>
          <cell r="K242" t="str">
            <v>First Flush - Ex.09.04.2023
cultivar AV5</v>
          </cell>
          <cell r="L242" t="str">
            <v xml:space="preserve">Thé blanc Primeur </v>
          </cell>
          <cell r="M242" t="str">
            <v>Inde - Darjeeling - Snowview garden</v>
          </cell>
          <cell r="N242" t="str">
            <v>AB</v>
          </cell>
          <cell r="O242" t="str">
            <v>WFTO</v>
          </cell>
          <cell r="P242" t="str">
            <v>/</v>
          </cell>
          <cell r="Q242" t="str">
            <v>/</v>
          </cell>
          <cell r="R242" t="str">
            <v>IGP</v>
          </cell>
          <cell r="S242" t="str">
            <v>EF</v>
          </cell>
          <cell r="T242" t="str">
            <v>Agriculture Inde</v>
          </cell>
          <cell r="U242"/>
          <cell r="V242" t="str">
            <v>Exceptionnels bourgeons de thé blanc tressés en forme de griffes. Notes : notes fruitées et très sucrées (cerise fraiche, prune).</v>
          </cell>
          <cell r="W242" t="str">
            <v>S23</v>
          </cell>
          <cell r="X242" t="str">
            <v>Flétris au soleil et entièrement tressés à la main en forme de griffes, les bourgeons de ce thé blanc du jardin de Snowview sont une création originale et exclusive. Ils libèrent une belle liqueur à la texture profonde et d’une grande intensité aromatique avec des notes fruitées et sucrées très gourmandes !
Texte court : Thé blanc exceptionnel sous forme de bourgeons tressés en forme de griffes. Notes : notes fruitées et très sucrées (cerise fraîche, prune).</v>
          </cell>
          <cell r="Y242"/>
          <cell r="Z242" t="str">
            <v xml:space="preserve">Ingrédient : thé blanc*. *Issu de l'agriculture biologique. </v>
          </cell>
          <cell r="AA242" t="str">
            <v>/</v>
          </cell>
          <cell r="AB242" t="str">
            <v>Membre certifié World Fair Trade Organization, Les Jardins de Gaïa s’engagent pour un commerce plus juste et répondent aux exigences du commerce équitable. Pour en savoir plus : www.wfto.com.</v>
          </cell>
          <cell r="AC242">
            <v>500</v>
          </cell>
          <cell r="AD242" t="str">
            <v>5</v>
          </cell>
          <cell r="AE242">
            <v>80</v>
          </cell>
          <cell r="AF242">
            <v>2</v>
          </cell>
          <cell r="AG242">
            <v>250</v>
          </cell>
          <cell r="AH242">
            <v>3582810637159</v>
          </cell>
          <cell r="AI242" t="str">
            <v>Plusieurs infusions</v>
          </cell>
          <cell r="AJ242" t="str">
            <v>INTERNE</v>
          </cell>
          <cell r="AK242" t="str">
            <v>INTERNE</v>
          </cell>
          <cell r="AL242" t="str">
            <v>/</v>
          </cell>
          <cell r="AM242" t="str">
            <v>Snowview Tea Estate</v>
          </cell>
        </row>
        <row r="243">
          <cell r="A243" t="str">
            <v>TB3716</v>
          </cell>
          <cell r="B243"/>
          <cell r="C243"/>
          <cell r="D243"/>
          <cell r="E243"/>
          <cell r="F243"/>
          <cell r="G243"/>
          <cell r="H243" t="str">
            <v>LES GRAND CRUS</v>
          </cell>
          <cell r="I243"/>
          <cell r="J243" t="str">
            <v>Griffes de Snowview</v>
          </cell>
          <cell r="K243" t="str">
            <v>First Flush - Ex.09.04.2023
cultivar AV5</v>
          </cell>
          <cell r="L243" t="str">
            <v xml:space="preserve">Thé blanc Primeur </v>
          </cell>
          <cell r="M243" t="str">
            <v>Inde - Darjeeling - Snowview garden</v>
          </cell>
          <cell r="N243" t="str">
            <v>AB</v>
          </cell>
          <cell r="O243" t="str">
            <v>WFTO</v>
          </cell>
          <cell r="P243" t="str">
            <v>/</v>
          </cell>
          <cell r="Q243" t="str">
            <v>/</v>
          </cell>
          <cell r="R243" t="str">
            <v>IGP</v>
          </cell>
          <cell r="S243" t="str">
            <v>EF</v>
          </cell>
          <cell r="T243" t="str">
            <v>Agriculture Inde</v>
          </cell>
          <cell r="U243"/>
          <cell r="V243" t="str">
            <v>Exceptionnels bourgeons de thé blanc tressés en forme de griffes. Notes : notes fruitées et très sucrées (cerise fraiche, prune).</v>
          </cell>
          <cell r="W243" t="str">
            <v>S23</v>
          </cell>
          <cell r="X243" t="str">
            <v>Flétris au soleil et entièrement tressés à la main en forme de griffes, les bourgeons de ce thé blanc du jardin de Snowview sont une création originale et exclusive. Ils libèrent une belle liqueur à la texture profonde et d’une grande intensité aromatique avec des notes fruitées et sucrées très gourmandes !
Texte court : Thé blanc exceptionnel sous forme de bourgeons tressés en forme de griffes. Notes : notes fruitées et très sucrées (cerise fraîche, prune).</v>
          </cell>
          <cell r="Y243"/>
          <cell r="Z243" t="str">
            <v xml:space="preserve">Ingrédient : thé blanc*. *Issu de l'agriculture biologique. </v>
          </cell>
          <cell r="AA243" t="str">
            <v>/</v>
          </cell>
          <cell r="AB243" t="str">
            <v>Membre certifié World Fair Trade Organization, Les Jardins de Gaïa s’engagent pour un commerce plus juste et répondent aux exigences du commerce équitable. Pour en savoir plus : www.wfto.com.</v>
          </cell>
          <cell r="AC243">
            <v>40</v>
          </cell>
          <cell r="AD243" t="str">
            <v>5</v>
          </cell>
          <cell r="AE243">
            <v>80</v>
          </cell>
          <cell r="AF243">
            <v>2</v>
          </cell>
          <cell r="AG243">
            <v>20</v>
          </cell>
          <cell r="AH243">
            <v>3582810637166</v>
          </cell>
          <cell r="AI243" t="str">
            <v>Plusieurs infusions</v>
          </cell>
          <cell r="AJ243" t="str">
            <v>ETBN371V5</v>
          </cell>
          <cell r="AK243" t="str">
            <v>ETBN371V5</v>
          </cell>
          <cell r="AL243" t="str">
            <v>Q de tube</v>
          </cell>
          <cell r="AM243" t="str">
            <v>Snowview Tea Estate</v>
          </cell>
        </row>
        <row r="244">
          <cell r="A244" t="str">
            <v>TV6491</v>
          </cell>
          <cell r="B244"/>
          <cell r="C244"/>
          <cell r="D244"/>
          <cell r="E244"/>
          <cell r="F244" t="str">
            <v>GRAI</v>
          </cell>
          <cell r="G244">
            <v>45383</v>
          </cell>
          <cell r="H244" t="str">
            <v>LES GRANDS CLASSIQUES</v>
          </cell>
          <cell r="I244"/>
          <cell r="J244" t="str">
            <v>Gunpowder</v>
          </cell>
          <cell r="K244" t="str">
            <v>/</v>
          </cell>
          <cell r="L244" t="str">
            <v>Thé vert d'origine</v>
          </cell>
          <cell r="M244" t="str">
            <v>Chine</v>
          </cell>
          <cell r="N244" t="str">
            <v>AB</v>
          </cell>
          <cell r="O244" t="str">
            <v>WFTO</v>
          </cell>
          <cell r="P244" t="str">
            <v>/</v>
          </cell>
          <cell r="Q244" t="str">
            <v>/</v>
          </cell>
          <cell r="R244" t="str">
            <v>/</v>
          </cell>
          <cell r="S244" t="str">
            <v>/</v>
          </cell>
          <cell r="T244" t="str">
            <v>Agriculture Chine</v>
          </cell>
          <cell r="U244"/>
          <cell r="V244" t="str">
            <v>De tradition séculaire, ce délicieux thé vert de Chine aux feuilles soigneusement roulées en petites perles se déploie en crépitant dans la théière. Thé digestif et velouté à la liqueur dorée, au parfum frais qui conviendra pour toute la journée. S’accommode à merveille de feuilles de menthe fraîche.</v>
          </cell>
          <cell r="W244"/>
          <cell r="X244" t="str">
            <v>De tradition séculaire, ce thé vert de Chine aux feuilles soigneusement roulées en petites perles offre une liqueur dense et intense. Excellent thé du quotidien à déguster nature, il peut servir de base au traditionnel thé vert à la menthe. Une valeur sûre !</v>
          </cell>
          <cell r="Y244"/>
          <cell r="Z244" t="str">
            <v>Ingrédient : thé vert*. *Issu de l'agriculture biologique.</v>
          </cell>
          <cell r="AA244" t="str">
            <v>/</v>
          </cell>
          <cell r="AB244" t="str">
            <v>Membre certifié World Fair Trade Organization, Les Jardins de Gaïa s’engagent pour un commerce plus juste et répondent aux exigences du commerce équitable. Pour en savoir plus : www.wfto.com.</v>
          </cell>
          <cell r="AC244">
            <v>1.5</v>
          </cell>
          <cell r="AD244" t="str">
            <v>3</v>
          </cell>
          <cell r="AE244">
            <v>75</v>
          </cell>
          <cell r="AF244">
            <v>2</v>
          </cell>
          <cell r="AG244">
            <v>750</v>
          </cell>
          <cell r="AH244">
            <v>3582810364918</v>
          </cell>
          <cell r="AI244" t="str">
            <v>/</v>
          </cell>
          <cell r="AJ244" t="str">
            <v>INTERNE</v>
          </cell>
          <cell r="AK244" t="str">
            <v>INTERNE</v>
          </cell>
          <cell r="AL244" t="str">
            <v>/</v>
          </cell>
          <cell r="AM244" t="str">
            <v>Xuan En Yisheng Tea Cooperative</v>
          </cell>
        </row>
        <row r="245">
          <cell r="A245" t="str">
            <v>TV6492</v>
          </cell>
          <cell r="B245"/>
          <cell r="C245" t="str">
            <v>X</v>
          </cell>
          <cell r="D245" t="str">
            <v>X</v>
          </cell>
          <cell r="E245" t="str">
            <v>X</v>
          </cell>
          <cell r="F245" t="str">
            <v>GRAI</v>
          </cell>
          <cell r="G245">
            <v>45383</v>
          </cell>
          <cell r="H245" t="str">
            <v>LES GRANDS CLASSIQUES</v>
          </cell>
          <cell r="I245"/>
          <cell r="J245" t="str">
            <v>Gunpowder</v>
          </cell>
          <cell r="K245" t="str">
            <v>/</v>
          </cell>
          <cell r="L245" t="str">
            <v>Thé vert d'origine</v>
          </cell>
          <cell r="M245" t="str">
            <v>Chine</v>
          </cell>
          <cell r="N245" t="str">
            <v>AB</v>
          </cell>
          <cell r="O245" t="str">
            <v>WFTO</v>
          </cell>
          <cell r="P245" t="str">
            <v>/</v>
          </cell>
          <cell r="Q245" t="str">
            <v>/</v>
          </cell>
          <cell r="R245" t="str">
            <v>/</v>
          </cell>
          <cell r="S245" t="str">
            <v>/</v>
          </cell>
          <cell r="T245" t="str">
            <v>Agriculture Chine</v>
          </cell>
          <cell r="U245"/>
          <cell r="V245" t="str">
            <v>De tradition séculaire, ce délicieux thé vert de Chine aux feuilles soigneusement roulées en petites perles se déploie en crépitant dans la théière. Thé digestif et velouté à la liqueur dorée, au parfum frais qui conviendra pour toute la journée. S’accommode à merveille de feuilles de menthe fraîche.</v>
          </cell>
          <cell r="W245"/>
          <cell r="X245" t="str">
            <v>De tradition séculaire, ce thé vert de Chine aux feuilles soigneusement roulées en petites perles offre une liqueur dense et intense. Excellent thé du quotidien à déguster nature, il peut servir de base au traditionnel thé vert à la menthe. Une valeur sûre !</v>
          </cell>
          <cell r="Y245"/>
          <cell r="Z245" t="str">
            <v>Ingrédient : thé vert*. *Issu de l'agriculture biologique.</v>
          </cell>
          <cell r="AA245" t="str">
            <v>/</v>
          </cell>
          <cell r="AB245" t="str">
            <v>Membre certifié World Fair Trade Organization, Les Jardins de Gaïa s’engagent pour un commerce plus juste et répondent aux exigences du commerce équitable. Pour en savoir plus : www.wfto.com.</v>
          </cell>
          <cell r="AC245">
            <v>100</v>
          </cell>
          <cell r="AD245" t="str">
            <v>3</v>
          </cell>
          <cell r="AE245">
            <v>75</v>
          </cell>
          <cell r="AF245">
            <v>2</v>
          </cell>
          <cell r="AG245">
            <v>50</v>
          </cell>
          <cell r="AH245">
            <v>3582810364925</v>
          </cell>
          <cell r="AI245" t="str">
            <v>/</v>
          </cell>
          <cell r="AJ245" t="str">
            <v>ETVN649</v>
          </cell>
          <cell r="AK245" t="str">
            <v>ETVN649V5</v>
          </cell>
          <cell r="AL245" t="str">
            <v>ETCVN6492V5</v>
          </cell>
          <cell r="AM245" t="str">
            <v>Xuan En Yisheng Tea Cooperative</v>
          </cell>
        </row>
        <row r="246">
          <cell r="A246" t="str">
            <v>TV7491</v>
          </cell>
          <cell r="B246"/>
          <cell r="C246"/>
          <cell r="D246"/>
          <cell r="E246"/>
          <cell r="F246"/>
          <cell r="G246"/>
          <cell r="H246" t="str">
            <v>LES GRANDS CLASSIQUES</v>
          </cell>
          <cell r="I246"/>
          <cell r="J246" t="str">
            <v>Gunpowder Pinhead</v>
          </cell>
          <cell r="K246" t="str">
            <v>/</v>
          </cell>
          <cell r="L246" t="str">
            <v>Thé vert d'origine</v>
          </cell>
          <cell r="M246" t="str">
            <v>Chine</v>
          </cell>
          <cell r="N246" t="str">
            <v>AB</v>
          </cell>
          <cell r="O246" t="str">
            <v>WFTO</v>
          </cell>
          <cell r="P246" t="str">
            <v>/</v>
          </cell>
          <cell r="Q246" t="str">
            <v>/</v>
          </cell>
          <cell r="R246" t="str">
            <v>/</v>
          </cell>
          <cell r="S246" t="str">
            <v>/</v>
          </cell>
          <cell r="T246" t="str">
            <v>Agriculture Chine</v>
          </cell>
          <cell r="U246"/>
          <cell r="V246" t="str">
            <v>Gunpowder d'une qualité supérieure. Roulées en boules régulières, ses feuilles libèrent une infusion d'un jaune éclatant au goût rond, sucré et légèrement malté, très présent en bouche. Délicieux nature, il est également idéal pour un thé à la menthe raffiné.</v>
          </cell>
          <cell r="W246"/>
          <cell r="X246" t="str">
            <v>Ce thé vert « gunpowder » de qualité supérieure se présente sous forme de billes régulières qui libèrent une infusion d'un jaune éclatant au goût rond, sucré et légèrement malté. Très aromatique et long en bouche, il est idéal pour servir de base à la préparation d’un thé à la menthe.</v>
          </cell>
          <cell r="Y246"/>
          <cell r="Z246" t="str">
            <v>Ingrédient : thé vert*. *Issu de l'agriculture biologique.</v>
          </cell>
          <cell r="AA246" t="str">
            <v>/</v>
          </cell>
          <cell r="AB246" t="str">
            <v>Membre certifié World Fair Trade Organization, Les Jardins de Gaïa s’engagent pour un commerce plus juste et répondent aux exigences du commerce équitable. Pour en savoir plus : www.wfto.com.</v>
          </cell>
          <cell r="AC246">
            <v>1.5</v>
          </cell>
          <cell r="AD246" t="str">
            <v>4</v>
          </cell>
          <cell r="AE246">
            <v>75</v>
          </cell>
          <cell r="AF246">
            <v>2</v>
          </cell>
          <cell r="AG246">
            <v>750</v>
          </cell>
          <cell r="AH246">
            <v>3582810374917</v>
          </cell>
          <cell r="AI246" t="str">
            <v>/</v>
          </cell>
          <cell r="AJ246" t="str">
            <v>INTERNE</v>
          </cell>
          <cell r="AK246" t="str">
            <v>INTERNE</v>
          </cell>
          <cell r="AL246" t="str">
            <v>/</v>
          </cell>
          <cell r="AM246" t="str">
            <v>Plusieurs origines possibles: Zhejiang / Hubei</v>
          </cell>
        </row>
        <row r="247">
          <cell r="A247" t="str">
            <v>TV7492</v>
          </cell>
          <cell r="B247"/>
          <cell r="C247" t="str">
            <v>X</v>
          </cell>
          <cell r="D247" t="str">
            <v>x</v>
          </cell>
          <cell r="E247" t="str">
            <v>x</v>
          </cell>
          <cell r="F247" t="str">
            <v>GRAI</v>
          </cell>
          <cell r="G247">
            <v>45383</v>
          </cell>
          <cell r="H247" t="str">
            <v>LES GRANDS CLASSIQUES</v>
          </cell>
          <cell r="I247"/>
          <cell r="J247" t="str">
            <v>Gunpowder Pinhead</v>
          </cell>
          <cell r="K247" t="str">
            <v>/</v>
          </cell>
          <cell r="L247" t="str">
            <v>Thé vert d'origine</v>
          </cell>
          <cell r="M247" t="str">
            <v>Chine</v>
          </cell>
          <cell r="N247" t="str">
            <v>AB</v>
          </cell>
          <cell r="O247" t="str">
            <v>WFTO</v>
          </cell>
          <cell r="P247" t="str">
            <v>/</v>
          </cell>
          <cell r="Q247" t="str">
            <v>/</v>
          </cell>
          <cell r="R247" t="str">
            <v>/</v>
          </cell>
          <cell r="S247" t="str">
            <v>/</v>
          </cell>
          <cell r="T247" t="str">
            <v>Agriculture Chine</v>
          </cell>
          <cell r="U247"/>
          <cell r="V247" t="str">
            <v>Gunpowder d'une qualité supérieure. Roulées en boules régulières, ses feuilles libèrent une infusion d'un jaune éclatant au goût rond, sucré et légèrement malté, très présent en bouche. Délicieux nature, il est également idéal pour un thé à la menthe raffiné.</v>
          </cell>
          <cell r="W247"/>
          <cell r="X247" t="str">
            <v>Ce thé vert « gunpowder » de qualité supérieure se présente sous forme de billes régulières qui libèrent une infusion d'un jaune éclatant au goût rond, sucré et légèrement malté. Très aromatique et long en bouche, il est idéal pour servir de base à la préparation d’un thé à la menthe.</v>
          </cell>
          <cell r="Y247"/>
          <cell r="Z247" t="str">
            <v>Ingrédient : thé vert*. *Issu de l'agriculture biologique.</v>
          </cell>
          <cell r="AA247" t="str">
            <v>/</v>
          </cell>
          <cell r="AB247" t="str">
            <v>Membre certifié World Fair Trade Organization, Les Jardins de Gaïa s’engagent pour un commerce plus juste et répondent aux exigences du commerce équitable. Pour en savoir plus : www.wfto.com.</v>
          </cell>
          <cell r="AC247">
            <v>100</v>
          </cell>
          <cell r="AD247" t="str">
            <v>4</v>
          </cell>
          <cell r="AE247">
            <v>75</v>
          </cell>
          <cell r="AF247">
            <v>2</v>
          </cell>
          <cell r="AG247">
            <v>50</v>
          </cell>
          <cell r="AH247">
            <v>3582810374924</v>
          </cell>
          <cell r="AI247" t="str">
            <v>/</v>
          </cell>
          <cell r="AJ247" t="str">
            <v>ETVN749</v>
          </cell>
          <cell r="AK247" t="str">
            <v>ETVN749V5</v>
          </cell>
          <cell r="AL247" t="str">
            <v>ETCVN7492V5</v>
          </cell>
          <cell r="AM247" t="str">
            <v>Plusieurs origines possibles: Zhejiang / Hubei</v>
          </cell>
        </row>
        <row r="248">
          <cell r="A248" t="str">
            <v>TV6551</v>
          </cell>
          <cell r="B248"/>
          <cell r="C248"/>
          <cell r="D248"/>
          <cell r="E248"/>
          <cell r="F248"/>
          <cell r="G248"/>
          <cell r="H248" t="str">
            <v>LES GRANDS CLASSIQUES</v>
          </cell>
          <cell r="I248"/>
          <cell r="J248" t="str">
            <v>Gyokuro</v>
          </cell>
          <cell r="K248" t="str">
            <v>/</v>
          </cell>
          <cell r="L248" t="str">
            <v>Thé vert d'origine</v>
          </cell>
          <cell r="M248" t="str">
            <v>Japon - Kagoshima</v>
          </cell>
          <cell r="N248" t="str">
            <v>AB</v>
          </cell>
          <cell r="O248" t="str">
            <v>/</v>
          </cell>
          <cell r="P248" t="str">
            <v>/</v>
          </cell>
          <cell r="Q248" t="str">
            <v>/</v>
          </cell>
          <cell r="R248" t="str">
            <v>/</v>
          </cell>
          <cell r="S248" t="str">
            <v>/</v>
          </cell>
          <cell r="T248" t="str">
            <v>Agriculture Japon</v>
          </cell>
          <cell r="U248"/>
          <cell r="V248" t="str">
            <v>Récolté une fois par an au printemps, le gyokuro, encore appelé "rosée précieuse", est le thé le plus raffiné du Japon. Triées et sélectionnées, ses fines feuilles vert émeraude sont plates et aiguës comme des aiguilles de pin. Son infusion jaune tendre, au goût suave, exhale un parfum intense et frais. Thé de rêve à déguster pour les grandes occasions.</v>
          </cell>
          <cell r="W248" t="str">
            <v>S16</v>
          </cell>
          <cell r="X248" t="str">
            <v>Récolté une fois par an au printemps après une période d’ombrage, le gyokuro, littéralement « rosée de jade », est le thé vert le plus raffiné du Japon. Ses fines feuilles couleur émeraude au parfum intense et frais offrent une infusion jaune tendre, au goût suave et délicieusement sucré.</v>
          </cell>
          <cell r="Y248"/>
          <cell r="Z248" t="str">
            <v>Ingrédient : thé vert*. *Issu de l'agriculture biologique.</v>
          </cell>
          <cell r="AA248" t="str">
            <v>/</v>
          </cell>
          <cell r="AB248" t="str">
            <v>/</v>
          </cell>
          <cell r="AC248">
            <v>1.5</v>
          </cell>
          <cell r="AD248" t="str">
            <v>2</v>
          </cell>
          <cell r="AE248">
            <v>60</v>
          </cell>
          <cell r="AF248">
            <v>2</v>
          </cell>
          <cell r="AG248">
            <v>750</v>
          </cell>
          <cell r="AH248">
            <v>3582810365519</v>
          </cell>
          <cell r="AI248" t="str">
            <v>Plusieurs infusions ?</v>
          </cell>
          <cell r="AJ248" t="str">
            <v>INTERNE</v>
          </cell>
          <cell r="AK248" t="str">
            <v>INTERNE</v>
          </cell>
          <cell r="AL248" t="str">
            <v>/</v>
          </cell>
          <cell r="AM248" t="str">
            <v>Japon - Kagoshima</v>
          </cell>
        </row>
        <row r="249">
          <cell r="A249" t="str">
            <v>TV6552</v>
          </cell>
          <cell r="B249"/>
          <cell r="C249" t="str">
            <v>X</v>
          </cell>
          <cell r="D249" t="str">
            <v>X</v>
          </cell>
          <cell r="E249" t="str">
            <v>X</v>
          </cell>
          <cell r="F249" t="str">
            <v>BRODART</v>
          </cell>
          <cell r="G249"/>
          <cell r="H249" t="str">
            <v>LES GRANDS CLASSIQUES</v>
          </cell>
          <cell r="I249"/>
          <cell r="J249" t="str">
            <v>Gyokuro</v>
          </cell>
          <cell r="K249" t="str">
            <v>/</v>
          </cell>
          <cell r="L249" t="str">
            <v>Thé vert d'origine</v>
          </cell>
          <cell r="M249" t="str">
            <v>Japon - Kagoshima</v>
          </cell>
          <cell r="N249" t="str">
            <v>AB</v>
          </cell>
          <cell r="O249" t="str">
            <v>/</v>
          </cell>
          <cell r="P249" t="str">
            <v>/</v>
          </cell>
          <cell r="Q249" t="str">
            <v>/</v>
          </cell>
          <cell r="R249" t="str">
            <v>/</v>
          </cell>
          <cell r="S249" t="str">
            <v>/</v>
          </cell>
          <cell r="T249" t="str">
            <v>Agriculture Japon</v>
          </cell>
          <cell r="U249"/>
          <cell r="V249" t="str">
            <v>Récolté une fois par an au printemps, le gyokuro, encore appelé "rosée précieuse", est le thé le plus raffiné du Japon. Triées et sélectionnées, ses fines feuilles vert émeraude sont plates et aiguës comme des aiguilles de pin. Son infusion jaune tendre, au goût suave, exhale un parfum intense et frais. Thé de rêve à déguster pour les grandes occasions.</v>
          </cell>
          <cell r="W249" t="str">
            <v>S16</v>
          </cell>
          <cell r="X249" t="str">
            <v>Récolté une fois par an au printemps après une période d’ombrage, le gyokuro, littéralement « rosée de jade », est le thé vert le plus raffiné du Japon. Ses fines feuilles couleur émeraude au parfum intense et frais offrent une infusion jaune tendre, au goût suave et délicieusement sucré.</v>
          </cell>
          <cell r="Y249"/>
          <cell r="Z249" t="str">
            <v>Ingrédient : thé vert*. *Issu de l'agriculture biologique.</v>
          </cell>
          <cell r="AA249" t="str">
            <v>/</v>
          </cell>
          <cell r="AB249" t="str">
            <v>/</v>
          </cell>
          <cell r="AC249">
            <v>100</v>
          </cell>
          <cell r="AD249" t="str">
            <v>2</v>
          </cell>
          <cell r="AE249">
            <v>60</v>
          </cell>
          <cell r="AF249">
            <v>2</v>
          </cell>
          <cell r="AG249">
            <v>50</v>
          </cell>
          <cell r="AH249">
            <v>3582810365526</v>
          </cell>
          <cell r="AI249" t="str">
            <v>Plusieurs infusions ?</v>
          </cell>
          <cell r="AJ249" t="str">
            <v>ETVN655</v>
          </cell>
          <cell r="AK249" t="str">
            <v>ETVN655V5</v>
          </cell>
          <cell r="AL249" t="str">
            <v>ETCVN6552V5</v>
          </cell>
          <cell r="AM249" t="str">
            <v>Japon - Kagoshima</v>
          </cell>
        </row>
        <row r="250">
          <cell r="A250" t="str">
            <v>TV6556</v>
          </cell>
          <cell r="B250"/>
          <cell r="C250" t="str">
            <v>X</v>
          </cell>
          <cell r="D250" t="str">
            <v>X</v>
          </cell>
          <cell r="E250" t="str">
            <v>X</v>
          </cell>
          <cell r="F250" t="str">
            <v>BRODART</v>
          </cell>
          <cell r="G250"/>
          <cell r="H250" t="str">
            <v>LES GRANDS CLASSIQUES</v>
          </cell>
          <cell r="I250"/>
          <cell r="J250" t="str">
            <v>Gyokuro</v>
          </cell>
          <cell r="K250" t="str">
            <v>/</v>
          </cell>
          <cell r="L250" t="str">
            <v>Thé vert d'origine</v>
          </cell>
          <cell r="M250" t="str">
            <v>Japon - Kagoshima</v>
          </cell>
          <cell r="N250" t="str">
            <v>AB</v>
          </cell>
          <cell r="O250" t="str">
            <v>/</v>
          </cell>
          <cell r="P250" t="str">
            <v>/</v>
          </cell>
          <cell r="Q250" t="str">
            <v>/</v>
          </cell>
          <cell r="R250" t="str">
            <v>/</v>
          </cell>
          <cell r="S250" t="str">
            <v>/</v>
          </cell>
          <cell r="T250" t="str">
            <v>Agriculture Japon</v>
          </cell>
          <cell r="U250"/>
          <cell r="V250" t="str">
            <v>Récolté une fois par an au printemps, le gyokuro, encore appelé "rosée précieuse", est le thé le plus raffiné du Japon. Triées et sélectionnées, ses fines feuilles vert émeraude sont plates et aiguës comme des aiguilles de pin. Son infusion jaune tendre, au goût suave, exhale un parfum intense et frais. Thé de rêve à déguster pour les grandes occasions.</v>
          </cell>
          <cell r="W250" t="str">
            <v>S16</v>
          </cell>
          <cell r="X250" t="str">
            <v>Récolté une fois par an au printemps après une période d’ombrage, le gyokuro, littéralement « rosée de jade », est le thé vert le plus raffiné du Japon. Ses fines feuilles couleur émeraude au parfum intense et frais offrent une infusion jaune tendre, au goût suave et délicieusement sucré.</v>
          </cell>
          <cell r="Y250"/>
          <cell r="Z250" t="str">
            <v>Ingrédient : thé vert*. *Issu de l'agriculture biologique.</v>
          </cell>
          <cell r="AA250" t="str">
            <v>/</v>
          </cell>
          <cell r="AB250" t="str">
            <v>/</v>
          </cell>
          <cell r="AC250">
            <v>50</v>
          </cell>
          <cell r="AD250" t="str">
            <v>2</v>
          </cell>
          <cell r="AE250">
            <v>60</v>
          </cell>
          <cell r="AF250">
            <v>2</v>
          </cell>
          <cell r="AG250">
            <v>25</v>
          </cell>
          <cell r="AH250">
            <v>3582810365564</v>
          </cell>
          <cell r="AI250" t="str">
            <v>Plusieurs infusions ?</v>
          </cell>
          <cell r="AJ250" t="str">
            <v>ETVN655</v>
          </cell>
          <cell r="AK250" t="str">
            <v>ETVN655V5</v>
          </cell>
          <cell r="AL250" t="str">
            <v>ETCVN6556V5</v>
          </cell>
          <cell r="AM250" t="str">
            <v>Japon - Kagoshima</v>
          </cell>
        </row>
        <row r="251">
          <cell r="A251" t="str">
            <v>TUTJ0706</v>
          </cell>
          <cell r="B251"/>
          <cell r="C251"/>
          <cell r="D251"/>
          <cell r="E251"/>
          <cell r="F251"/>
          <cell r="G251"/>
          <cell r="H251" t="str">
            <v>LES PRECIEUX DU JAPON ET DE TAIWAN</v>
          </cell>
          <cell r="I251"/>
          <cell r="J251" t="str">
            <v>Gyokuro</v>
          </cell>
          <cell r="K251" t="str">
            <v>À l'ombre du phénix 玉露</v>
          </cell>
          <cell r="L251" t="str">
            <v>Thé vert d'origine</v>
          </cell>
          <cell r="M251" t="str">
            <v>Japon - Ujitawara</v>
          </cell>
          <cell r="N251" t="str">
            <v>AB</v>
          </cell>
          <cell r="O251" t="str">
            <v>/</v>
          </cell>
          <cell r="P251" t="str">
            <v>/</v>
          </cell>
          <cell r="Q251" t="str">
            <v>/</v>
          </cell>
          <cell r="R251" t="str">
            <v>/</v>
          </cell>
          <cell r="S251" t="str">
            <v>/</v>
          </cell>
          <cell r="T251" t="str">
            <v>Agriculture Japon</v>
          </cell>
          <cell r="U251"/>
          <cell r="V251" t="str">
            <v>Délicat thé d’ombre japonais, travaillé à l’aide d’une vapeur selon la manière ancestrale. Ses belles aiguilles fines et régulières délivrent une liqueur végétale délicieusement lactée évoquant de jeunes pousses de céréales germées. Un thé divin pour les grandes occasions !</v>
          </cell>
          <cell r="W251" t="str">
            <v>S23</v>
          </cell>
          <cell r="X251" t="str">
            <v>Après leur période d’ombrage, les feuilles roulées en fines aiguilles de ce gyokuro ont été travaillées à la vapeur selon la méthode traditionnelle. Elles délivrent une liqueur délicate et délicieusement lactée évoquant de jeunes pousses de céréales germées. La perfection japonaise dans un thé !</v>
          </cell>
          <cell r="Y251"/>
          <cell r="Z251" t="str">
            <v>Ingrédient : thé vert*. *Issu de l'agriculture biologique.</v>
          </cell>
          <cell r="AA251" t="str">
            <v>/</v>
          </cell>
          <cell r="AB251" t="str">
            <v>/</v>
          </cell>
          <cell r="AC251">
            <v>50</v>
          </cell>
          <cell r="AD251" t="str">
            <v>1</v>
          </cell>
          <cell r="AE251">
            <v>60</v>
          </cell>
          <cell r="AF251">
            <v>2</v>
          </cell>
          <cell r="AG251">
            <v>25</v>
          </cell>
          <cell r="AH251">
            <v>3582815707062</v>
          </cell>
          <cell r="AI251" t="str">
            <v>Plusieurs infusions</v>
          </cell>
          <cell r="AJ251" t="str">
            <v>ETTUTJ0706</v>
          </cell>
          <cell r="AK251" t="str">
            <v>ETTUTJ0706V5</v>
          </cell>
          <cell r="AL251" t="str">
            <v>/</v>
          </cell>
          <cell r="AM251" t="str">
            <v>Japon - Kagoshima</v>
          </cell>
        </row>
        <row r="252">
          <cell r="A252" t="str">
            <v>TUTJ0836</v>
          </cell>
          <cell r="B252"/>
          <cell r="C252"/>
          <cell r="D252"/>
          <cell r="E252"/>
          <cell r="F252"/>
          <cell r="G252"/>
          <cell r="H252" t="str">
            <v>LES PRECIEUX DU JAPON ET DE TAIWAN</v>
          </cell>
          <cell r="I252"/>
          <cell r="J252" t="str">
            <v>Gyokuro Karigane</v>
          </cell>
          <cell r="K252" t="str">
            <v>Kukicha 玉露</v>
          </cell>
          <cell r="L252" t="str">
            <v>Thé vert d'origine</v>
          </cell>
          <cell r="M252" t="str">
            <v>Japon - Ujitawara</v>
          </cell>
          <cell r="N252" t="str">
            <v>AB</v>
          </cell>
          <cell r="O252" t="str">
            <v>/</v>
          </cell>
          <cell r="P252" t="str">
            <v>/</v>
          </cell>
          <cell r="Q252" t="str">
            <v>/</v>
          </cell>
          <cell r="R252" t="str">
            <v>/</v>
          </cell>
          <cell r="S252" t="str">
            <v>/</v>
          </cell>
          <cell r="T252" t="str">
            <v>Agriculture Japon</v>
          </cell>
          <cell r="U252"/>
          <cell r="V252" t="str">
            <v>Élaboré à partir de tiges et de feuilles de gyokuro, ce thé japonais est la crème des kukicha. Sa liqueur veloutée délivre des saveurs de fruits jaunes accompagnées de notes végétales et marines qui se développent en bouche d'une manière particulièrement raffinée.</v>
          </cell>
          <cell r="W252" t="str">
            <v>S23</v>
          </cell>
          <cell r="X252" t="str">
            <v>Élaboré à partir de tiges et de feuilles de gyokuro, ce thé vert japonais représente la crème des kukicha. Sa liqueur veloutée délivre des saveurs de fruits jaunes accompagnées de notes végétales et marines qui se développent en bouche d'une manière très raffinée. Un délice !</v>
          </cell>
          <cell r="Y252"/>
          <cell r="Z252" t="str">
            <v>Ingrédient : thé vert*. *Issu de l'agriculture biologique.</v>
          </cell>
          <cell r="AA252" t="str">
            <v>/</v>
          </cell>
          <cell r="AB252" t="str">
            <v>/</v>
          </cell>
          <cell r="AC252">
            <v>50</v>
          </cell>
          <cell r="AD252" t="str">
            <v>2-3</v>
          </cell>
          <cell r="AE252">
            <v>70</v>
          </cell>
          <cell r="AF252">
            <v>2</v>
          </cell>
          <cell r="AG252">
            <v>25</v>
          </cell>
          <cell r="AH252">
            <v>3582815708366</v>
          </cell>
          <cell r="AI252" t="str">
            <v>Plusieurs infusions</v>
          </cell>
          <cell r="AJ252" t="str">
            <v>ETTUTJ0836</v>
          </cell>
          <cell r="AK252" t="str">
            <v>ETTUTJ0836V5</v>
          </cell>
          <cell r="AL252" t="str">
            <v>/</v>
          </cell>
          <cell r="AM252" t="str">
            <v>Japon - Kagoshima</v>
          </cell>
        </row>
        <row r="253">
          <cell r="A253" t="str">
            <v>TV6577</v>
          </cell>
          <cell r="B253"/>
          <cell r="C253"/>
          <cell r="D253"/>
          <cell r="E253"/>
          <cell r="F253"/>
          <cell r="G253"/>
          <cell r="H253" t="str">
            <v>LES GRANDS CLASSIQUES</v>
          </cell>
          <cell r="I253"/>
          <cell r="J253" t="str">
            <v>Gyokuro Premium</v>
          </cell>
          <cell r="K253" t="str">
            <v>Vert éternel 玉露</v>
          </cell>
          <cell r="L253" t="str">
            <v>Thé vert d'origine</v>
          </cell>
          <cell r="M253" t="str">
            <v>Japon - Kagoshima</v>
          </cell>
          <cell r="N253" t="str">
            <v>AB</v>
          </cell>
          <cell r="O253" t="str">
            <v>/</v>
          </cell>
          <cell r="P253" t="str">
            <v>/</v>
          </cell>
          <cell r="Q253" t="str">
            <v>/</v>
          </cell>
          <cell r="R253" t="str">
            <v>/</v>
          </cell>
          <cell r="S253" t="str">
            <v>/</v>
          </cell>
          <cell r="T253" t="str">
            <v>Agriculture Japon</v>
          </cell>
          <cell r="U253"/>
          <cell r="V253" t="str">
            <v>Thé mythique parmi les plus grands ! Les feuilles brillantes vert émeraude en forme d'aiguilles très fines libèrent une infusion vert jaune lumineuse aux senteurs végétales. Véritable concentré de pureté, cette “rosée précieuse” à la saveur soyeuse et laiteuse, relevée par une note sucrée intense en bouche, est incontestablement le thé favori des plus fins palais. Récolte d'exception, rare, à savourer…</v>
          </cell>
          <cell r="W253" t="str">
            <v>S16</v>
          </cell>
          <cell r="X253" t="str">
            <v>Véritable concentré aromatique et fruit d’un savoir-faire unique, le gyokuro est un thé vert ombré d’une finesse inégalable qui fait la fierté des producteurs japonais. Ses fines feuilles d’une belle couleur émeraude offrent une infusion soyeuse aux notes lactées, fruitées et végétales intenses.</v>
          </cell>
          <cell r="Y253"/>
          <cell r="Z253" t="str">
            <v>Ingrédient : thé vert*. *Issu de l'agriculture biologique.</v>
          </cell>
          <cell r="AA253" t="str">
            <v>/</v>
          </cell>
          <cell r="AB253" t="str">
            <v>/</v>
          </cell>
          <cell r="AC253">
            <v>1</v>
          </cell>
          <cell r="AD253" t="str">
            <v>1-2</v>
          </cell>
          <cell r="AE253" t="str">
            <v>50-60</v>
          </cell>
          <cell r="AF253">
            <v>2</v>
          </cell>
          <cell r="AG253">
            <v>500</v>
          </cell>
          <cell r="AH253">
            <v>3582810365779</v>
          </cell>
          <cell r="AI253" t="str">
            <v>plusieurs infusions</v>
          </cell>
          <cell r="AJ253" t="str">
            <v>INTERNE</v>
          </cell>
          <cell r="AK253" t="str">
            <v>INTERNE</v>
          </cell>
          <cell r="AL253" t="str">
            <v>/</v>
          </cell>
          <cell r="AM253" t="str">
            <v>Japon - Kagoshima</v>
          </cell>
        </row>
        <row r="254">
          <cell r="A254" t="str">
            <v>TV6572</v>
          </cell>
          <cell r="B254"/>
          <cell r="C254" t="str">
            <v>X</v>
          </cell>
          <cell r="D254" t="str">
            <v>X</v>
          </cell>
          <cell r="E254" t="str">
            <v>X</v>
          </cell>
          <cell r="F254" t="str">
            <v>BRODART</v>
          </cell>
          <cell r="G254"/>
          <cell r="H254" t="str">
            <v>LES GRANDS CLASSIQUES</v>
          </cell>
          <cell r="I254"/>
          <cell r="J254" t="str">
            <v>Gyokuro Premium</v>
          </cell>
          <cell r="K254" t="str">
            <v>Vert éternel 玉露</v>
          </cell>
          <cell r="L254" t="str">
            <v>Thé vert d'origine</v>
          </cell>
          <cell r="M254" t="str">
            <v>Japon - Kagoshima</v>
          </cell>
          <cell r="N254" t="str">
            <v>AB</v>
          </cell>
          <cell r="O254" t="str">
            <v>/</v>
          </cell>
          <cell r="P254" t="str">
            <v>/</v>
          </cell>
          <cell r="Q254" t="str">
            <v>/</v>
          </cell>
          <cell r="R254" t="str">
            <v>/</v>
          </cell>
          <cell r="S254" t="str">
            <v>/</v>
          </cell>
          <cell r="T254" t="str">
            <v>Agriculture Japon</v>
          </cell>
          <cell r="U254"/>
          <cell r="V254" t="str">
            <v>Thé mythique parmi les plus grands ! Les feuilles brillantes vert émeraude en forme d'aiguilles très fines libèrent une infusion vert jaune lumineuse aux senteurs végétales. Véritable concentré de pureté, cette “rosée précieuse” à la saveur soyeuse et laiteuse, relevée par une note sucrée intense en bouche, est incontestablement le thé favori des plus fins palais. Récolte d'exception, rare, à savourer…</v>
          </cell>
          <cell r="W254" t="str">
            <v>S16</v>
          </cell>
          <cell r="X254" t="str">
            <v>Véritable concentré aromatique et fruit d’un savoir-faire unique, le gyokuro est un thé vert ombré d’une finesse inégalable qui fait la fierté des producteurs japonais. Ses fines feuilles d’une belle couleur émeraude offrent une infusion soyeuse aux notes lactées, fruitées et végétales intenses.</v>
          </cell>
          <cell r="Y254"/>
          <cell r="Z254" t="str">
            <v>Ingrédient : thé vert*. *Issu de l'agriculture biologique.</v>
          </cell>
          <cell r="AA254" t="str">
            <v>/</v>
          </cell>
          <cell r="AB254" t="str">
            <v>/</v>
          </cell>
          <cell r="AC254">
            <v>100</v>
          </cell>
          <cell r="AD254" t="str">
            <v>1-2</v>
          </cell>
          <cell r="AE254" t="str">
            <v>50-60</v>
          </cell>
          <cell r="AF254">
            <v>2</v>
          </cell>
          <cell r="AG254">
            <v>50</v>
          </cell>
          <cell r="AH254">
            <v>3582810365724</v>
          </cell>
          <cell r="AI254" t="str">
            <v>plusieurs infusions</v>
          </cell>
          <cell r="AJ254" t="str">
            <v>ETVN657V5</v>
          </cell>
          <cell r="AK254" t="str">
            <v>ETVN657V5</v>
          </cell>
          <cell r="AL254" t="str">
            <v>ETCVN6572V5</v>
          </cell>
          <cell r="AM254" t="str">
            <v>Japon - Kagoshima</v>
          </cell>
        </row>
        <row r="255">
          <cell r="A255" t="str">
            <v>TV6576</v>
          </cell>
          <cell r="B255"/>
          <cell r="C255" t="str">
            <v>X</v>
          </cell>
          <cell r="D255" t="str">
            <v>X</v>
          </cell>
          <cell r="E255" t="str">
            <v>X</v>
          </cell>
          <cell r="F255" t="str">
            <v>BRODART</v>
          </cell>
          <cell r="G255"/>
          <cell r="H255" t="str">
            <v>LES GRANDS CLASSIQUES</v>
          </cell>
          <cell r="I255"/>
          <cell r="J255" t="str">
            <v>Gyokuro Premium</v>
          </cell>
          <cell r="K255" t="str">
            <v>Vert éternel 玉露</v>
          </cell>
          <cell r="L255" t="str">
            <v>Thé vert d'origine</v>
          </cell>
          <cell r="M255" t="str">
            <v>Japon - Kagoshima</v>
          </cell>
          <cell r="N255" t="str">
            <v>AB</v>
          </cell>
          <cell r="O255" t="str">
            <v>/</v>
          </cell>
          <cell r="P255" t="str">
            <v>/</v>
          </cell>
          <cell r="Q255" t="str">
            <v>/</v>
          </cell>
          <cell r="R255" t="str">
            <v>/</v>
          </cell>
          <cell r="S255" t="str">
            <v>/</v>
          </cell>
          <cell r="T255" t="str">
            <v>Agriculture Japon</v>
          </cell>
          <cell r="U255"/>
          <cell r="V255" t="str">
            <v>Thé mythique parmi les plus grands ! Les feuilles brillantes vert émeraude en forme d'aiguilles très fines libèrent une infusion vert jaune lumineuse aux senteurs végétales. Véritable concentré de pureté, cette “rosée précieuse” à la saveur soyeuse et laiteuse, relevée par une note sucrée intense en bouche, est incontestablement le thé favori des plus fins palais. Récolte d'exception, rare, à savourer…</v>
          </cell>
          <cell r="W255" t="str">
            <v>S16</v>
          </cell>
          <cell r="X255" t="str">
            <v>Véritable concentré aromatique et fruit d’un savoir-faire unique, le gyokuro est un thé vert ombré d’une finesse inégalable qui fait la fierté des producteurs japonais. Ses fines feuilles d’une belle couleur émeraude offrent une infusion soyeuse aux notes lactées, fruitées et végétales intenses.</v>
          </cell>
          <cell r="Y255"/>
          <cell r="Z255" t="str">
            <v>Ingrédient : thé vert*. *Issu de l'agriculture biologique.</v>
          </cell>
          <cell r="AA255" t="str">
            <v>/</v>
          </cell>
          <cell r="AB255" t="str">
            <v>/</v>
          </cell>
          <cell r="AC255">
            <v>50</v>
          </cell>
          <cell r="AD255" t="str">
            <v>1-2</v>
          </cell>
          <cell r="AE255" t="str">
            <v>50-60</v>
          </cell>
          <cell r="AF255">
            <v>2</v>
          </cell>
          <cell r="AG255">
            <v>25</v>
          </cell>
          <cell r="AH255">
            <v>3582810365762</v>
          </cell>
          <cell r="AI255" t="str">
            <v>plusieurs infusions</v>
          </cell>
          <cell r="AJ255" t="str">
            <v>ETVN657V5</v>
          </cell>
          <cell r="AK255" t="str">
            <v>ETVN657V5</v>
          </cell>
          <cell r="AL255" t="str">
            <v>ETCVN6576V5</v>
          </cell>
          <cell r="AM255" t="str">
            <v>Japon - Kagoshima</v>
          </cell>
        </row>
        <row r="256">
          <cell r="A256" t="str">
            <v>TR2161</v>
          </cell>
          <cell r="B256"/>
          <cell r="C256"/>
          <cell r="D256"/>
          <cell r="E256"/>
          <cell r="F256"/>
          <cell r="G256"/>
          <cell r="H256" t="str">
            <v>LES GRANDS CLASSIQUES</v>
          </cell>
          <cell r="I256"/>
          <cell r="J256" t="str">
            <v>Halloween</v>
          </cell>
          <cell r="K256" t="str">
            <v>Orange - Cannelle</v>
          </cell>
          <cell r="L256" t="str">
            <v>Rooibos aromatisé</v>
          </cell>
          <cell r="M256" t="str">
            <v>Afrique du Sud - Cap Occidental</v>
          </cell>
          <cell r="N256" t="str">
            <v>AB</v>
          </cell>
          <cell r="O256" t="str">
            <v>WFTO</v>
          </cell>
          <cell r="P256" t="str">
            <v>/</v>
          </cell>
          <cell r="Q256" t="str">
            <v>/</v>
          </cell>
          <cell r="R256" t="str">
            <v>/</v>
          </cell>
          <cell r="S256" t="str">
            <v>/</v>
          </cell>
          <cell r="T256" t="str">
            <v>Agriculture UE/non UE</v>
          </cell>
          <cell r="U256"/>
          <cell r="V256" t="str">
            <v>Infusion de légende ou douce saveur d’automne, ce rooibos ensorcelant nous emporte vers les premiers frimas. Harmonieuse et subtile, l’association de l’orange et de la cannelle accompagnera parfaitement l’incontournable tarte à la citrouille !</v>
          </cell>
          <cell r="W256" t="str">
            <v>S16</v>
          </cell>
          <cell r="X256" t="str">
            <v>Avec ses saveurs chaudes et gourmandes à la fois épicées et fruitées, ce rooibos va vous ensorceler dès la première gorgée ! L’association des notes fruitées de l’orange avec la douceur de la cannelle sur le fond boisé et vanillé du rooibos est tout simplement irrésistible…</v>
          </cell>
          <cell r="Y256"/>
          <cell r="Z256" t="str">
            <v>Ingrédients : rooibos*, morceaux de carottes*, morceaux de cannelle* 4%, huile essentielle d’orange* 2%, écorces d’orange* 2%, extrait de cannelle* 0,5%, pétales de soucis*. *Issu de l’agriculture biologique.</v>
          </cell>
          <cell r="AA256" t="str">
            <v>/</v>
          </cell>
          <cell r="AB256" t="str">
            <v>Membre certifié World Fair Trade Organization, Les Jardins de Gaïa s’engagent pour un commerce plus juste et répondent aux exigences du commerce équitable. Pour en savoir plus : www.wfto.com.</v>
          </cell>
          <cell r="AC256">
            <v>1.5</v>
          </cell>
          <cell r="AD256" t="str">
            <v>5-10</v>
          </cell>
          <cell r="AE256">
            <v>95</v>
          </cell>
          <cell r="AF256">
            <v>2</v>
          </cell>
          <cell r="AG256">
            <v>750</v>
          </cell>
          <cell r="AH256">
            <v>3582810921616</v>
          </cell>
          <cell r="AI256" t="str">
            <v>/</v>
          </cell>
          <cell r="AJ256" t="str">
            <v>INTERNE</v>
          </cell>
          <cell r="AK256" t="str">
            <v>INTERNE</v>
          </cell>
          <cell r="AL256" t="str">
            <v>/</v>
          </cell>
          <cell r="AM256" t="str">
            <v>Création maison</v>
          </cell>
        </row>
        <row r="257">
          <cell r="A257" t="str">
            <v>TR2162</v>
          </cell>
          <cell r="B257"/>
          <cell r="C257" t="str">
            <v>X</v>
          </cell>
          <cell r="D257" t="str">
            <v>X</v>
          </cell>
          <cell r="E257" t="str">
            <v>X</v>
          </cell>
          <cell r="F257" t="str">
            <v>BRODART</v>
          </cell>
          <cell r="G257"/>
          <cell r="H257" t="str">
            <v>LES GRANDS CLASSIQUES</v>
          </cell>
          <cell r="I257"/>
          <cell r="J257" t="str">
            <v>Halloween</v>
          </cell>
          <cell r="K257" t="str">
            <v>Orange - Cannelle</v>
          </cell>
          <cell r="L257" t="str">
            <v>Rooibos aromatisé</v>
          </cell>
          <cell r="M257" t="str">
            <v>Afrique du Sud - Cap Occidental</v>
          </cell>
          <cell r="N257" t="str">
            <v>AB</v>
          </cell>
          <cell r="O257" t="str">
            <v>WFTO</v>
          </cell>
          <cell r="P257" t="str">
            <v>/</v>
          </cell>
          <cell r="Q257" t="str">
            <v>/</v>
          </cell>
          <cell r="R257" t="str">
            <v>/</v>
          </cell>
          <cell r="S257" t="str">
            <v>/</v>
          </cell>
          <cell r="T257" t="str">
            <v>Agriculture UE/non UE</v>
          </cell>
          <cell r="U257"/>
          <cell r="V257" t="str">
            <v>Infusion de légende ou douce saveur d’automne, ce rooibos ensorcelant nous emporte vers les premiers frimas. Harmonieuse et subtile, l’association de l’orange et de la cannelle accompagnera parfaitement l’incontournable tarte à la citrouille !</v>
          </cell>
          <cell r="W257" t="str">
            <v>S16</v>
          </cell>
          <cell r="X257" t="str">
            <v>Avec ses saveurs chaudes et gourmandes à la fois épicées et fruitées, ce rooibos va vous ensorceler dès la première gorgée ! L’association des notes fruitées de l’orange avec la douceur de la cannelle sur le fond boisé et vanillé du rooibos est tout simplement irrésistible…</v>
          </cell>
          <cell r="Y257"/>
          <cell r="Z257" t="str">
            <v>Ingrédients : rooibos*, morceaux de carottes*, morceaux de cannelle* 4%, huile essentielle d’orange* 2%, écorces d’orange* 2%, extrait de cannelle* 0,5%, pétales de soucis*. *Issu de l’agriculture biologique.</v>
          </cell>
          <cell r="AA257" t="str">
            <v>/</v>
          </cell>
          <cell r="AB257" t="str">
            <v>Membre certifié World Fair Trade Organization, Les Jardins de Gaïa s’engagent pour un commerce plus juste et répondent aux exigences du commerce équitable. Pour en savoir plus : www.wfto.com.</v>
          </cell>
          <cell r="AC257">
            <v>100</v>
          </cell>
          <cell r="AD257" t="str">
            <v>5-10</v>
          </cell>
          <cell r="AE257">
            <v>95</v>
          </cell>
          <cell r="AF257">
            <v>2</v>
          </cell>
          <cell r="AG257">
            <v>50</v>
          </cell>
          <cell r="AH257">
            <v>3582810921623</v>
          </cell>
          <cell r="AI257" t="str">
            <v>/</v>
          </cell>
          <cell r="AJ257" t="str">
            <v>ETRA216</v>
          </cell>
          <cell r="AK257" t="str">
            <v>ETRA216V5</v>
          </cell>
          <cell r="AL257" t="str">
            <v>ETCRA2162V5</v>
          </cell>
          <cell r="AM257" t="str">
            <v>Création maison</v>
          </cell>
        </row>
        <row r="258">
          <cell r="A258" t="str">
            <v>TH7011</v>
          </cell>
          <cell r="B258"/>
          <cell r="C258"/>
          <cell r="D258"/>
          <cell r="E258"/>
          <cell r="F258"/>
          <cell r="G258"/>
          <cell r="H258" t="str">
            <v>LES BIENFAITRICES</v>
          </cell>
          <cell r="I258" t="str">
            <v>LES INFUSIONS DE PLANTES</v>
          </cell>
          <cell r="J258" t="str">
            <v>Happy Bedon</v>
          </cell>
          <cell r="K258" t="str">
            <v>Digestive
Mauve - Menthe douce</v>
          </cell>
          <cell r="L258" t="str">
            <v>Infusion de plantes</v>
          </cell>
          <cell r="M258" t="str">
            <v>/</v>
          </cell>
          <cell r="N258" t="str">
            <v>AB</v>
          </cell>
          <cell r="O258" t="str">
            <v>/</v>
          </cell>
          <cell r="P258" t="str">
            <v>/</v>
          </cell>
          <cell r="Q258" t="str">
            <v>/</v>
          </cell>
          <cell r="R258" t="str">
            <v>/</v>
          </cell>
          <cell r="S258" t="str">
            <v>/</v>
          </cell>
          <cell r="T258" t="str">
            <v>AT-BIO-301
Agriculture UE</v>
          </cell>
          <cell r="U258"/>
          <cell r="V258" t="str">
            <v>Cette tisane au goût rond, fruité et anisé, est une petite astuce quotidienne pour dompter les ventres rebelles ! Pour un corps libéré, léger et en pleine santé !</v>
          </cell>
          <cell r="W258" t="str">
            <v>S12</v>
          </cell>
          <cell r="X258" t="str">
            <v>Cette jolie tisane digestive au goût rond, fruité et anisé, est une petite astuce quotidienne pour dompter et rendre joyeux les ventres rebelles ! Pour se sentir libre et léger comme l’air.</v>
          </cell>
          <cell r="Y258"/>
          <cell r="Z258" t="str">
            <v>Ingrédients : pétales de mauve* 25% (Malva sylvestris), mélisse* (Melissa officinalis), menthe douce* 20% (Mentha spicata), crapaudine de Grèce* (Sideritis scardica), achillée millefeuille* (Achillea millefolium), pétales de souci* (Calendula officinalis). *Issu de l’agriculture biologique.</v>
          </cell>
          <cell r="AA258"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258" t="str">
            <v>/</v>
          </cell>
          <cell r="AC258" t="str">
            <v>?</v>
          </cell>
          <cell r="AD258" t="str">
            <v>5-10</v>
          </cell>
          <cell r="AE258">
            <v>95</v>
          </cell>
          <cell r="AF258">
            <v>2</v>
          </cell>
          <cell r="AG258" t="str">
            <v>?</v>
          </cell>
          <cell r="AH258" t="str">
            <v>?</v>
          </cell>
          <cell r="AI258" t="str">
            <v>/</v>
          </cell>
          <cell r="AJ258" t="str">
            <v>INTERNE</v>
          </cell>
          <cell r="AK258" t="str">
            <v>INTERNE</v>
          </cell>
          <cell r="AL258" t="str">
            <v>/</v>
          </cell>
          <cell r="AM258" t="str">
            <v>Sonnentor</v>
          </cell>
        </row>
        <row r="259">
          <cell r="A259" t="str">
            <v>TH701</v>
          </cell>
          <cell r="B259"/>
          <cell r="C259" t="str">
            <v>X</v>
          </cell>
          <cell r="D259" t="str">
            <v>X</v>
          </cell>
          <cell r="E259"/>
          <cell r="F259" t="str">
            <v>GRAI</v>
          </cell>
          <cell r="G259">
            <v>45408</v>
          </cell>
          <cell r="H259" t="str">
            <v>LES BIENFAITRICES</v>
          </cell>
          <cell r="I259" t="str">
            <v>LES INFUSIONS DE PLANTES</v>
          </cell>
          <cell r="J259" t="str">
            <v>Happy Bedon</v>
          </cell>
          <cell r="K259" t="str">
            <v>Digestive
Mauve - Menthe douce</v>
          </cell>
          <cell r="L259" t="str">
            <v>Infusion de plantes</v>
          </cell>
          <cell r="M259" t="str">
            <v>/</v>
          </cell>
          <cell r="N259" t="str">
            <v>AB</v>
          </cell>
          <cell r="O259" t="str">
            <v>/</v>
          </cell>
          <cell r="P259" t="str">
            <v>/</v>
          </cell>
          <cell r="Q259" t="str">
            <v>/</v>
          </cell>
          <cell r="R259" t="str">
            <v>/</v>
          </cell>
          <cell r="S259" t="str">
            <v>/</v>
          </cell>
          <cell r="T259" t="str">
            <v>AT-BIO-301
Agriculture UE</v>
          </cell>
          <cell r="U259"/>
          <cell r="V259" t="str">
            <v>Cette tisane au goût rond, fruité et anisé, est une petite astuce quotidienne pour dompter les ventres rebelles ! Pour un corps libéré, léger et en pleine santé !</v>
          </cell>
          <cell r="W259" t="str">
            <v>S12</v>
          </cell>
          <cell r="X259" t="str">
            <v>Cette jolie tisane digestive au goût rond, fruité et anisé, est une petite astuce quotidienne pour dompter et rendre joyeux les ventres rebelles ! Pour se sentir libre et léger comme l’air.</v>
          </cell>
          <cell r="Y259"/>
          <cell r="Z259" t="str">
            <v>Ingrédients : pétales de mauve* 25% (Malva sylvestris), mélisse* (Melissa officinalis), menthe douce* 20% (Mentha spicata), crapaudine de Grèce* (Sideritis scardica), achillée millefeuille* (Achillea millefolium), pétales de souci* (Calendula officinalis). *Issu de l’agriculture biologique.</v>
          </cell>
          <cell r="AA259"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259" t="str">
            <v>/</v>
          </cell>
          <cell r="AC259">
            <v>50</v>
          </cell>
          <cell r="AD259" t="str">
            <v>5-10</v>
          </cell>
          <cell r="AE259">
            <v>95</v>
          </cell>
          <cell r="AF259">
            <v>2</v>
          </cell>
          <cell r="AG259">
            <v>25</v>
          </cell>
          <cell r="AH259">
            <v>3582811007012</v>
          </cell>
          <cell r="AI259" t="str">
            <v>/</v>
          </cell>
          <cell r="AJ259" t="str">
            <v>ETHN7010V5</v>
          </cell>
          <cell r="AK259" t="str">
            <v>ETHN7010V5</v>
          </cell>
          <cell r="AL259" t="str">
            <v>/</v>
          </cell>
          <cell r="AM259" t="str">
            <v>Sonnentor</v>
          </cell>
        </row>
        <row r="260">
          <cell r="A260" t="str">
            <v>TH1501</v>
          </cell>
          <cell r="B260"/>
          <cell r="C260"/>
          <cell r="D260"/>
          <cell r="E260"/>
          <cell r="F260"/>
          <cell r="G260"/>
          <cell r="H260" t="str">
            <v>LES BIENFAITRICES</v>
          </cell>
          <cell r="I260" t="str">
            <v>LES INFUSIONS DE PLANTES</v>
          </cell>
          <cell r="J260" t="str">
            <v>Hibiscus</v>
          </cell>
          <cell r="K260" t="str">
            <v>Revitalisante</v>
          </cell>
          <cell r="L260" t="str">
            <v>Infusion de plante</v>
          </cell>
          <cell r="M260" t="str">
            <v>Burkina Faso - Dano</v>
          </cell>
          <cell r="N260" t="str">
            <v>AB</v>
          </cell>
          <cell r="O260" t="str">
            <v>WFTO</v>
          </cell>
          <cell r="P260" t="str">
            <v>/</v>
          </cell>
          <cell r="Q260" t="str">
            <v>/</v>
          </cell>
          <cell r="R260" t="str">
            <v>/</v>
          </cell>
          <cell r="S260" t="str">
            <v>/</v>
          </cell>
          <cell r="T260" t="str">
            <v>Agriculture non UE</v>
          </cell>
          <cell r="U260"/>
          <cell r="V260" t="str">
            <v>Récoltées par de petits producteurs africains pendant la période sèche, ces fleurs d’hibiscus sont à l’origine du fameux "bissap", vrai concentré de bienfaits. Cette belle infusion rouge grenat a la réputation d’être désaltérante, revitalisante et drainante. Elle se boit chaude ou glacée et permet l’élaboration de délicieux cocktails !</v>
          </cell>
          <cell r="W260" t="str">
            <v>S12</v>
          </cell>
          <cell r="X260" t="str">
            <v>Récoltées par de petits producteurs africains, ces fleurs d’hibiscus sont à l’origine du fameux "bissap", une infusion rouge grenat qui concentre les bienfaits. Désaltérante, revitalisante et drainante, elle s’apprécie chaude ou glacée et permet l’élaboration de délicieux cocktails !</v>
          </cell>
          <cell r="Y260"/>
          <cell r="Z260" t="str">
            <v>Ingrédient : hibiscus* (Hibiscus sabdariffa). *Issu de l’agriculture biologique.</v>
          </cell>
          <cell r="AA260"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260" t="str">
            <v>Membre certifié World Fair Trade Organization, Les Jardins de Gaïa s’engagent pour un commerce plus juste et répondent aux exigences du commerce équitable. Pour en savoir plus : www.wfto.com.</v>
          </cell>
          <cell r="AC260">
            <v>1.5</v>
          </cell>
          <cell r="AD260" t="str">
            <v>10</v>
          </cell>
          <cell r="AE260">
            <v>95</v>
          </cell>
          <cell r="AF260">
            <v>2</v>
          </cell>
          <cell r="AG260">
            <v>750</v>
          </cell>
          <cell r="AH260">
            <v>3582810115015</v>
          </cell>
          <cell r="AI260" t="str">
            <v>/</v>
          </cell>
          <cell r="AJ260" t="str">
            <v>INTERNE</v>
          </cell>
          <cell r="AK260" t="str">
            <v>INTERNE</v>
          </cell>
          <cell r="AL260" t="str">
            <v>/</v>
          </cell>
          <cell r="AM260" t="str">
            <v>UPRAMABIO</v>
          </cell>
        </row>
        <row r="261">
          <cell r="A261" t="str">
            <v>TH1502</v>
          </cell>
          <cell r="B261"/>
          <cell r="C261" t="str">
            <v>X</v>
          </cell>
          <cell r="D261" t="str">
            <v>X</v>
          </cell>
          <cell r="E261"/>
          <cell r="F261" t="str">
            <v>GRAI</v>
          </cell>
          <cell r="G261">
            <v>45408</v>
          </cell>
          <cell r="H261" t="str">
            <v>LES BIENFAITRICES</v>
          </cell>
          <cell r="I261" t="str">
            <v>LES INFUSIONS DE PLANTES</v>
          </cell>
          <cell r="J261" t="str">
            <v>Hibiscus</v>
          </cell>
          <cell r="K261" t="str">
            <v>Revitalisante</v>
          </cell>
          <cell r="L261" t="str">
            <v>Infusion de plante</v>
          </cell>
          <cell r="M261" t="str">
            <v>Burkina Faso - Dano</v>
          </cell>
          <cell r="N261" t="str">
            <v>AB</v>
          </cell>
          <cell r="O261" t="str">
            <v>WFTO</v>
          </cell>
          <cell r="P261" t="str">
            <v>/</v>
          </cell>
          <cell r="Q261" t="str">
            <v>/</v>
          </cell>
          <cell r="R261" t="str">
            <v>/</v>
          </cell>
          <cell r="S261" t="str">
            <v>/</v>
          </cell>
          <cell r="T261" t="str">
            <v>Agriculture non UE</v>
          </cell>
          <cell r="U261"/>
          <cell r="V261" t="str">
            <v>Récoltées par de petits producteurs africains pendant la période sèche, ces fleurs d’hibiscus sont à l’origine du fameux "bissap", vrai concentré de bienfaits. Cette belle infusion rouge grenat a la réputation d’être désaltérante, revitalisante et drainante. Elle se boit chaude ou glacée et permet l’élaboration de délicieux cocktails !</v>
          </cell>
          <cell r="W261" t="str">
            <v>S12</v>
          </cell>
          <cell r="X261" t="str">
            <v>Récoltées par de petits producteurs africains, ces fleurs d’hibiscus sont à l’origine du fameux "bissap", une infusion rouge grenat qui concentre les bienfaits. Désaltérante, revitalisante et drainante, elle s’apprécie chaude ou glacée et permet l’élaboration de délicieux cocktails !</v>
          </cell>
          <cell r="Y261"/>
          <cell r="Z261" t="str">
            <v>Ingrédient : hibiscus* (Hibiscus sabdariffa). *Issu de l’agriculture biologique.</v>
          </cell>
          <cell r="AA261"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261" t="str">
            <v>Membre certifié World Fair Trade Organization, Les Jardins de Gaïa s’engagent pour un commerce plus juste et répondent aux exigences du commerce équitable. Pour en savoir plus : www.wfto.com.</v>
          </cell>
          <cell r="AC261">
            <v>100</v>
          </cell>
          <cell r="AD261" t="str">
            <v>10</v>
          </cell>
          <cell r="AE261">
            <v>95</v>
          </cell>
          <cell r="AF261">
            <v>2</v>
          </cell>
          <cell r="AG261">
            <v>50</v>
          </cell>
          <cell r="AH261">
            <v>3582810115022</v>
          </cell>
          <cell r="AI261" t="str">
            <v>/</v>
          </cell>
          <cell r="AJ261" t="str">
            <v>ETHN1500V5</v>
          </cell>
          <cell r="AK261" t="str">
            <v>ETHN1500V5</v>
          </cell>
          <cell r="AL261" t="str">
            <v>/</v>
          </cell>
          <cell r="AM261" t="str">
            <v>UPRAMABIO</v>
          </cell>
        </row>
        <row r="262">
          <cell r="A262" t="str">
            <v>TN5361</v>
          </cell>
          <cell r="B262"/>
          <cell r="C262"/>
          <cell r="D262"/>
          <cell r="E262"/>
          <cell r="F262"/>
          <cell r="G262"/>
          <cell r="H262" t="str">
            <v>LES GRANDS CLASSIQUES</v>
          </cell>
          <cell r="I262"/>
          <cell r="J262" t="str">
            <v>Highgrown SOFA</v>
          </cell>
          <cell r="K262" t="str">
            <v>FBOP1</v>
          </cell>
          <cell r="L262" t="str">
            <v>Thé noir d'origine</v>
          </cell>
          <cell r="M262" t="str">
            <v>Sri Lanka - Kandy</v>
          </cell>
          <cell r="N262" t="str">
            <v>AB</v>
          </cell>
          <cell r="O262" t="str">
            <v>WFTO</v>
          </cell>
          <cell r="P262" t="str">
            <v>/</v>
          </cell>
          <cell r="Q262" t="str">
            <v>/</v>
          </cell>
          <cell r="R262" t="str">
            <v>/</v>
          </cell>
          <cell r="S262" t="str">
            <v>/</v>
          </cell>
          <cell r="T262" t="str">
            <v>Agriculture Sri Lanka</v>
          </cell>
          <cell r="U262"/>
          <cell r="V262" t="str">
            <v>Grand cru d’altitude de la province d'UVA réputée pour ses thés de grande qualité. Tasse rouge brillant qui donne une liqueur savoureuse et corsée très parfumée. Convient pour le petit déjeuner et l’après repas. Délicieuse avec ou sans lait.</v>
          </cell>
          <cell r="W262" t="str">
            <v>S13</v>
          </cell>
          <cell r="X262" t="str">
            <v>Portant la signature des thés de haute montagne de Ceylan, ce thé en feuilles brisées (broken) de la province d’UVA offre une infusion intense d’une belle teinte cuivrée et brillante. Savoureuse et corsée, elle convient pour le petit déjeuner et peut être adoucie avec un nuage de lait ou de crème.</v>
          </cell>
          <cell r="Y262"/>
          <cell r="Z262" t="str">
            <v>Ingrédient : thé noir*. *Issu de l'agriculture biologique.</v>
          </cell>
          <cell r="AA262" t="str">
            <v>/</v>
          </cell>
          <cell r="AB262" t="str">
            <v>Membre certifié World Fair Trade Organization, Les Jardins de Gaïa s’engagent pour un commerce plus juste et répondent aux exigences du commerce équitable. Pour en savoir plus : www.wfto.com.</v>
          </cell>
          <cell r="AC262">
            <v>1.5</v>
          </cell>
          <cell r="AD262" t="str">
            <v>3-4</v>
          </cell>
          <cell r="AE262">
            <v>90</v>
          </cell>
          <cell r="AF262">
            <v>2</v>
          </cell>
          <cell r="AG262">
            <v>750</v>
          </cell>
          <cell r="AH262">
            <v>3582810253618</v>
          </cell>
          <cell r="AI262" t="str">
            <v>/</v>
          </cell>
          <cell r="AJ262" t="str">
            <v>INTERNE</v>
          </cell>
          <cell r="AK262" t="str">
            <v>INTERNE</v>
          </cell>
          <cell r="AL262" t="str">
            <v>/</v>
          </cell>
          <cell r="AM262" t="str">
            <v>Small Organic Farmers' Association</v>
          </cell>
        </row>
        <row r="263">
          <cell r="A263" t="str">
            <v>TN5362</v>
          </cell>
          <cell r="B263"/>
          <cell r="C263" t="str">
            <v>X</v>
          </cell>
          <cell r="D263"/>
          <cell r="E263"/>
          <cell r="F263" t="str">
            <v>BRODART</v>
          </cell>
          <cell r="G263"/>
          <cell r="H263" t="str">
            <v>LES GRANDS CLASSIQUES</v>
          </cell>
          <cell r="I263"/>
          <cell r="J263" t="str">
            <v>Highgrown SOFA</v>
          </cell>
          <cell r="K263" t="str">
            <v>FBOP1</v>
          </cell>
          <cell r="L263" t="str">
            <v>Thé noir d'origine</v>
          </cell>
          <cell r="M263" t="str">
            <v>Sri Lanka - Kandy</v>
          </cell>
          <cell r="N263" t="str">
            <v>AB</v>
          </cell>
          <cell r="O263" t="str">
            <v>WFTO</v>
          </cell>
          <cell r="P263" t="str">
            <v>/</v>
          </cell>
          <cell r="Q263" t="str">
            <v>/</v>
          </cell>
          <cell r="R263" t="str">
            <v>/</v>
          </cell>
          <cell r="S263" t="str">
            <v>/</v>
          </cell>
          <cell r="T263" t="str">
            <v>Agriculture Sri Lanka</v>
          </cell>
          <cell r="U263"/>
          <cell r="V263" t="str">
            <v>Grand cru d’altitude de la province d'UVA réputée pour ses thés de grande qualité. Tasse rouge brillant qui donne une liqueur savoureuse et corsée très parfumée. Convient pour le petit déjeuner et l’après repas. Délicieuse avec ou sans lait.</v>
          </cell>
          <cell r="W263" t="str">
            <v>S13</v>
          </cell>
          <cell r="X263" t="str">
            <v>Portant la signature des thés de haute montagne de Ceylan, ce thé en feuilles brisées (broken) de la province d’UVA offre une infusion intense d’une belle teinte cuivrée et brillante. Savoureuse et corsée, elle convient pour le petit déjeuner et peut être adoucie avec un nuage de lait ou de crème.</v>
          </cell>
          <cell r="Y263"/>
          <cell r="Z263" t="str">
            <v>Ingrédient : thé noir*. *Issu de l'agriculture biologique.</v>
          </cell>
          <cell r="AA263" t="str">
            <v>/</v>
          </cell>
          <cell r="AB263" t="str">
            <v>Membre certifié World Fair Trade Organization, Les Jardins de Gaïa s’engagent pour un commerce plus juste et répondent aux exigences du commerce équitable. Pour en savoir plus : www.wfto.com.</v>
          </cell>
          <cell r="AC263">
            <v>100</v>
          </cell>
          <cell r="AD263" t="str">
            <v>3-4</v>
          </cell>
          <cell r="AE263">
            <v>90</v>
          </cell>
          <cell r="AF263">
            <v>2</v>
          </cell>
          <cell r="AG263">
            <v>50</v>
          </cell>
          <cell r="AH263">
            <v>3582810253625</v>
          </cell>
          <cell r="AI263" t="str">
            <v>/</v>
          </cell>
          <cell r="AJ263" t="str">
            <v>ETNN536</v>
          </cell>
          <cell r="AK263" t="str">
            <v>ETNN536V5</v>
          </cell>
          <cell r="AL263" t="str">
            <v>ETCNN5362V5</v>
          </cell>
          <cell r="AM263" t="str">
            <v>Small Organic Farmers' Association</v>
          </cell>
        </row>
        <row r="264">
          <cell r="A264" t="str">
            <v>TN2155</v>
          </cell>
          <cell r="B264"/>
          <cell r="C264"/>
          <cell r="D264"/>
          <cell r="E264"/>
          <cell r="F264"/>
          <cell r="G264"/>
          <cell r="H264" t="str">
            <v>LES GRAND CRUS</v>
          </cell>
          <cell r="I264"/>
          <cell r="J264" t="str">
            <v>Himalayan Secret</v>
          </cell>
          <cell r="K264" t="str">
            <v xml:space="preserve">jardin de Samabeong Ex.20.04.2023
cultivar AV-2
</v>
          </cell>
          <cell r="L264" t="str">
            <v>Thé noir primeur</v>
          </cell>
          <cell r="M264" t="str">
            <v>Inde - Darjeeling - Samabeong garden</v>
          </cell>
          <cell r="N264" t="str">
            <v>AB</v>
          </cell>
          <cell r="O264" t="str">
            <v>WFTO</v>
          </cell>
          <cell r="P264" t="str">
            <v>/</v>
          </cell>
          <cell r="Q264" t="str">
            <v>/</v>
          </cell>
          <cell r="R264" t="str">
            <v>IGP</v>
          </cell>
          <cell r="S264" t="str">
            <v>/</v>
          </cell>
          <cell r="T264" t="str">
            <v>Agriculture Inde</v>
          </cell>
          <cell r="U264"/>
          <cell r="V264" t="str">
            <v>Thé primeur fin et gourmand fruit d’une fabrication manuelle. Notes : pêche au sirop, orgeat. Parfait équilibre entre le floral et le fruité.</v>
          </cell>
          <cell r="W264" t="str">
            <v>S23</v>
          </cell>
          <cell r="X264" t="str">
            <v>Les petites feuilles aux nuances vertes et dorées, agrémentées de pointes duvetées de ce thé noir offrent la vivacité des excellents primeurs du Darjeeling. Sa liqueur veloutée, imprègne le palais de saveurs de biscuit, de pêche au sirop et d’orgeat. Un thé gourmand qui se dévoile à chaque gorgée…
Texte court : Thé primeur fin et gourmand fruit d’une fabrication manuelle. Notes : biscuit, pêche au sirop, orgeat. Parfait équilibre entre le floral et le fruité.</v>
          </cell>
          <cell r="Y264"/>
          <cell r="Z264" t="str">
            <v>Ingrédient : thé noir*. *Issu de l'agriculture biologique.</v>
          </cell>
          <cell r="AA264" t="str">
            <v>/</v>
          </cell>
          <cell r="AB264" t="str">
            <v>Membre certifié World Fair Trade Organization, Les Jardins de Gaïa s’engagent pour un commerce plus juste et répondent aux exigences du commerce équitable. Pour en savoir plus : www.wfto.com.</v>
          </cell>
          <cell r="AC264">
            <v>500</v>
          </cell>
          <cell r="AD264" t="str">
            <v>3-4</v>
          </cell>
          <cell r="AE264" t="str">
            <v>85-90</v>
          </cell>
          <cell r="AF264">
            <v>2</v>
          </cell>
          <cell r="AG264">
            <v>250</v>
          </cell>
          <cell r="AH264">
            <v>3582810221556</v>
          </cell>
          <cell r="AI264" t="str">
            <v>/</v>
          </cell>
          <cell r="AJ264" t="str">
            <v>INTERNE</v>
          </cell>
          <cell r="AK264" t="str">
            <v>INTERNE</v>
          </cell>
          <cell r="AL264" t="str">
            <v>/</v>
          </cell>
          <cell r="AM264" t="str">
            <v>Seeyok Tea Estate</v>
          </cell>
        </row>
        <row r="265">
          <cell r="A265" t="str">
            <v>TN2156</v>
          </cell>
          <cell r="B265"/>
          <cell r="C265"/>
          <cell r="D265"/>
          <cell r="E265"/>
          <cell r="F265"/>
          <cell r="G265"/>
          <cell r="H265" t="str">
            <v>LES GRAND CRUS</v>
          </cell>
          <cell r="I265"/>
          <cell r="J265" t="str">
            <v>Himalayan Secret</v>
          </cell>
          <cell r="K265" t="str">
            <v xml:space="preserve">jardin de Samabeong Ex.20.04.2023
cultivar AV-2
</v>
          </cell>
          <cell r="L265" t="str">
            <v>Thé noir primeur</v>
          </cell>
          <cell r="M265" t="str">
            <v>Inde - Darjeeling - Samabeong garden</v>
          </cell>
          <cell r="N265" t="str">
            <v>AB</v>
          </cell>
          <cell r="O265" t="str">
            <v>WFTO</v>
          </cell>
          <cell r="P265" t="str">
            <v>/</v>
          </cell>
          <cell r="Q265" t="str">
            <v>/</v>
          </cell>
          <cell r="R265" t="str">
            <v>IGP</v>
          </cell>
          <cell r="S265" t="str">
            <v>/</v>
          </cell>
          <cell r="T265" t="str">
            <v>Agriculture Inde</v>
          </cell>
          <cell r="U265"/>
          <cell r="V265" t="str">
            <v>Thé primeur fin et gourmand fruit d’une fabrication manuelle. Notes : pêche au sirop, orgeat. Parfait équilibre entre le floral et le fruité.</v>
          </cell>
          <cell r="W265" t="str">
            <v>S23</v>
          </cell>
          <cell r="X265" t="str">
            <v>Les petites feuilles aux nuances vertes et dorées, agrémentées de pointes duvetées de ce thé noir offrent la vivacité des excellents primeurs du Darjeeling. Sa liqueur veloutée, imprègne le palais de saveurs de biscuit, de pêche au sirop et d’orgeat. Un thé gourmand qui se dévoile à chaque gorgée…
Texte court : Thé primeur fin et gourmand fruit d’une fabrication manuelle. Notes : biscuit, pêche au sirop, orgeat. Parfait équilibre entre le floral et le fruité.</v>
          </cell>
          <cell r="Y265"/>
          <cell r="Z265" t="str">
            <v>Ingrédient : thé noir*. *Issu de l'agriculture biologique.</v>
          </cell>
          <cell r="AA265" t="str">
            <v>/</v>
          </cell>
          <cell r="AB265" t="str">
            <v>Membre certifié World Fair Trade Organization, Les Jardins de Gaïa s’engagent pour un commerce plus juste et répondent aux exigences du commerce équitable. Pour en savoir plus : www.wfto.com.</v>
          </cell>
          <cell r="AC265">
            <v>50</v>
          </cell>
          <cell r="AD265" t="str">
            <v>3-4</v>
          </cell>
          <cell r="AE265" t="str">
            <v>85-90</v>
          </cell>
          <cell r="AF265">
            <v>2</v>
          </cell>
          <cell r="AG265">
            <v>25</v>
          </cell>
          <cell r="AH265">
            <v>3582810221563</v>
          </cell>
          <cell r="AI265" t="str">
            <v>/</v>
          </cell>
          <cell r="AJ265" t="str">
            <v>ETNN215FF22</v>
          </cell>
          <cell r="AK265" t="str">
            <v>ETNN215FF22V5</v>
          </cell>
          <cell r="AL265" t="str">
            <v>Q de tube</v>
          </cell>
          <cell r="AM265" t="str">
            <v>Seeyok Tea Estate</v>
          </cell>
        </row>
        <row r="266">
          <cell r="A266" t="str">
            <v>TV1097</v>
          </cell>
          <cell r="B266"/>
          <cell r="C266"/>
          <cell r="D266"/>
          <cell r="E266"/>
          <cell r="F266"/>
          <cell r="G266"/>
          <cell r="H266" t="str">
            <v>LES GRANDS CLASSIQUES</v>
          </cell>
          <cell r="I266"/>
          <cell r="J266" t="str">
            <v>Hojicha</v>
          </cell>
          <cell r="K266" t="str">
            <v>ほうじ茶</v>
          </cell>
          <cell r="L266" t="str">
            <v>Thé vert d'origine torréfié</v>
          </cell>
          <cell r="M266" t="str">
            <v>Japon - Kagoshima</v>
          </cell>
          <cell r="N266" t="str">
            <v>AB</v>
          </cell>
          <cell r="O266" t="str">
            <v>/</v>
          </cell>
          <cell r="P266" t="str">
            <v>/</v>
          </cell>
          <cell r="Q266" t="str">
            <v>/</v>
          </cell>
          <cell r="R266" t="str">
            <v>/</v>
          </cell>
          <cell r="S266" t="str">
            <v>/</v>
          </cell>
          <cell r="T266" t="str">
            <v>Agriculture Japon</v>
          </cell>
          <cell r="U266"/>
          <cell r="V266" t="str">
            <v>Le hojicha, thé vert torréfié, est une composition de feuilles et de branches. Son infusion libère une liqueur ambrée, au parfum chaud de pain grillé, à la saveur sucrée relevée d'une note de noisette. Consommé au Japon après les repas, sa faible teneur en théine en fait une boisson de tous les instants.</v>
          </cell>
          <cell r="W266" t="str">
            <v>S13</v>
          </cell>
          <cell r="X266" t="str">
            <v>Le hojicha est un thé vert torréfié composé de tiges et de feuilles dont l’infusion libère une liqueur ambrée, au parfum chaud de pain grillé, à la saveur de noisette légèrement sucrée. Thé du quotidien réputé faible en théine, il est particulièrement apprécié au Japon en accompagnement d’un repas.</v>
          </cell>
          <cell r="Y266"/>
          <cell r="Z266" t="str">
            <v>Ingrédient : thé vert*. *Issu de l'agriculture biologique.</v>
          </cell>
          <cell r="AA266" t="str">
            <v>/</v>
          </cell>
          <cell r="AB266" t="str">
            <v>/</v>
          </cell>
          <cell r="AC266">
            <v>1</v>
          </cell>
          <cell r="AD266" t="str">
            <v>2-3</v>
          </cell>
          <cell r="AE266">
            <v>80</v>
          </cell>
          <cell r="AF266">
            <v>2</v>
          </cell>
          <cell r="AG266">
            <v>500</v>
          </cell>
          <cell r="AH266">
            <v>3582810310977</v>
          </cell>
          <cell r="AI266" t="str">
            <v>/</v>
          </cell>
          <cell r="AJ266" t="str">
            <v>INTERNE</v>
          </cell>
          <cell r="AK266" t="str">
            <v>INTERNE</v>
          </cell>
          <cell r="AL266" t="str">
            <v>/</v>
          </cell>
          <cell r="AM266" t="str">
            <v>Japon - Kagoshima</v>
          </cell>
        </row>
        <row r="267">
          <cell r="A267" t="str">
            <v>TV1092</v>
          </cell>
          <cell r="B267"/>
          <cell r="C267" t="str">
            <v>X</v>
          </cell>
          <cell r="D267"/>
          <cell r="E267"/>
          <cell r="F267" t="str">
            <v>BRODART</v>
          </cell>
          <cell r="G267"/>
          <cell r="H267" t="str">
            <v>LES GRANDS CLASSIQUES</v>
          </cell>
          <cell r="I267"/>
          <cell r="J267" t="str">
            <v>Hojicha</v>
          </cell>
          <cell r="K267" t="str">
            <v>ほうじ茶</v>
          </cell>
          <cell r="L267" t="str">
            <v>Thé vert d'origine torréfié</v>
          </cell>
          <cell r="M267" t="str">
            <v>Japon - Kagoshima</v>
          </cell>
          <cell r="N267" t="str">
            <v>AB</v>
          </cell>
          <cell r="O267" t="str">
            <v>/</v>
          </cell>
          <cell r="P267" t="str">
            <v>/</v>
          </cell>
          <cell r="Q267" t="str">
            <v>/</v>
          </cell>
          <cell r="R267" t="str">
            <v>/</v>
          </cell>
          <cell r="S267" t="str">
            <v>/</v>
          </cell>
          <cell r="T267" t="str">
            <v>Agriculture Japon</v>
          </cell>
          <cell r="U267"/>
          <cell r="V267" t="str">
            <v>Le hojicha, thé vert torréfié, est une composition de feuilles et de branches. Son infusion libère une liqueur ambrée, au parfum chaud de pain grillé, à la saveur sucrée relevée d'une note de noisette. Consommé au Japon après les repas, sa faible teneur en théine en fait une boisson de tous les instants.</v>
          </cell>
          <cell r="W267" t="str">
            <v>S13</v>
          </cell>
          <cell r="X267" t="str">
            <v>Le hojicha est un thé vert torréfié composé de tiges et de feuilles dont l’infusion libère une liqueur ambrée, au parfum chaud de pain grillé, à la saveur de noisette légèrement sucrée. Thé du quotidien réputé faible en théine, il est particulièrement apprécié au Japon en accompagnement d’un repas.</v>
          </cell>
          <cell r="Y267"/>
          <cell r="Z267" t="str">
            <v>Ingrédient : thé vert*. *Issu de l'agriculture biologique.</v>
          </cell>
          <cell r="AA267" t="str">
            <v>/</v>
          </cell>
          <cell r="AB267" t="str">
            <v>/</v>
          </cell>
          <cell r="AC267">
            <v>100</v>
          </cell>
          <cell r="AD267" t="str">
            <v>2-3</v>
          </cell>
          <cell r="AE267">
            <v>80</v>
          </cell>
          <cell r="AF267">
            <v>2</v>
          </cell>
          <cell r="AG267">
            <v>50</v>
          </cell>
          <cell r="AH267">
            <v>3582810310922</v>
          </cell>
          <cell r="AI267" t="str">
            <v>/</v>
          </cell>
          <cell r="AJ267" t="str">
            <v>ETVN109V5</v>
          </cell>
          <cell r="AK267" t="str">
            <v>ETVN109V5</v>
          </cell>
          <cell r="AL267" t="str">
            <v>ETCVN1092V5</v>
          </cell>
          <cell r="AM267" t="str">
            <v>Japon - Kagoshima</v>
          </cell>
        </row>
        <row r="268">
          <cell r="A268" t="str">
            <v>TJ2266</v>
          </cell>
          <cell r="B268"/>
          <cell r="C268"/>
          <cell r="D268"/>
          <cell r="E268"/>
          <cell r="F268"/>
          <cell r="G268"/>
          <cell r="H268" t="str">
            <v>LES GRANDS CLASSIQUES</v>
          </cell>
          <cell r="I268"/>
          <cell r="J268" t="str">
            <v>Hojicha en poudre</v>
          </cell>
          <cell r="K268" t="str">
            <v>ほうじ茶</v>
          </cell>
          <cell r="L268" t="str">
            <v>Thé vert d'origine torréfié</v>
          </cell>
          <cell r="M268" t="str">
            <v>Japon - Kagoshima</v>
          </cell>
          <cell r="N268" t="str">
            <v>AB</v>
          </cell>
          <cell r="O268" t="str">
            <v>/</v>
          </cell>
          <cell r="P268" t="str">
            <v>/</v>
          </cell>
          <cell r="Q268" t="str">
            <v>/</v>
          </cell>
          <cell r="R268" t="str">
            <v>/</v>
          </cell>
          <cell r="S268" t="str">
            <v>/</v>
          </cell>
          <cell r="T268" t="str">
            <v>Agriculture Japon</v>
          </cell>
          <cell r="U268"/>
          <cell r="V268" t="str">
            <v>Ce hojicha en poudre permet d’aromatiser vos préparations_x0003_culinaires avec les saveurs torréfiées du célèbre thé vert japonais. _x0003_Ses notes de céréales grillées, qui évoquent notamment la cacahuète et sa grande douceur, apportent instantanément une touche gourmande aux sauces, gâteaux et autres cocktails… Il peut également être battu à la manière d’un matcha et être dégusté sous la forme d’une mousse aussi onctueuse que savoureuse.</v>
          </cell>
          <cell r="W268" t="str">
            <v>S13</v>
          </cell>
          <cell r="X268" t="str">
            <v>Ce hojicha en poudre qui peut se préparer et se déguster à la manière d’un matcha permet également d’aromatiser facilement sauces, cocktails et autres gâteaux avec les saveurs chaudes du thé vert torréfié japonais. Ses notes de céréales grillées et de cacahuète sont particulièrement gourmandes.</v>
          </cell>
          <cell r="Y268"/>
          <cell r="Z268" t="str">
            <v xml:space="preserve">Ingrédient : thé vert en poudre*. *Issu de l'agriculture biologique. </v>
          </cell>
          <cell r="AA268" t="str">
            <v>/</v>
          </cell>
          <cell r="AB268" t="str">
            <v>/</v>
          </cell>
          <cell r="AC268">
            <v>50</v>
          </cell>
          <cell r="AD268" t="str">
            <v>Thé battu</v>
          </cell>
          <cell r="AE268">
            <v>80</v>
          </cell>
          <cell r="AF268">
            <v>2</v>
          </cell>
          <cell r="AG268">
            <v>25</v>
          </cell>
          <cell r="AH268">
            <v>3582814122668</v>
          </cell>
          <cell r="AI268" t="str">
            <v>/</v>
          </cell>
          <cell r="AJ268" t="str">
            <v>ETTJ226</v>
          </cell>
          <cell r="AK268" t="str">
            <v>ETTJ226V5</v>
          </cell>
          <cell r="AL268" t="str">
            <v>ETCTJ2266V5</v>
          </cell>
          <cell r="AM268" t="str">
            <v>The Kagoshima Tea Market</v>
          </cell>
        </row>
        <row r="269">
          <cell r="A269" t="str">
            <v>TN2195</v>
          </cell>
          <cell r="B269"/>
          <cell r="C269"/>
          <cell r="D269"/>
          <cell r="E269"/>
          <cell r="F269"/>
          <cell r="G269"/>
          <cell r="H269" t="str">
            <v>LES GRAND CRUS</v>
          </cell>
          <cell r="I269"/>
          <cell r="J269" t="str">
            <v xml:space="preserve">Holi Beauty  </v>
          </cell>
          <cell r="K269" t="str">
            <v>FTGFOP1 FF 
jardin de Selimbong Ex. 08.04.2023
cultivar AV-2</v>
          </cell>
          <cell r="L269" t="str">
            <v>Thé noir primeur</v>
          </cell>
          <cell r="M269" t="str">
            <v>Inde - Darjeeling - Selimbong garden</v>
          </cell>
          <cell r="N269" t="str">
            <v>AB</v>
          </cell>
          <cell r="O269" t="str">
            <v>WFTO</v>
          </cell>
          <cell r="P269" t="str">
            <v>D</v>
          </cell>
          <cell r="Q269" t="str">
            <v>/</v>
          </cell>
          <cell r="R269" t="str">
            <v>IGP</v>
          </cell>
          <cell r="S269" t="str">
            <v>/</v>
          </cell>
          <cell r="T269" t="str">
            <v>Agriculture Inde</v>
          </cell>
          <cell r="U269"/>
          <cell r="V269" t="str">
            <v>Primeur expressif récolté pendant la fête des couleurs (Holi). Notes : fruitées (fruits exotiques), sucrées et florales.</v>
          </cell>
          <cell r="W269"/>
          <cell r="X269"/>
          <cell r="Y269"/>
          <cell r="Z269" t="str">
            <v xml:space="preserve">Ingrédient : thé noir**. **Issu de l'agriculture biologique et biodynamique. demeter est la marque des produits issus de l'agriculture biodynamique certifiée. </v>
          </cell>
          <cell r="AA269" t="str">
            <v>/</v>
          </cell>
          <cell r="AB269" t="str">
            <v>Membre certifié World Fair Trade Organization, Les Jardins de Gaïa s’engagent pour un commerce plus juste et répondent aux exigences du commerce équitable. Pour en savoir plus : www.wfto.com.</v>
          </cell>
          <cell r="AC269">
            <v>500</v>
          </cell>
          <cell r="AD269" t="str">
            <v>3-4</v>
          </cell>
          <cell r="AE269" t="str">
            <v>85-90</v>
          </cell>
          <cell r="AF269">
            <v>2</v>
          </cell>
          <cell r="AG269">
            <v>250</v>
          </cell>
          <cell r="AH269">
            <v>3582810221952</v>
          </cell>
          <cell r="AI269" t="str">
            <v>/</v>
          </cell>
          <cell r="AJ269" t="str">
            <v>INTERNE</v>
          </cell>
          <cell r="AK269" t="str">
            <v>INTERNE</v>
          </cell>
          <cell r="AL269" t="str">
            <v>/</v>
          </cell>
          <cell r="AM269" t="str">
            <v>Seeyok Tea Estate</v>
          </cell>
        </row>
        <row r="270">
          <cell r="A270" t="str">
            <v>TN2196</v>
          </cell>
          <cell r="B270"/>
          <cell r="C270"/>
          <cell r="D270"/>
          <cell r="E270"/>
          <cell r="F270"/>
          <cell r="G270"/>
          <cell r="H270" t="str">
            <v>LES GRAND CRUS</v>
          </cell>
          <cell r="I270"/>
          <cell r="J270" t="str">
            <v xml:space="preserve">Holi Beauty  </v>
          </cell>
          <cell r="K270" t="str">
            <v>FTGFOP1 FF 
jardin de Selimbong Ex. 08.04.2023
cultivar AV-2</v>
          </cell>
          <cell r="L270" t="str">
            <v>Thé noir primeur</v>
          </cell>
          <cell r="M270" t="str">
            <v>Inde - Darjeeling - Selimbong garden</v>
          </cell>
          <cell r="N270" t="str">
            <v>AB</v>
          </cell>
          <cell r="O270" t="str">
            <v>WFTO</v>
          </cell>
          <cell r="P270" t="str">
            <v>D</v>
          </cell>
          <cell r="Q270" t="str">
            <v>/</v>
          </cell>
          <cell r="R270" t="str">
            <v>IGP</v>
          </cell>
          <cell r="S270" t="str">
            <v>/</v>
          </cell>
          <cell r="T270" t="str">
            <v>Agriculture Inde</v>
          </cell>
          <cell r="U270"/>
          <cell r="V270" t="str">
            <v>Primeur expressif récolté pendant la fête des couleurs (Holi). Notes : fruitées (fruits exotiques), sucrées et florales.</v>
          </cell>
          <cell r="W270"/>
          <cell r="X270"/>
          <cell r="Y270"/>
          <cell r="Z270" t="str">
            <v xml:space="preserve">Ingrédient : thé noir**. **Issu de l'agriculture biologique et biodynamique. demeter est la marque des produits issus de l'agriculture biodynamique certifiée. </v>
          </cell>
          <cell r="AA270" t="str">
            <v>/</v>
          </cell>
          <cell r="AB270" t="str">
            <v>Membre certifié World Fair Trade Organization, Les Jardins de Gaïa s’engagent pour un commerce plus juste et répondent aux exigences du commerce équitable. Pour en savoir plus : www.wfto.com.</v>
          </cell>
          <cell r="AC270">
            <v>50</v>
          </cell>
          <cell r="AD270" t="str">
            <v>3-4</v>
          </cell>
          <cell r="AE270" t="str">
            <v>85-90</v>
          </cell>
          <cell r="AF270">
            <v>2</v>
          </cell>
          <cell r="AG270">
            <v>25</v>
          </cell>
          <cell r="AH270">
            <v>3582810221969</v>
          </cell>
          <cell r="AI270" t="str">
            <v>/</v>
          </cell>
          <cell r="AJ270" t="str">
            <v>ETNN219FF22</v>
          </cell>
          <cell r="AK270" t="str">
            <v>ETNN219FF22V5</v>
          </cell>
          <cell r="AL270" t="str">
            <v>Q de tube</v>
          </cell>
          <cell r="AM270" t="str">
            <v>Seeyok Tea Estate</v>
          </cell>
        </row>
        <row r="271">
          <cell r="A271" t="str">
            <v>HB1701</v>
          </cell>
          <cell r="B271"/>
          <cell r="C271" t="str">
            <v>X</v>
          </cell>
          <cell r="D271"/>
          <cell r="E271"/>
          <cell r="F271"/>
          <cell r="G271"/>
          <cell r="H271" t="str">
            <v>LES GRANDS CLASSIQUES</v>
          </cell>
          <cell r="I271"/>
          <cell r="J271" t="str">
            <v>Honeybush</v>
          </cell>
          <cell r="K271" t="str">
            <v>Nature</v>
          </cell>
          <cell r="L271" t="str">
            <v>Honeybush nature</v>
          </cell>
          <cell r="M271" t="str">
            <v>Afrique du Sud - Cap Occidental</v>
          </cell>
          <cell r="N271" t="str">
            <v>AB</v>
          </cell>
          <cell r="O271" t="str">
            <v>/</v>
          </cell>
          <cell r="P271" t="str">
            <v>/</v>
          </cell>
          <cell r="Q271" t="str">
            <v>/</v>
          </cell>
          <cell r="R271" t="str">
            <v>/</v>
          </cell>
          <cell r="S271" t="str">
            <v>/</v>
          </cell>
          <cell r="T271" t="str">
            <v>Agriculture Afrique du Sud</v>
          </cell>
          <cell r="U271"/>
          <cell r="V271" t="str">
            <v>Arbuste endémique d’Afrique du Sud, le honeybush est presque fabriqué de la même façon que le rooibos. Son infusion de couleur dorée se caractérise par un arôme fleuri et un goût prononcé de miel de montagne. Utilisée en Afrique du Sud pour adoucir la gorge, cette boisson douce, au goût un peu sucré est agréable toute l'année.</v>
          </cell>
          <cell r="W271" t="str">
            <v>S14</v>
          </cell>
          <cell r="X271" t="str">
            <v>Arbuste endémique d’Afrique du Sud, le honeybush, cousin du rooibos, suit un processus de fabrication semblable à ce dernier. Son infusion de couleur dorée est caractérisée par des arômes floraux intenses et des saveurs complexes et gourmandes de miel de montagne. Une douceur pour les papilles !</v>
          </cell>
          <cell r="Y271"/>
          <cell r="Z271" t="str">
            <v>Ingrédient : honeybush*. *Issu de l'agriculture biologique.</v>
          </cell>
          <cell r="AA271" t="str">
            <v>/</v>
          </cell>
          <cell r="AB271" t="str">
            <v>/</v>
          </cell>
          <cell r="AC271">
            <v>1.5</v>
          </cell>
          <cell r="AD271" t="str">
            <v>5-7</v>
          </cell>
          <cell r="AE271">
            <v>95</v>
          </cell>
          <cell r="AF271">
            <v>2</v>
          </cell>
          <cell r="AG271">
            <v>750</v>
          </cell>
          <cell r="AH271">
            <v>3582812417018</v>
          </cell>
          <cell r="AI271" t="str">
            <v>/</v>
          </cell>
          <cell r="AJ271" t="str">
            <v>INTERNE</v>
          </cell>
          <cell r="AK271" t="str">
            <v>INTERNE</v>
          </cell>
          <cell r="AL271" t="str">
            <v>/</v>
          </cell>
          <cell r="AM271" t="str">
            <v>Agulhas Honeybush Tea</v>
          </cell>
        </row>
        <row r="272">
          <cell r="A272" t="str">
            <v>HB1702</v>
          </cell>
          <cell r="B272"/>
          <cell r="C272" t="str">
            <v>X</v>
          </cell>
          <cell r="D272"/>
          <cell r="E272"/>
          <cell r="F272" t="str">
            <v>BRODART</v>
          </cell>
          <cell r="G272"/>
          <cell r="H272" t="str">
            <v>LES GRANDS CLASSIQUES</v>
          </cell>
          <cell r="I272"/>
          <cell r="J272" t="str">
            <v>Honeybush</v>
          </cell>
          <cell r="K272" t="str">
            <v>Nature</v>
          </cell>
          <cell r="L272" t="str">
            <v>Honeybush nature</v>
          </cell>
          <cell r="M272" t="str">
            <v>Afrique du Sud - Cap Occidental</v>
          </cell>
          <cell r="N272" t="str">
            <v>AB</v>
          </cell>
          <cell r="O272" t="str">
            <v>/</v>
          </cell>
          <cell r="P272" t="str">
            <v>/</v>
          </cell>
          <cell r="Q272" t="str">
            <v>/</v>
          </cell>
          <cell r="R272" t="str">
            <v>/</v>
          </cell>
          <cell r="S272" t="str">
            <v>/</v>
          </cell>
          <cell r="T272" t="str">
            <v>Agriculture Afrique du Sud</v>
          </cell>
          <cell r="U272"/>
          <cell r="V272" t="str">
            <v>Arbuste endémique d’Afrique du Sud, le honeybush est presque fabriqué de la même façon que le rooibos. Son infusion de couleur dorée se caractérise par un arôme fleuri et un goût prononcé de miel de montagne. Utilisée en Afrique du Sud pour adoucir la gorge, cette boisson douce, au goût un peu sucré est agréable toute l'année.</v>
          </cell>
          <cell r="W272" t="str">
            <v>S14</v>
          </cell>
          <cell r="X272" t="str">
            <v>Arbuste endémique d’Afrique du Sud, le honeybush, cousin du rooibos, suit un processus de fabrication semblable à ce dernier. Son infusion de couleur dorée est caractérisée par des arômes floraux intenses et des saveurs complexes et gourmandes de miel de montagne. Une douceur pour les papilles !</v>
          </cell>
          <cell r="Y272"/>
          <cell r="Z272" t="str">
            <v>Ingrédient : honeybush*. *Issu de l'agriculture biologique.</v>
          </cell>
          <cell r="AA272" t="str">
            <v>/</v>
          </cell>
          <cell r="AB272" t="str">
            <v>/</v>
          </cell>
          <cell r="AC272">
            <v>100</v>
          </cell>
          <cell r="AD272" t="str">
            <v>5-7</v>
          </cell>
          <cell r="AE272">
            <v>95</v>
          </cell>
          <cell r="AF272">
            <v>2</v>
          </cell>
          <cell r="AG272">
            <v>50</v>
          </cell>
          <cell r="AH272">
            <v>3582812417025</v>
          </cell>
          <cell r="AI272" t="str">
            <v>/</v>
          </cell>
          <cell r="AJ272" t="str">
            <v>ETHB170</v>
          </cell>
          <cell r="AK272" t="str">
            <v>ETHB170V5</v>
          </cell>
          <cell r="AL272" t="str">
            <v>ETCHB1702V5</v>
          </cell>
          <cell r="AM272" t="str">
            <v>Agulhas Honeybush Tea</v>
          </cell>
        </row>
        <row r="273">
          <cell r="A273" t="str">
            <v>TN1065</v>
          </cell>
          <cell r="B273"/>
          <cell r="C273"/>
          <cell r="D273"/>
          <cell r="E273"/>
          <cell r="F273"/>
          <cell r="G273"/>
          <cell r="H273" t="str">
            <v>LES GRAND CRUS</v>
          </cell>
          <cell r="I273"/>
          <cell r="J273" t="str">
            <v>Hong Bi Luo</v>
          </cell>
          <cell r="K273" t="str">
            <v>Spirale de jade pourpre 红碧螺</v>
          </cell>
          <cell r="L273" t="str">
            <v>Thé noir d'origine</v>
          </cell>
          <cell r="M273" t="str">
            <v>Chine - Hubei</v>
          </cell>
          <cell r="N273" t="str">
            <v>AB</v>
          </cell>
          <cell r="O273" t="str">
            <v>WFTO</v>
          </cell>
          <cell r="P273" t="str">
            <v>/</v>
          </cell>
          <cell r="Q273" t="str">
            <v>/</v>
          </cell>
          <cell r="R273" t="str">
            <v>/</v>
          </cell>
          <cell r="S273" t="str">
            <v>/</v>
          </cell>
          <cell r="T273" t="str">
            <v>Agriculture Chine</v>
          </cell>
          <cell r="U273"/>
          <cell r="V273" t="str">
            <v>Séduisant thé oxydé façonné à la manière du légendaire Bi Luo Chun. Saveurs de tarte aux prunes, orange et moka.</v>
          </cell>
          <cell r="W273" t="str">
            <v>S23</v>
          </cell>
          <cell r="X273" t="str">
            <v>Délicatement façonné à la manière des légendaires "Bi Luo Chun", ce thé noir est un grand séducteur. Sa liqueur ambrée, douce et d'une belle plénitude libère des arômes fruités de prunes compotées et d’orange délicieusement accompagnée d'une pointe de moka. Un thé aussi élégant que gourmand.
Texte court : Elégant thé noir façonné à la manière du légendaire Bi Luo Chun. Saveurs gourmandes de prunes compotées, d’orange et de moka.</v>
          </cell>
          <cell r="Y273"/>
          <cell r="Z273" t="str">
            <v>Ingrédient : thé noir*. *Issu de l'agriculture biologique.</v>
          </cell>
          <cell r="AA273" t="str">
            <v>/</v>
          </cell>
          <cell r="AB273" t="str">
            <v>Membre certifié World Fair Trade Organization, Les Jardins de Gaïa s’engagent pour un commerce plus juste et répondent aux exigences du commerce équitable. Pour en savoir plus : www.wfto.com.</v>
          </cell>
          <cell r="AC273">
            <v>500</v>
          </cell>
          <cell r="AD273" t="str">
            <v>3-4</v>
          </cell>
          <cell r="AE273">
            <v>90</v>
          </cell>
          <cell r="AF273">
            <v>2</v>
          </cell>
          <cell r="AG273">
            <v>250</v>
          </cell>
          <cell r="AH273">
            <v>3582810210659</v>
          </cell>
          <cell r="AI273" t="str">
            <v>/</v>
          </cell>
          <cell r="AJ273" t="str">
            <v>INTERNE</v>
          </cell>
          <cell r="AK273" t="str">
            <v>INTERNE</v>
          </cell>
          <cell r="AL273" t="str">
            <v>/</v>
          </cell>
          <cell r="AM273" t="str">
            <v>Xuan En Yisheng Tea Cooperative</v>
          </cell>
        </row>
        <row r="274">
          <cell r="A274" t="str">
            <v>TN1062</v>
          </cell>
          <cell r="B274"/>
          <cell r="C274"/>
          <cell r="D274"/>
          <cell r="E274"/>
          <cell r="F274"/>
          <cell r="G274"/>
          <cell r="H274" t="str">
            <v>LES GRAND CRUS</v>
          </cell>
          <cell r="I274"/>
          <cell r="J274" t="str">
            <v>Hong Bi Luo</v>
          </cell>
          <cell r="K274" t="str">
            <v>Spirale de jade pourpre 红碧螺</v>
          </cell>
          <cell r="L274" t="str">
            <v>Thé noir d'origine</v>
          </cell>
          <cell r="M274" t="str">
            <v>Chine - Hubei</v>
          </cell>
          <cell r="N274" t="str">
            <v>AB</v>
          </cell>
          <cell r="O274" t="str">
            <v>WFTO</v>
          </cell>
          <cell r="P274" t="str">
            <v>/</v>
          </cell>
          <cell r="Q274" t="str">
            <v>/</v>
          </cell>
          <cell r="R274" t="str">
            <v>/</v>
          </cell>
          <cell r="S274" t="str">
            <v>/</v>
          </cell>
          <cell r="T274" t="str">
            <v>Agriculture Chine</v>
          </cell>
          <cell r="U274"/>
          <cell r="V274" t="str">
            <v>Séduisant thé oxydé façonné à la manière du légendaire Bi Luo Chun. Saveurs de tarte aux prunes, orange et moka.</v>
          </cell>
          <cell r="W274" t="str">
            <v>S23</v>
          </cell>
          <cell r="X274" t="str">
            <v>Délicatement façonné à la manière des légendaires "Bi Luo Chun", ce thé noir est un grand séducteur. Sa liqueur ambrée, douce et d'une belle plénitude libère des arômes fruités de prunes compotées et d’orange délicieusement accompagnée d'une pointe de moka. Un thé aussi élégant que gourmand.
Texte court : Elégant thé noir façonné à la manière du légendaire Bi Luo Chun. Saveurs gourmandes de prunes compotées, d’orange et de moka.</v>
          </cell>
          <cell r="Y274"/>
          <cell r="Z274" t="str">
            <v>Ingrédient : thé noir*. *Issu de l'agriculture biologique.</v>
          </cell>
          <cell r="AA274" t="str">
            <v>/</v>
          </cell>
          <cell r="AB274" t="str">
            <v>Membre certifié World Fair Trade Organization, Les Jardins de Gaïa s’engagent pour un commerce plus juste et répondent aux exigences du commerce équitable. Pour en savoir plus : www.wfto.com.</v>
          </cell>
          <cell r="AC274">
            <v>80</v>
          </cell>
          <cell r="AD274" t="str">
            <v>3-4</v>
          </cell>
          <cell r="AE274">
            <v>90</v>
          </cell>
          <cell r="AF274">
            <v>2</v>
          </cell>
          <cell r="AG274">
            <v>40</v>
          </cell>
          <cell r="AH274">
            <v>3582810210628</v>
          </cell>
          <cell r="AI274" t="str">
            <v>/</v>
          </cell>
          <cell r="AJ274" t="str">
            <v>ETNN106V5</v>
          </cell>
          <cell r="AK274" t="str">
            <v>ETNN106V5</v>
          </cell>
          <cell r="AL274" t="str">
            <v>Q de tube</v>
          </cell>
          <cell r="AM274" t="str">
            <v>Xuan En Yisheng Tea Cooperative</v>
          </cell>
        </row>
        <row r="275">
          <cell r="A275" t="str">
            <v>TV1135</v>
          </cell>
          <cell r="B275"/>
          <cell r="C275"/>
          <cell r="D275"/>
          <cell r="E275"/>
          <cell r="F275"/>
          <cell r="G275"/>
          <cell r="H275" t="str">
            <v>LES GRAND CRUS</v>
          </cell>
          <cell r="I275"/>
          <cell r="J275" t="str">
            <v>Huang Ya Cha</v>
          </cell>
          <cell r="K275" t="str">
            <v>Bourgeons dorés 黃芽茶</v>
          </cell>
          <cell r="L275" t="str">
            <v>Thé jaune Mingqian</v>
          </cell>
          <cell r="M275" t="str">
            <v xml:space="preserve">Chine - Yunnan </v>
          </cell>
          <cell r="N275" t="str">
            <v>AB</v>
          </cell>
          <cell r="O275" t="str">
            <v>WFTO</v>
          </cell>
          <cell r="P275" t="str">
            <v>/</v>
          </cell>
          <cell r="Q275" t="str">
            <v>WT</v>
          </cell>
          <cell r="R275" t="str">
            <v>/</v>
          </cell>
          <cell r="S275" t="str">
            <v>/</v>
          </cell>
          <cell r="T275" t="str">
            <v>Agriculture Chine</v>
          </cell>
          <cell r="U275"/>
          <cell r="V275" t="str">
            <v>Thé jaune exceptionnel, souple en bouche, issu d’une récolte des premiers jours de printemps. Notes : sucrées et aériennes.</v>
          </cell>
          <cell r="W275" t="str">
            <v>S23</v>
          </cell>
          <cell r="X275" t="str">
            <v>Ce thé jaune printanier de montagne est uniquement constitué de bourgeons recouverts d'un beau duvet brillant. Son délicat processus d’oxydation parfaitement maîtrisé lui permet d’offrir une liqueur souple aux saveurs fruitées, sucrées et aériennes. Un thé prestigieux pour des moments rares !
Texte court : Thé jaune exceptionnel, souple en bouche, issu d’une récolte des premiers jours de printemps. Notes :  sucrées et aériennes.</v>
          </cell>
          <cell r="Y275"/>
          <cell r="Z275" t="str">
            <v>Ingrédient : thé jaune*. *Issu de l'agriculture biologique.</v>
          </cell>
          <cell r="AA275" t="str">
            <v>/</v>
          </cell>
          <cell r="AB275" t="str">
            <v>Membre certifié World Fair Trade Organization, Les Jardins de Gaïa s’engagent pour un commerce plus juste et répondent aux exigences du commerce équitable. Pour en savoir plus : www.wfto.com.</v>
          </cell>
          <cell r="AC275">
            <v>500</v>
          </cell>
          <cell r="AD275" t="str">
            <v>5</v>
          </cell>
          <cell r="AE275">
            <v>85</v>
          </cell>
          <cell r="AF275">
            <v>2</v>
          </cell>
          <cell r="AG275">
            <v>250</v>
          </cell>
          <cell r="AH275">
            <v>3582810311356</v>
          </cell>
          <cell r="AI275" t="str">
            <v>Plusieurs infusions</v>
          </cell>
          <cell r="AJ275" t="str">
            <v>INTERNE</v>
          </cell>
          <cell r="AK275" t="str">
            <v>INTERNE</v>
          </cell>
          <cell r="AL275" t="str">
            <v>/</v>
          </cell>
          <cell r="AM275" t="str">
            <v>Cangyuan Yisheng Organic Tea Specialized Cooperative</v>
          </cell>
        </row>
        <row r="276">
          <cell r="A276" t="str">
            <v>TV1136</v>
          </cell>
          <cell r="B276"/>
          <cell r="C276"/>
          <cell r="D276"/>
          <cell r="E276"/>
          <cell r="F276"/>
          <cell r="G276"/>
          <cell r="H276" t="str">
            <v>LES GRAND CRUS</v>
          </cell>
          <cell r="I276"/>
          <cell r="J276" t="str">
            <v>Huang Ya Cha</v>
          </cell>
          <cell r="K276" t="str">
            <v>Bourgeons dorés 黃芽茶</v>
          </cell>
          <cell r="L276" t="str">
            <v>Thé jaune Mingqian</v>
          </cell>
          <cell r="M276" t="str">
            <v xml:space="preserve">Chine - Yunnan </v>
          </cell>
          <cell r="N276" t="str">
            <v>AB</v>
          </cell>
          <cell r="O276" t="str">
            <v>WFTO</v>
          </cell>
          <cell r="P276" t="str">
            <v>/</v>
          </cell>
          <cell r="Q276" t="str">
            <v>WT</v>
          </cell>
          <cell r="R276" t="str">
            <v>/</v>
          </cell>
          <cell r="S276" t="str">
            <v>/</v>
          </cell>
          <cell r="T276" t="str">
            <v>Agriculture Chine</v>
          </cell>
          <cell r="U276"/>
          <cell r="V276" t="str">
            <v>Thé jaune exceptionnel, souple en bouche, issu d’une récolte des premiers jours de printemps. Notes : sucrées et aériennes.</v>
          </cell>
          <cell r="W276" t="str">
            <v>S23</v>
          </cell>
          <cell r="X276" t="str">
            <v>Ce thé jaune printanier de montagne est uniquement constitué de bourgeons recouverts d'un beau duvet brillant. Son délicat processus d’oxydation parfaitement maîtrisé lui permet d’offrir une liqueur souple aux saveurs fruitées, sucrées et aériennes. Un thé prestigieux pour des moments rares !
Texte court : Thé jaune exceptionnel, souple en bouche, issu d’une récolte des premiers jours de printemps. Notes :  sucrées et aériennes.</v>
          </cell>
          <cell r="Y276"/>
          <cell r="Z276" t="str">
            <v>Ingrédient : thé jaune*. *Issu de l'agriculture biologique.</v>
          </cell>
          <cell r="AA276" t="str">
            <v>/</v>
          </cell>
          <cell r="AB276" t="str">
            <v>Membre certifié World Fair Trade Organization, Les Jardins de Gaïa s’engagent pour un commerce plus juste et répondent aux exigences du commerce équitable. Pour en savoir plus : www.wfto.com.</v>
          </cell>
          <cell r="AC276">
            <v>50</v>
          </cell>
          <cell r="AD276" t="str">
            <v>5</v>
          </cell>
          <cell r="AE276">
            <v>85</v>
          </cell>
          <cell r="AF276">
            <v>2</v>
          </cell>
          <cell r="AG276">
            <v>25</v>
          </cell>
          <cell r="AH276">
            <v>3582810311363</v>
          </cell>
          <cell r="AI276" t="str">
            <v>Plusieurs infusions</v>
          </cell>
          <cell r="AJ276" t="str">
            <v>ETVN113FF22</v>
          </cell>
          <cell r="AK276" t="str">
            <v>ETVN113FF22V5</v>
          </cell>
          <cell r="AL276" t="str">
            <v>Q de tube</v>
          </cell>
          <cell r="AM276" t="str">
            <v>Cangyuan Yisheng Organic Tea Specialized Cooperative</v>
          </cell>
        </row>
        <row r="277">
          <cell r="A277" t="str">
            <v>TA7401</v>
          </cell>
          <cell r="B277"/>
          <cell r="C277"/>
          <cell r="D277"/>
          <cell r="E277"/>
          <cell r="F277"/>
          <cell r="G277"/>
          <cell r="H277" t="str">
            <v>LES ENGAGÉS</v>
          </cell>
          <cell r="I277" t="str">
            <v>AGIR POUR L'EDUCATION</v>
          </cell>
          <cell r="J277" t="str">
            <v>Hymne à la Terre</v>
          </cell>
          <cell r="K277" t="str">
            <v>Saveurs myrtille - cassis</v>
          </cell>
          <cell r="L277" t="str">
            <v>Thé noir aromatisé</v>
          </cell>
          <cell r="M277" t="str">
            <v>Vietnam</v>
          </cell>
          <cell r="N277" t="str">
            <v>AB</v>
          </cell>
          <cell r="O277" t="str">
            <v>WFTO</v>
          </cell>
          <cell r="P277" t="str">
            <v>/</v>
          </cell>
          <cell r="Q277" t="str">
            <v>WT</v>
          </cell>
          <cell r="R277" t="str">
            <v>/</v>
          </cell>
          <cell r="S277" t="str">
            <v>/</v>
          </cell>
          <cell r="T277" t="str">
            <v>Agriculture UE/non UE</v>
          </cell>
          <cell r="U277"/>
          <cell r="V277" t="str">
            <v>Infusion brillante et limpide aux teintes chaudes : ce thé noir révèle toute la pureté des théiers sauvages du Vietnam. Telle une caresse, la rondeur de la myrtille vient délicatement envelopper le palais de son goût fruité. Un hymne à la Terre et à la richesse de ses saveurs à apprécier à tout instant !</v>
          </cell>
          <cell r="W277" t="str">
            <v>S23</v>
          </cell>
          <cell r="X277" t="str">
            <v>L’infusion aux teintes chaudes de cette recette à base de thé noir issu de théiers anciens du Vietnam est un savoureux hymne à la Terre. Telle une caresse, les saveurs fruitées du duo myrtille-cassis viennent délicatement envelopper le palais. Une générosité qui s’apprécie à tout instant !</v>
          </cell>
          <cell r="Y277" t="str">
            <v>Situé en Ardèche, Les Amanins est un centre agroécologique qui propose des activités en lien avec la nature, l’écologie et l’humain. lesamanins.com</v>
          </cell>
          <cell r="Z277" t="str">
            <v xml:space="preserve">Ingrédients : thé noir*, arômes naturels de (myrtille*, cassis*) 11%, aronia*, bruyère*, pétales de coquelicot*. * Issu de l'agriculture biologique. </v>
          </cell>
          <cell r="AA277" t="str">
            <v>/</v>
          </cell>
          <cell r="AB277" t="str">
            <v>Membre certifié World Fair Trade Organization, Les Jardins de Gaïa s’engagent pour un commerce plus juste et répondent aux exigences du commerce équitable. Pour en savoir plus : www.wfto.com.</v>
          </cell>
          <cell r="AC277">
            <v>1.5</v>
          </cell>
          <cell r="AD277" t="str">
            <v>3-4</v>
          </cell>
          <cell r="AE277">
            <v>95</v>
          </cell>
          <cell r="AF277">
            <v>2</v>
          </cell>
          <cell r="AG277">
            <v>750</v>
          </cell>
          <cell r="AH277">
            <v>3582810274019</v>
          </cell>
          <cell r="AI277" t="str">
            <v>/</v>
          </cell>
          <cell r="AJ277" t="str">
            <v>INTERNE</v>
          </cell>
          <cell r="AK277" t="str">
            <v>INTERNE</v>
          </cell>
          <cell r="AL277" t="str">
            <v>/</v>
          </cell>
          <cell r="AM277" t="str">
            <v>Création maison</v>
          </cell>
        </row>
        <row r="278">
          <cell r="A278" t="str">
            <v>TA7402</v>
          </cell>
          <cell r="B278"/>
          <cell r="C278"/>
          <cell r="D278"/>
          <cell r="E278"/>
          <cell r="F278"/>
          <cell r="G278"/>
          <cell r="H278" t="str">
            <v>LES ENGAGÉS</v>
          </cell>
          <cell r="I278" t="str">
            <v>AGIR POUR L'EDUCATION</v>
          </cell>
          <cell r="J278" t="str">
            <v>Hymne à la Terre</v>
          </cell>
          <cell r="K278" t="str">
            <v>Saveurs myrtille - cassis</v>
          </cell>
          <cell r="L278" t="str">
            <v>Thé noir aromatisé</v>
          </cell>
          <cell r="M278" t="str">
            <v>Vietnam</v>
          </cell>
          <cell r="N278" t="str">
            <v>AB</v>
          </cell>
          <cell r="O278" t="str">
            <v>WFTO</v>
          </cell>
          <cell r="P278" t="str">
            <v>/</v>
          </cell>
          <cell r="Q278" t="str">
            <v>WT</v>
          </cell>
          <cell r="R278" t="str">
            <v>/</v>
          </cell>
          <cell r="S278" t="str">
            <v>/</v>
          </cell>
          <cell r="T278" t="str">
            <v>Agriculture UE/non UE</v>
          </cell>
          <cell r="U278"/>
          <cell r="V278" t="str">
            <v>Infusion brillante et limpide aux teintes chaudes : ce thé noir révèle toute la pureté des théiers sauvages du Vietnam. Telle une caresse, la rondeur de la myrtille vient délicatement envelopper le palais de son goût fruité. Un hymne à la Terre et à la richesse de ses saveurs à apprécier à tout instant !</v>
          </cell>
          <cell r="W278" t="str">
            <v>S23</v>
          </cell>
          <cell r="X278" t="str">
            <v>L’infusion aux teintes chaudes de cette recette à base de thé noir issu de théiers anciens du Vietnam est un savoureux hymne à la Terre. Telle une caresse, les saveurs fruitées du duo myrtille-cassis viennent délicatement envelopper le palais. Une générosité qui s’apprécie à tout instant !</v>
          </cell>
          <cell r="Y278" t="str">
            <v>Situé en Ardèche, Les Amanins est un centre agroécologique qui propose des activités en lien avec la nature, l’écologie et l’humain. lesamanins.com</v>
          </cell>
          <cell r="Z278" t="str">
            <v xml:space="preserve">Ingrédients : thé noir*, arômes naturels de (myrtille*, cassis*) 11%, aronia*, bruyère*, pétales de coquelicot*. * Issu de l'agriculture biologique. </v>
          </cell>
          <cell r="AA278" t="str">
            <v>/</v>
          </cell>
          <cell r="AB278" t="str">
            <v>Membre certifié World Fair Trade Organization, Les Jardins de Gaïa s’engagent pour un commerce plus juste et répondent aux exigences du commerce équitable. Pour en savoir plus : www.wfto.com.</v>
          </cell>
          <cell r="AC278">
            <v>100</v>
          </cell>
          <cell r="AD278" t="str">
            <v>3-4</v>
          </cell>
          <cell r="AE278">
            <v>95</v>
          </cell>
          <cell r="AF278">
            <v>2</v>
          </cell>
          <cell r="AG278">
            <v>50</v>
          </cell>
          <cell r="AH278">
            <v>3582810274026</v>
          </cell>
          <cell r="AI278" t="str">
            <v>/</v>
          </cell>
          <cell r="AJ278" t="str">
            <v>ETNA740V5</v>
          </cell>
          <cell r="AK278" t="str">
            <v>ETNA740V5</v>
          </cell>
          <cell r="AL278" t="str">
            <v>ETCNA7402V5</v>
          </cell>
          <cell r="AM278" t="str">
            <v>Création maison</v>
          </cell>
        </row>
        <row r="279">
          <cell r="A279" t="str">
            <v>TA6691</v>
          </cell>
          <cell r="B279"/>
          <cell r="C279" t="str">
            <v>X</v>
          </cell>
          <cell r="D279"/>
          <cell r="E279"/>
          <cell r="F279"/>
          <cell r="G279"/>
          <cell r="H279" t="str">
            <v>LES GRANDS CLASSIQUES</v>
          </cell>
          <cell r="I279"/>
          <cell r="J279" t="str">
            <v>Instants divins</v>
          </cell>
          <cell r="K279" t="str">
            <v>Saveurs figue - amande</v>
          </cell>
          <cell r="L279" t="str">
            <v>Thé vert aromatisé</v>
          </cell>
          <cell r="M279" t="str">
            <v>Inde - Chine</v>
          </cell>
          <cell r="N279" t="str">
            <v>AB</v>
          </cell>
          <cell r="O279" t="str">
            <v>WFTO</v>
          </cell>
          <cell r="P279" t="str">
            <v>/</v>
          </cell>
          <cell r="Q279" t="str">
            <v>/</v>
          </cell>
          <cell r="R279" t="str">
            <v>/</v>
          </cell>
          <cell r="S279" t="str">
            <v>/</v>
          </cell>
          <cell r="T279" t="str">
            <v>Agriculture UE/non UE</v>
          </cell>
          <cell r="U279"/>
          <cell r="V279" t="str">
            <v>Comme un présent venu de contrées lointaines, cette recette est une divine gourmandise à partager. L’association généreuse de la figue, de l’amande et de l’orange sur une base de thé vert révèle une grande douceur accompagnée d’une légère note acidulée. Une pause plaisir qui invite à la détente et à l’évasion.</v>
          </cell>
          <cell r="W279" t="str">
            <v>S14</v>
          </cell>
          <cell r="X279" t="str">
            <v xml:space="preserve">Comme un présent venu de contrées lointaines, ce thé vert est une divine gourmandise à partager. L’association généreuse de la figue, de l’amande et de l’orange d’une grande douceur est accompagnée d’une légère note acidulée. Pour des instants divins de détente et d’évasion. </v>
          </cell>
          <cell r="Y279"/>
          <cell r="Z279" t="str">
            <v>Ingrédients : thé vert*, marc de raisin*, gingembre*, feuilles de cannelier*, écorces d'orange*, arômes naturels de (figue, amande*) 7% , huile essentielle d'orange*, pétales de bleuet*. *Issu de l'agriculture biologique.</v>
          </cell>
          <cell r="AA279" t="str">
            <v>/</v>
          </cell>
          <cell r="AB279" t="str">
            <v>Membre certifié World Fair Trade Organization, Les Jardins de Gaïa s’engagent pour un commerce plus juste et répondent aux exigences du commerce équitable. Pour en savoir plus : www.wfto.com.</v>
          </cell>
          <cell r="AC279">
            <v>1.5</v>
          </cell>
          <cell r="AD279" t="str">
            <v>3</v>
          </cell>
          <cell r="AE279">
            <v>75</v>
          </cell>
          <cell r="AF279">
            <v>2</v>
          </cell>
          <cell r="AG279">
            <v>750</v>
          </cell>
          <cell r="AH279">
            <v>3585810866918</v>
          </cell>
          <cell r="AI279" t="str">
            <v>/</v>
          </cell>
          <cell r="AJ279" t="str">
            <v>INTERNE</v>
          </cell>
          <cell r="AK279" t="str">
            <v>INTERNE</v>
          </cell>
          <cell r="AL279" t="str">
            <v>/</v>
          </cell>
          <cell r="AM279" t="str">
            <v>Création maison</v>
          </cell>
        </row>
        <row r="280">
          <cell r="A280" t="str">
            <v>TA6692</v>
          </cell>
          <cell r="B280"/>
          <cell r="C280" t="str">
            <v>X</v>
          </cell>
          <cell r="D280" t="str">
            <v>X</v>
          </cell>
          <cell r="E280" t="str">
            <v>X</v>
          </cell>
          <cell r="F280" t="str">
            <v>BRODART</v>
          </cell>
          <cell r="G280"/>
          <cell r="H280" t="str">
            <v>LES GRANDS CLASSIQUES</v>
          </cell>
          <cell r="I280"/>
          <cell r="J280" t="str">
            <v>Instants divins</v>
          </cell>
          <cell r="K280" t="str">
            <v>Saveurs figue - amande</v>
          </cell>
          <cell r="L280" t="str">
            <v>Thé vert aromatisé</v>
          </cell>
          <cell r="M280" t="str">
            <v>Inde - Chine</v>
          </cell>
          <cell r="N280" t="str">
            <v>AB</v>
          </cell>
          <cell r="O280" t="str">
            <v>WFTO</v>
          </cell>
          <cell r="P280" t="str">
            <v>/</v>
          </cell>
          <cell r="Q280" t="str">
            <v>/</v>
          </cell>
          <cell r="R280" t="str">
            <v>/</v>
          </cell>
          <cell r="S280" t="str">
            <v>/</v>
          </cell>
          <cell r="T280" t="str">
            <v>Agriculture UE/non UE</v>
          </cell>
          <cell r="U280"/>
          <cell r="V280" t="str">
            <v>Comme un présent venu de contrées lointaines, cette recette est une divine gourmandise à partager. L’association généreuse de la figue, de l’amande et de l’orange sur une base de thé vert révèle une grande douceur accompagnée d’une légère note acidulée. Une pause plaisir qui invite à la détente et à l’évasion.</v>
          </cell>
          <cell r="W280" t="str">
            <v>S14</v>
          </cell>
          <cell r="X280" t="str">
            <v xml:space="preserve">Comme un présent venu de contrées lointaines, ce thé vert est une divine gourmandise à partager. L’association généreuse de la figue, de l’amande et de l’orange d’une grande douceur est accompagnée d’une légère note acidulée. Pour des instants divins de détente et d’évasion. </v>
          </cell>
          <cell r="Y280"/>
          <cell r="Z280" t="str">
            <v>Ingrédients : thé vert*, marc de raisin*, gingembre*, feuilles de cannelier*, écorces d'orange*, arômes naturels de (figue, amande*) 7% , huile essentielle d'orange*, pétales de bleuet*. *Issu de l'agriculture biologique.</v>
          </cell>
          <cell r="AA280" t="str">
            <v>/</v>
          </cell>
          <cell r="AB280" t="str">
            <v>Membre certifié World Fair Trade Organization, Les Jardins de Gaïa s’engagent pour un commerce plus juste et répondent aux exigences du commerce équitable. Pour en savoir plus : www.wfto.com.</v>
          </cell>
          <cell r="AC280">
            <v>90</v>
          </cell>
          <cell r="AD280" t="str">
            <v>3</v>
          </cell>
          <cell r="AE280">
            <v>75</v>
          </cell>
          <cell r="AF280">
            <v>2</v>
          </cell>
          <cell r="AG280">
            <v>45</v>
          </cell>
          <cell r="AH280">
            <v>3585810866925</v>
          </cell>
          <cell r="AI280" t="str">
            <v>/</v>
          </cell>
          <cell r="AJ280" t="str">
            <v>ETVA669V5</v>
          </cell>
          <cell r="AK280" t="str">
            <v>ETVA669V5</v>
          </cell>
          <cell r="AL280" t="str">
            <v>ETCVA6692V5</v>
          </cell>
          <cell r="AM280" t="str">
            <v>Création maison</v>
          </cell>
        </row>
        <row r="281">
          <cell r="A281" t="str">
            <v>TA6692</v>
          </cell>
          <cell r="B281"/>
          <cell r="C281" t="str">
            <v>X</v>
          </cell>
          <cell r="D281" t="str">
            <v>X</v>
          </cell>
          <cell r="E281" t="str">
            <v>X</v>
          </cell>
          <cell r="F281" t="str">
            <v>BRODART</v>
          </cell>
          <cell r="G281"/>
          <cell r="H281" t="str">
            <v>LES GRANDS CLASSIQUES</v>
          </cell>
          <cell r="I281"/>
          <cell r="J281" t="str">
            <v>Instants divins</v>
          </cell>
          <cell r="K281" t="str">
            <v>Saveurs figue - amande</v>
          </cell>
          <cell r="L281" t="str">
            <v>Thé vert aromatisé</v>
          </cell>
          <cell r="M281" t="str">
            <v>Inde - Chine</v>
          </cell>
          <cell r="N281" t="str">
            <v>AB</v>
          </cell>
          <cell r="O281" t="str">
            <v>WFTO</v>
          </cell>
          <cell r="P281" t="str">
            <v>/</v>
          </cell>
          <cell r="Q281" t="str">
            <v>/</v>
          </cell>
          <cell r="R281" t="str">
            <v>/</v>
          </cell>
          <cell r="S281" t="str">
            <v>/</v>
          </cell>
          <cell r="T281" t="str">
            <v>Agriculture UE/non UE</v>
          </cell>
          <cell r="U281"/>
          <cell r="V281" t="str">
            <v>Comme un présent venu de contrées lointaines, cette recette est une divine gourmandise à partager. L’association généreuse de la figue, de l’amande et de l’orange sur une base de thé vert révèle une grande douceur accompagnée d’une légère note acidulée. Une pause plaisir qui invite à la détente et à l’évasion.</v>
          </cell>
          <cell r="W281" t="str">
            <v>S14</v>
          </cell>
          <cell r="X281" t="str">
            <v xml:space="preserve">Comme un présent venu de contrées lointaines, ce thé vert est une divine gourmandise à partager. L’association généreuse de la figue, de l’amande et de l’orange d’une grande douceur est accompagnée d’une légère note acidulée. Pour des instants divins de détente et d’évasion. </v>
          </cell>
          <cell r="Y281"/>
          <cell r="Z281" t="str">
            <v>Ingrédients : thé vert*, marc de raisin*, gingembre*, feuilles de cannelier*, écorces d'orange*, arômes naturels de (figue, amande*) 7% , huile essentielle d'orange*, pétales de bleuet*. *Issu de l'agriculture biologique.</v>
          </cell>
          <cell r="AA281" t="str">
            <v>/</v>
          </cell>
          <cell r="AB281" t="str">
            <v>Membre certifié World Fair Trade Organization, Les Jardins de Gaïa s’engagent pour un commerce plus juste et répondent aux exigences du commerce équitable. Pour en savoir plus : www.wfto.com.</v>
          </cell>
          <cell r="AC281">
            <v>90</v>
          </cell>
          <cell r="AD281" t="str">
            <v>3</v>
          </cell>
          <cell r="AE281">
            <v>75</v>
          </cell>
          <cell r="AF281">
            <v>2</v>
          </cell>
          <cell r="AG281">
            <v>45</v>
          </cell>
          <cell r="AH281">
            <v>3585810866925</v>
          </cell>
          <cell r="AI281" t="str">
            <v>/</v>
          </cell>
          <cell r="AJ281" t="str">
            <v>ETVA669V5N</v>
          </cell>
          <cell r="AK281" t="str">
            <v>ETVA669V5N</v>
          </cell>
          <cell r="AL281" t="str">
            <v>ETCVA6692V5N</v>
          </cell>
          <cell r="AM281" t="str">
            <v>Création maison</v>
          </cell>
        </row>
        <row r="282">
          <cell r="A282" t="str">
            <v>TA7041</v>
          </cell>
          <cell r="B282"/>
          <cell r="C282" t="str">
            <v>X</v>
          </cell>
          <cell r="D282"/>
          <cell r="E282"/>
          <cell r="F282"/>
          <cell r="G282"/>
          <cell r="H282" t="str">
            <v>LES GRANDS CLASSIQUES</v>
          </cell>
          <cell r="I282"/>
          <cell r="J282" t="str">
            <v>Instants sauvages</v>
          </cell>
          <cell r="K282" t="str">
            <v>Cacao - Noisette</v>
          </cell>
          <cell r="L282" t="str">
            <v>Thé noir aromatisé</v>
          </cell>
          <cell r="M282" t="str">
            <v>Vietnam - Yen Bai</v>
          </cell>
          <cell r="N282" t="str">
            <v>AB</v>
          </cell>
          <cell r="O282" t="str">
            <v>WFTO</v>
          </cell>
          <cell r="P282" t="str">
            <v>/</v>
          </cell>
          <cell r="Q282" t="str">
            <v>/</v>
          </cell>
          <cell r="R282" t="str">
            <v>/</v>
          </cell>
          <cell r="S282" t="str">
            <v>/</v>
          </cell>
          <cell r="T282" t="str">
            <v>Agriculture UE/non UE</v>
          </cell>
          <cell r="U282"/>
          <cell r="V282" t="str">
            <v>Cette recette craquante à base de thé noir et de honeybush associe des saveurs miellées à la légère amertume du cacao et la douceur de la noisette. Agrémenté d’une pointe de guarana, ce thé promet des instants à la fois gourmands et délicieusement sauvages.</v>
          </cell>
          <cell r="W282" t="str">
            <v>S14</v>
          </cell>
          <cell r="X282" t="str">
            <v>Cette recette originale à base de thé noir et de honeybush associe des saveurs miellées à la légère amertume du cacao et la douceur de la noisette. Agrémenté d’une pointe de guarana, ce thé promet des instants à la fois gourmands et délicieusement sauvages.</v>
          </cell>
          <cell r="Y282"/>
          <cell r="Z282" t="str">
            <v>Ingrédients : thé noir*, honeybush*, écorces de cacao* 10%, noisettes concassées* 5%, arôme naturel de noisette* 5%, guarana*, fleurs d'osmanthe*. *Issu de l'agriculture biologique.</v>
          </cell>
          <cell r="AA282" t="str">
            <v>/</v>
          </cell>
          <cell r="AB282" t="str">
            <v>Membre certifié World Fair Trade Organization, Les Jardins de Gaïa s’engagent pour un commerce plus juste et répondent aux exigences du commerce équitable. Pour en savoir plus : www.wfto.com.</v>
          </cell>
          <cell r="AC282">
            <v>1.5</v>
          </cell>
          <cell r="AD282" t="str">
            <v>3-4</v>
          </cell>
          <cell r="AE282">
            <v>90</v>
          </cell>
          <cell r="AF282">
            <v>2</v>
          </cell>
          <cell r="AG282">
            <v>750</v>
          </cell>
          <cell r="AH282">
            <v>3582810470411</v>
          </cell>
          <cell r="AI282" t="str">
            <v>/</v>
          </cell>
          <cell r="AJ282" t="str">
            <v>INTERNE</v>
          </cell>
          <cell r="AK282" t="str">
            <v>INTERNE</v>
          </cell>
          <cell r="AL282" t="str">
            <v>/</v>
          </cell>
          <cell r="AM282" t="str">
            <v>Création maison</v>
          </cell>
        </row>
        <row r="283">
          <cell r="A283" t="str">
            <v>TA7042</v>
          </cell>
          <cell r="B283"/>
          <cell r="C283" t="str">
            <v>X</v>
          </cell>
          <cell r="D283" t="str">
            <v>X</v>
          </cell>
          <cell r="E283" t="str">
            <v>X</v>
          </cell>
          <cell r="F283" t="str">
            <v>BRODART</v>
          </cell>
          <cell r="G283"/>
          <cell r="H283" t="str">
            <v>LES GRANDS CLASSIQUES</v>
          </cell>
          <cell r="I283"/>
          <cell r="J283" t="str">
            <v>Instants sauvages</v>
          </cell>
          <cell r="K283" t="str">
            <v>Cacao - Noisette</v>
          </cell>
          <cell r="L283" t="str">
            <v>Thé noir aromatisé</v>
          </cell>
          <cell r="M283" t="str">
            <v>Vietnam - Yen Bai</v>
          </cell>
          <cell r="N283" t="str">
            <v>AB</v>
          </cell>
          <cell r="O283" t="str">
            <v>WFTO</v>
          </cell>
          <cell r="P283" t="str">
            <v>/</v>
          </cell>
          <cell r="Q283" t="str">
            <v>/</v>
          </cell>
          <cell r="R283" t="str">
            <v>/</v>
          </cell>
          <cell r="S283" t="str">
            <v>/</v>
          </cell>
          <cell r="T283" t="str">
            <v>Agriculture UE/non UE</v>
          </cell>
          <cell r="U283"/>
          <cell r="V283" t="str">
            <v>Cette recette craquante à base de thé noir et de honeybush associe des saveurs miellées à la légère amertume du cacao et la douceur de la noisette. Agrémenté d’une pointe de guarana, ce thé promet des instants à la fois gourmands et délicieusement sauvages.</v>
          </cell>
          <cell r="W283" t="str">
            <v>S14</v>
          </cell>
          <cell r="X283" t="str">
            <v>Cette recette originale à base de thé noir et de honeybush associe des saveurs miellées à la légère amertume du cacao et la douceur de la noisette. Agrémenté d’une pointe de guarana, ce thé promet des instants à la fois gourmands et délicieusement sauvages.</v>
          </cell>
          <cell r="Y283"/>
          <cell r="Z283" t="str">
            <v>Ingrédients : thé noir*, honeybush*, écorces de cacao* 10%, noisettes concassées* 5%, arôme naturel de noisette* 5%, guarana*, fleurs d'osmanthe*. *Issu de l'agriculture biologique.</v>
          </cell>
          <cell r="AA283" t="str">
            <v>/</v>
          </cell>
          <cell r="AB283" t="str">
            <v>Membre certifié World Fair Trade Organization, Les Jardins de Gaïa s’engagent pour un commerce plus juste et répondent aux exigences du commerce équitable. Pour en savoir plus : www.wfto.com.</v>
          </cell>
          <cell r="AC283">
            <v>100</v>
          </cell>
          <cell r="AD283" t="str">
            <v>3-4</v>
          </cell>
          <cell r="AE283">
            <v>90</v>
          </cell>
          <cell r="AF283">
            <v>2</v>
          </cell>
          <cell r="AG283">
            <v>50</v>
          </cell>
          <cell r="AH283">
            <v>3582810470428</v>
          </cell>
          <cell r="AI283" t="str">
            <v>/</v>
          </cell>
          <cell r="AJ283" t="str">
            <v>ETNA704V5</v>
          </cell>
          <cell r="AK283" t="str">
            <v>ETNA704V5</v>
          </cell>
          <cell r="AL283" t="str">
            <v>ETCNA7042V5</v>
          </cell>
          <cell r="AM283" t="str">
            <v>Création maison</v>
          </cell>
        </row>
        <row r="284">
          <cell r="A284" t="str">
            <v>TV1345</v>
          </cell>
          <cell r="B284"/>
          <cell r="C284"/>
          <cell r="D284"/>
          <cell r="E284"/>
          <cell r="F284"/>
          <cell r="G284"/>
          <cell r="H284" t="str">
            <v>LES GRAND CRUS</v>
          </cell>
          <cell r="I284"/>
          <cell r="J284" t="str">
            <v>Jade Dew</v>
          </cell>
          <cell r="K284" t="str">
            <v>Rosée de jade 玉露</v>
          </cell>
          <cell r="L284" t="str">
            <v>Thé vert Mingqian</v>
          </cell>
          <cell r="M284" t="str">
            <v>Chine - Hubei</v>
          </cell>
          <cell r="N284" t="str">
            <v>AB</v>
          </cell>
          <cell r="O284" t="str">
            <v>WFTO</v>
          </cell>
          <cell r="P284" t="str">
            <v>/</v>
          </cell>
          <cell r="Q284" t="str">
            <v>/</v>
          </cell>
          <cell r="R284" t="str">
            <v>/</v>
          </cell>
          <cell r="S284" t="str">
            <v>/</v>
          </cell>
          <cell r="T284" t="str">
            <v>Agriculture Chine</v>
          </cell>
          <cell r="U284"/>
          <cell r="V284" t="str">
            <v>Prestigieuse récolte de printemps, cuisson à la vapeur. Notes : beurrées, minérales, légumes verts printaniers.</v>
          </cell>
          <cell r="W284" t="str">
            <v>S23</v>
          </cell>
          <cell r="X284" t="str">
            <v>Ce thé vert primeur transformé à la vapeur est le fruit d'un savoir-faire très ancien, aujourd’hui rare en Chine. Ses bourgeons printaniers finement torsadés délivrent une liqueur cristalline et dense aux saveurs de légumes verts printaniers accompagnées de notes beurrées, minérales et zestées.
Texte court : Prestigieuse récolte de printemps, cuisson à la vapeur. Notes : beurrées, minérales, zestées, légumes verts printaniers.</v>
          </cell>
          <cell r="Y284"/>
          <cell r="Z284" t="str">
            <v>Ingrédient : thé vert*. *Issu de l'agriculture biologique.</v>
          </cell>
          <cell r="AA284" t="str">
            <v>/</v>
          </cell>
          <cell r="AB284" t="str">
            <v>Membre certifié World Fair Trade Organization, Les Jardins de Gaïa s’engagent pour un commerce plus juste et répondent aux exigences du commerce équitable. Pour en savoir plus : www.wfto.com.</v>
          </cell>
          <cell r="AC284">
            <v>500</v>
          </cell>
          <cell r="AD284" t="str">
            <v>3</v>
          </cell>
          <cell r="AE284">
            <v>75</v>
          </cell>
          <cell r="AF284">
            <v>2</v>
          </cell>
          <cell r="AG284">
            <v>250</v>
          </cell>
          <cell r="AH284">
            <v>3582810313459</v>
          </cell>
          <cell r="AI284" t="str">
            <v>Plusieurs infusions</v>
          </cell>
          <cell r="AJ284" t="str">
            <v>INTERNE</v>
          </cell>
          <cell r="AK284" t="str">
            <v>INTERNE</v>
          </cell>
          <cell r="AL284" t="str">
            <v>/</v>
          </cell>
          <cell r="AM284" t="str">
            <v>Xuan En Yisheng Tea Cooperative</v>
          </cell>
        </row>
        <row r="285">
          <cell r="A285" t="str">
            <v>TV1346</v>
          </cell>
          <cell r="B285"/>
          <cell r="C285"/>
          <cell r="D285"/>
          <cell r="E285"/>
          <cell r="F285"/>
          <cell r="G285"/>
          <cell r="H285" t="str">
            <v>LES GRAND CRUS</v>
          </cell>
          <cell r="I285"/>
          <cell r="J285" t="str">
            <v>Jade Dew</v>
          </cell>
          <cell r="K285" t="str">
            <v>Rosée de jade 玉露</v>
          </cell>
          <cell r="L285" t="str">
            <v>Thé vert Mingqian</v>
          </cell>
          <cell r="M285" t="str">
            <v>Chine - Hubei</v>
          </cell>
          <cell r="N285" t="str">
            <v>AB</v>
          </cell>
          <cell r="O285" t="str">
            <v>WFTO</v>
          </cell>
          <cell r="P285" t="str">
            <v>/</v>
          </cell>
          <cell r="Q285" t="str">
            <v>/</v>
          </cell>
          <cell r="R285" t="str">
            <v>/</v>
          </cell>
          <cell r="S285" t="str">
            <v>/</v>
          </cell>
          <cell r="T285" t="str">
            <v>Agriculture Chine</v>
          </cell>
          <cell r="U285"/>
          <cell r="V285" t="str">
            <v>Prestigieuse récolte de printemps, cuisson à la vapeur. Notes : beurrées, minérales, légumes verts printaniers.</v>
          </cell>
          <cell r="W285" t="str">
            <v>S23</v>
          </cell>
          <cell r="X285" t="str">
            <v>Ce thé vert primeur transformé à la vapeur est le fruit d'un savoir-faire très ancien, aujourd’hui rare en Chine. Ses bourgeons printaniers finement torsadés délivrent une liqueur cristalline et dense aux saveurs de légumes verts printaniers accompagnées de notes beurrées, minérales et zestées.
Texte court : Prestigieuse récolte de printemps, cuisson à la vapeur. Notes : beurrées, minérales, zestées, légumes verts printaniers.</v>
          </cell>
          <cell r="Y285"/>
          <cell r="Z285" t="str">
            <v>Ingrédient : thé vert*. *Issu de l'agriculture biologique.</v>
          </cell>
          <cell r="AA285" t="str">
            <v>/</v>
          </cell>
          <cell r="AB285" t="str">
            <v>Membre certifié World Fair Trade Organization, Les Jardins de Gaïa s’engagent pour un commerce plus juste et répondent aux exigences du commerce équitable. Pour en savoir plus : www.wfto.com.</v>
          </cell>
          <cell r="AC285">
            <v>50</v>
          </cell>
          <cell r="AD285" t="str">
            <v>3</v>
          </cell>
          <cell r="AE285">
            <v>75</v>
          </cell>
          <cell r="AF285">
            <v>2</v>
          </cell>
          <cell r="AG285">
            <v>25</v>
          </cell>
          <cell r="AH285">
            <v>3582810313466</v>
          </cell>
          <cell r="AI285" t="str">
            <v>Plusieurs infusions</v>
          </cell>
          <cell r="AJ285" t="str">
            <v>ETVN134FF22</v>
          </cell>
          <cell r="AK285" t="str">
            <v>ETVN134FF22V5</v>
          </cell>
          <cell r="AL285" t="str">
            <v>Q de tube</v>
          </cell>
          <cell r="AM285" t="str">
            <v>Xuan En Yisheng Tea Cooperative</v>
          </cell>
        </row>
        <row r="286">
          <cell r="A286" t="str">
            <v>TO1137</v>
          </cell>
          <cell r="B286"/>
          <cell r="C286"/>
          <cell r="D286"/>
          <cell r="E286"/>
          <cell r="F286"/>
          <cell r="G286"/>
          <cell r="H286" t="str">
            <v>LES GRANDS CLASSIQUES</v>
          </cell>
          <cell r="I286"/>
          <cell r="J286" t="str">
            <v>Jade wulong</v>
          </cell>
          <cell r="K286" t="str">
            <v>绿玉乌龙</v>
          </cell>
          <cell r="L286" t="str">
            <v>Thé wulong d'origine</v>
          </cell>
          <cell r="M286" t="str">
            <v>Chine - Hubei</v>
          </cell>
          <cell r="N286" t="str">
            <v>AB</v>
          </cell>
          <cell r="O286" t="str">
            <v>WFTO</v>
          </cell>
          <cell r="P286" t="str">
            <v>/</v>
          </cell>
          <cell r="Q286" t="str">
            <v>/</v>
          </cell>
          <cell r="R286" t="str">
            <v>/</v>
          </cell>
          <cell r="S286" t="str">
            <v>/</v>
          </cell>
          <cell r="T286" t="str">
            <v>Agriculture Chine</v>
          </cell>
          <cell r="U286"/>
          <cell r="V286" t="str">
            <v>Délicieux thé bleu-vert originaire des montagnes du Hubei. Ses grandes feuilles roulées se déploient pour libérer une liqueur jaune vif aux reflets verts, de laquelle émane un parfum intense de fleurs. Sa faible oxydation qui le rend proche d’un thé vert, lui donne son appellation “jade” et sa saveur végétale et fruitée.</v>
          </cell>
          <cell r="W286" t="str">
            <v>S14</v>
          </cell>
          <cell r="X286" t="str">
            <v xml:space="preserve">Les grandes feuilles roulées de ce wulong originaire des montagnes du Hubei libèrent une liqueur jaune vif de laquelle émane un parfum floral intense. Il soit son nom « Jade » à sa faible oxydation qui le rapproche d’un thé vert et qui lui permet d’offrir d’agréables saveurs végétales et fruitées. </v>
          </cell>
          <cell r="Y286"/>
          <cell r="Z286" t="str">
            <v>Ingrédient : thé wulong*. *Issu de l'agriculture biologique.</v>
          </cell>
          <cell r="AA286" t="str">
            <v>/</v>
          </cell>
          <cell r="AB286" t="str">
            <v>Membre certifié World Fair Trade Organization, Les Jardins de Gaïa s’engagent pour un commerce plus juste et répondent aux exigences du commerce équitable. Pour en savoir plus : www.wfto.com.</v>
          </cell>
          <cell r="AC286">
            <v>1</v>
          </cell>
          <cell r="AD286" t="str">
            <v>4-5</v>
          </cell>
          <cell r="AE286">
            <v>95</v>
          </cell>
          <cell r="AF286">
            <v>2</v>
          </cell>
          <cell r="AG286">
            <v>500</v>
          </cell>
          <cell r="AH286">
            <v>3582810711378</v>
          </cell>
          <cell r="AI286" t="str">
            <v>/</v>
          </cell>
          <cell r="AJ286" t="str">
            <v>INTERNE</v>
          </cell>
          <cell r="AK286" t="str">
            <v>INTERNE</v>
          </cell>
          <cell r="AL286" t="str">
            <v>/</v>
          </cell>
          <cell r="AM286" t="str">
            <v>Xuan En Yisheng Tea Cooperative</v>
          </cell>
        </row>
        <row r="287">
          <cell r="A287" t="str">
            <v>TO1132</v>
          </cell>
          <cell r="B287"/>
          <cell r="C287" t="str">
            <v>X</v>
          </cell>
          <cell r="D287" t="str">
            <v>X</v>
          </cell>
          <cell r="E287" t="str">
            <v>X</v>
          </cell>
          <cell r="F287" t="str">
            <v>BRODART</v>
          </cell>
          <cell r="G287"/>
          <cell r="H287" t="str">
            <v>LES GRANDS CLASSIQUES</v>
          </cell>
          <cell r="I287"/>
          <cell r="J287" t="str">
            <v>Jade wulong</v>
          </cell>
          <cell r="K287" t="str">
            <v>绿玉乌龙</v>
          </cell>
          <cell r="L287" t="str">
            <v>Thé wulong d'origine</v>
          </cell>
          <cell r="M287" t="str">
            <v>Chine - Hubei</v>
          </cell>
          <cell r="N287" t="str">
            <v>AB</v>
          </cell>
          <cell r="O287" t="str">
            <v>WFTO</v>
          </cell>
          <cell r="P287" t="str">
            <v>/</v>
          </cell>
          <cell r="Q287" t="str">
            <v>/</v>
          </cell>
          <cell r="R287" t="str">
            <v>/</v>
          </cell>
          <cell r="S287" t="str">
            <v>/</v>
          </cell>
          <cell r="T287" t="str">
            <v>Agriculture Chine</v>
          </cell>
          <cell r="U287"/>
          <cell r="V287" t="str">
            <v>Délicieux thé bleu-vert originaire des montagnes du Hubei. Ses grandes feuilles roulées se déploient pour libérer une liqueur jaune vif aux reflets verts, de laquelle émane un parfum intense de fleurs. Sa faible oxydation qui le rend proche d’un thé vert, lui donne son appellation “jade” et sa saveur végétale et fruitée.</v>
          </cell>
          <cell r="W287" t="str">
            <v>S14</v>
          </cell>
          <cell r="X287" t="str">
            <v xml:space="preserve">Les grandes feuilles roulées de ce wulong originaire des montagnes du Hubei libèrent une liqueur jaune vif de laquelle émane un parfum floral intense. Il soit son nom « Jade » à sa faible oxydation qui le rapproche d’un thé vert et qui lui permet d’offrir d’agréables saveurs végétales et fruitées. </v>
          </cell>
          <cell r="Y287"/>
          <cell r="Z287" t="str">
            <v>Ingrédient : thé wulong*. *Issu de l'agriculture biologique.</v>
          </cell>
          <cell r="AA287" t="str">
            <v>/</v>
          </cell>
          <cell r="AB287" t="str">
            <v>Membre certifié World Fair Trade Organization, Les Jardins de Gaïa s’engagent pour un commerce plus juste et répondent aux exigences du commerce équitable. Pour en savoir plus : www.wfto.com.</v>
          </cell>
          <cell r="AC287">
            <v>100</v>
          </cell>
          <cell r="AD287" t="str">
            <v>4-5</v>
          </cell>
          <cell r="AE287">
            <v>95</v>
          </cell>
          <cell r="AF287">
            <v>2</v>
          </cell>
          <cell r="AG287">
            <v>50</v>
          </cell>
          <cell r="AH287">
            <v>3582810711323</v>
          </cell>
          <cell r="AI287" t="str">
            <v>/</v>
          </cell>
          <cell r="AJ287" t="str">
            <v>ETON113V5</v>
          </cell>
          <cell r="AK287" t="str">
            <v>ETON113V5</v>
          </cell>
          <cell r="AL287" t="str">
            <v>ETCON1132V5</v>
          </cell>
          <cell r="AM287" t="str">
            <v>Xuan En Yisheng Tea Cooperative</v>
          </cell>
        </row>
        <row r="288">
          <cell r="A288" t="str">
            <v>TH5111</v>
          </cell>
          <cell r="B288"/>
          <cell r="C288"/>
          <cell r="D288"/>
          <cell r="E288"/>
          <cell r="F288"/>
          <cell r="G288"/>
          <cell r="H288" t="str">
            <v>LES GRANDS CLASSIQUES</v>
          </cell>
          <cell r="I288" t="str">
            <v>LES INFUSIONS DE PLANTES</v>
          </cell>
          <cell r="J288" t="str">
            <v>Jardin enchanté</v>
          </cell>
          <cell r="K288" t="str">
            <v>Menthe odorante - feuille de tournesol - pétales de souci</v>
          </cell>
          <cell r="L288" t="str">
            <v>Infusion de plantes</v>
          </cell>
          <cell r="M288" t="str">
            <v>/</v>
          </cell>
          <cell r="N288" t="str">
            <v>AB</v>
          </cell>
          <cell r="O288" t="str">
            <v>/</v>
          </cell>
          <cell r="P288" t="str">
            <v>/</v>
          </cell>
          <cell r="Q288" t="str">
            <v>/</v>
          </cell>
          <cell r="R288" t="str">
            <v>/</v>
          </cell>
          <cell r="S288" t="str">
            <v>/</v>
          </cell>
          <cell r="T288" t="str">
            <v>AT-BIO-401
Agriculture UE</v>
          </cell>
          <cell r="U288"/>
          <cell r="V288" t="str">
            <v>Cette infusion de fleurs et de plantes haute en couleur et pleine de saveurs est un enchantement pour les yeux et le palais. Chaque gorgée offre une sensation de pureté et de fraîcheur comparable à une balade pieds nus dans la rosée matinale.</v>
          </cell>
          <cell r="W288" t="str">
            <v>S12</v>
          </cell>
          <cell r="X288" t="str">
            <v>Cette infusion de fleurs et de plantes haute en couleur et pleine de saveurs est un enchantement pour les yeux et le palais. Chaque gorgée offre une sensation de pureté et de fraîcheur comparable à une balade pieds nus dans la rosée matinale.</v>
          </cell>
          <cell r="Y288"/>
          <cell r="Z288" t="str">
            <v xml:space="preserve">Ingrédients : menthe odorante* (Mentha rotundifolia) 35%, feuille de tournesol* (Helianthus annuus) 25%, pétales de souci* (Calendula officinalis) 13%, pétales de tournesol* (Helianthus annuus), origan* (Origanum vulgare), camomille* (Matricaria chamomilla), pétales de bleuet* (Centaurea cyanus), pétales de rose* (Rosa damascena), fleurs de lilas* (Syringa vulgaris). *Issu de l'agriculture biologique. </v>
          </cell>
          <cell r="AA288" t="str">
            <v>/</v>
          </cell>
          <cell r="AB288" t="str">
            <v>/</v>
          </cell>
          <cell r="AC288">
            <v>300</v>
          </cell>
          <cell r="AD288" t="str">
            <v>5-10</v>
          </cell>
          <cell r="AE288">
            <v>95</v>
          </cell>
          <cell r="AF288">
            <v>2</v>
          </cell>
          <cell r="AG288">
            <v>150</v>
          </cell>
          <cell r="AH288">
            <v>3582811051114</v>
          </cell>
          <cell r="AI288" t="str">
            <v>/</v>
          </cell>
          <cell r="AJ288" t="str">
            <v>INTERNE</v>
          </cell>
          <cell r="AK288" t="str">
            <v>INTERNE</v>
          </cell>
          <cell r="AL288" t="str">
            <v>/</v>
          </cell>
          <cell r="AM288" t="str">
            <v>Sonnentor</v>
          </cell>
        </row>
        <row r="289">
          <cell r="A289" t="str">
            <v>TH511</v>
          </cell>
          <cell r="B289"/>
          <cell r="C289" t="str">
            <v>X</v>
          </cell>
          <cell r="D289" t="str">
            <v>X</v>
          </cell>
          <cell r="E289"/>
          <cell r="F289" t="str">
            <v>GRAI</v>
          </cell>
          <cell r="G289">
            <v>45408</v>
          </cell>
          <cell r="H289" t="str">
            <v>LES GRANDS CLASSIQUES</v>
          </cell>
          <cell r="I289" t="str">
            <v>LES INFUSIONS DE PLANTES</v>
          </cell>
          <cell r="J289" t="str">
            <v>Jardin enchanté</v>
          </cell>
          <cell r="K289" t="str">
            <v>Menthe odorante - feuille de tournesol - pétales de souci</v>
          </cell>
          <cell r="L289" t="str">
            <v>Infusion de plantes</v>
          </cell>
          <cell r="M289" t="str">
            <v>/</v>
          </cell>
          <cell r="N289" t="str">
            <v>AB</v>
          </cell>
          <cell r="O289" t="str">
            <v>/</v>
          </cell>
          <cell r="P289" t="str">
            <v>/</v>
          </cell>
          <cell r="Q289" t="str">
            <v>/</v>
          </cell>
          <cell r="R289" t="str">
            <v>/</v>
          </cell>
          <cell r="S289" t="str">
            <v>/</v>
          </cell>
          <cell r="T289" t="str">
            <v>AT-BIO-401
Agriculture UE</v>
          </cell>
          <cell r="U289"/>
          <cell r="V289" t="str">
            <v>Cette infusion de fleurs et de plantes haute en couleur et pleine de saveurs est un enchantement pour les yeux et le palais. Chaque gorgée offre une sensation de pureté et de fraîcheur comparable à une balade pieds nus dans la rosée matinale.</v>
          </cell>
          <cell r="W289" t="str">
            <v>S12</v>
          </cell>
          <cell r="X289" t="str">
            <v>Cette infusion de fleurs et de plantes haute en couleur et pleine de saveurs est un enchantement pour les yeux et le palais. Chaque gorgée offre une sensation de pureté et de fraîcheur comparable à une balade pieds nus dans la rosée matinale.</v>
          </cell>
          <cell r="Y289"/>
          <cell r="Z289" t="str">
            <v xml:space="preserve">Ingrédients : menthe odorante* (Mentha rotundifolia) 35%, feuille de tournesol* (Helianthus annuus) 25%, pétales de souci* (Calendula officinalis) 13%, pétales de tournesol* (Helianthus annuus), origan* (Origanum vulgare), camomille* (Matricaria chamomilla), pétales de bleuet* (Centaurea cyanus), pétales de rose* (Rosa damascena), fleurs de lilas* (Syringa vulgaris). *Issu de l'agriculture biologique. </v>
          </cell>
          <cell r="AA289" t="str">
            <v>/</v>
          </cell>
          <cell r="AB289" t="str">
            <v>/</v>
          </cell>
          <cell r="AC289">
            <v>40</v>
          </cell>
          <cell r="AD289" t="str">
            <v>5-10</v>
          </cell>
          <cell r="AE289">
            <v>95</v>
          </cell>
          <cell r="AF289">
            <v>2</v>
          </cell>
          <cell r="AG289">
            <v>20</v>
          </cell>
          <cell r="AH289">
            <v>3582811005117</v>
          </cell>
          <cell r="AI289" t="str">
            <v>/</v>
          </cell>
          <cell r="AJ289" t="str">
            <v>ETHN5110V5</v>
          </cell>
          <cell r="AK289" t="str">
            <v>ETHN5110V5</v>
          </cell>
          <cell r="AL289" t="str">
            <v>/</v>
          </cell>
          <cell r="AM289" t="str">
            <v>Sonnentor</v>
          </cell>
        </row>
        <row r="290">
          <cell r="A290" t="str">
            <v>TA6211</v>
          </cell>
          <cell r="B290"/>
          <cell r="C290"/>
          <cell r="D290"/>
          <cell r="E290"/>
          <cell r="F290"/>
          <cell r="G290"/>
          <cell r="H290" t="str">
            <v>LES ENGAGÉS</v>
          </cell>
          <cell r="I290" t="str">
            <v>AGIR POUR LA NATURE</v>
          </cell>
          <cell r="J290" t="str">
            <v>Jardin sous la lune</v>
          </cell>
          <cell r="K290" t="str">
            <v>Tulsi - Cardamome</v>
          </cell>
          <cell r="L290" t="str">
            <v>Thé vert parfumé</v>
          </cell>
          <cell r="M290" t="str">
            <v>Inde</v>
          </cell>
          <cell r="N290" t="str">
            <v>AB</v>
          </cell>
          <cell r="O290" t="str">
            <v>WFTO</v>
          </cell>
          <cell r="P290" t="str">
            <v>/</v>
          </cell>
          <cell r="Q290" t="str">
            <v>/</v>
          </cell>
          <cell r="R290" t="str">
            <v>/</v>
          </cell>
          <cell r="S290" t="str">
            <v>/</v>
          </cell>
          <cell r="T290" t="str">
            <v>Agriculture UE/non UE</v>
          </cell>
          <cell r="U290"/>
          <cell r="V290" t="str">
            <v>Hommage à la lune dont l’influence subtile a de tout temps fasciné. Cette recette de thé vert se distingue par les arômes épicés du basilic sacré, soulignés de délicieuses notes de mandarine et de cardamome. Chacune de ces plantes élevées avec beaucoup d’égards apporte à la liqueur une vitalité bienfaisante, qui nous rappelle que prendre soin de la planète, c’est prendre soin de nous.</v>
          </cell>
          <cell r="W290" t="str">
            <v>S23</v>
          </cell>
          <cell r="X290" t="str">
            <v>Clin d’œil à la lune dont l’influence subtile a de tout temps fasciné, ce thé vert se distingue par les arômes épicés du basilic sacré, soulignés de délicieuses notes de mandarine et de cardamome. Une recette qui nous rappelle que prendre soin de la planète, c’est prendre soin de nous.</v>
          </cell>
          <cell r="Y290" t="str">
            <v>L’association Biodynamie Recherche a pour but de promouvoir le respect et la protection de l’environnement par l’agriculture biodynamique. biodynamie-recherche.org</v>
          </cell>
          <cell r="Z290" t="str">
            <v xml:space="preserve">Ingrédients : thé vert**, écorces de mandarine**, tulsi* 10%, cardamome* 9%, amarante*. *Issu de l’agriculture biologique. **Issu de l’agriculture biologique et biodynamique. </v>
          </cell>
          <cell r="AA290" t="str">
            <v>/</v>
          </cell>
          <cell r="AB290" t="str">
            <v>Membre certifié World Fair Trade Organization, Les Jardins de Gaïa s’engagent pour un commerce plus juste et répondent aux exigences du commerce équitable. Pour en savoir plus : www.wfto.com.</v>
          </cell>
          <cell r="AC290">
            <v>1.5</v>
          </cell>
          <cell r="AD290" t="str">
            <v>3</v>
          </cell>
          <cell r="AE290">
            <v>85</v>
          </cell>
          <cell r="AF290">
            <v>2</v>
          </cell>
          <cell r="AG290">
            <v>750</v>
          </cell>
          <cell r="AH290">
            <v>3582810362112</v>
          </cell>
          <cell r="AI290" t="str">
            <v>/</v>
          </cell>
          <cell r="AJ290" t="str">
            <v>INTERNE</v>
          </cell>
          <cell r="AK290" t="str">
            <v>INTERNE</v>
          </cell>
          <cell r="AL290" t="str">
            <v>/</v>
          </cell>
          <cell r="AM290" t="str">
            <v>Création maison</v>
          </cell>
        </row>
        <row r="291">
          <cell r="A291" t="str">
            <v>TA6212</v>
          </cell>
          <cell r="B291"/>
          <cell r="C291"/>
          <cell r="D291"/>
          <cell r="E291"/>
          <cell r="F291"/>
          <cell r="G291"/>
          <cell r="H291" t="str">
            <v>LES ENGAGÉS</v>
          </cell>
          <cell r="I291" t="str">
            <v>AGIR POUR LA NATURE</v>
          </cell>
          <cell r="J291" t="str">
            <v>Jardin sous la lune</v>
          </cell>
          <cell r="K291" t="str">
            <v>Tulsi - Cardamome</v>
          </cell>
          <cell r="L291" t="str">
            <v>Thé vert parfumé</v>
          </cell>
          <cell r="M291" t="str">
            <v>Inde</v>
          </cell>
          <cell r="N291" t="str">
            <v>AB</v>
          </cell>
          <cell r="O291" t="str">
            <v>WFTO</v>
          </cell>
          <cell r="P291" t="str">
            <v>/</v>
          </cell>
          <cell r="Q291" t="str">
            <v>/</v>
          </cell>
          <cell r="R291" t="str">
            <v>/</v>
          </cell>
          <cell r="S291" t="str">
            <v>/</v>
          </cell>
          <cell r="T291" t="str">
            <v>Agriculture UE/non UE</v>
          </cell>
          <cell r="U291"/>
          <cell r="V291" t="str">
            <v>Hommage à la lune dont l’influence subtile a de tout temps fasciné. Cette recette de thé vert se distingue par les arômes épicés du basilic sacré, soulignés de délicieuses notes de mandarine et de cardamome. Chacune de ces plantes élevées avec beaucoup d’égards apporte à la liqueur une vitalité bienfaisante, qui nous rappelle que prendre soin de la planète, c’est prendre soin de nous.</v>
          </cell>
          <cell r="W291" t="str">
            <v>S23</v>
          </cell>
          <cell r="X291" t="str">
            <v>Clin d’œil à la lune dont l’influence subtile a de tout temps fasciné, ce thé vert se distingue par les arômes épicés du basilic sacré, soulignés de délicieuses notes de mandarine et de cardamome. Une recette qui nous rappelle que prendre soin de la planète, c’est prendre soin de nous.</v>
          </cell>
          <cell r="Y291" t="str">
            <v>L’association Biodynamie Recherche a pour but de promouvoir le respect et la protection de l’environnement par l’agriculture biodynamique. biodynamie-recherche.org</v>
          </cell>
          <cell r="Z291" t="str">
            <v xml:space="preserve">Ingrédients : thé vert**, écorces de mandarine**, tulsi* 10%, cardamome* 9%, amarante*. *Issu de l’agriculture biologique. **Issu de l’agriculture biologique et biodynamique. </v>
          </cell>
          <cell r="AA291" t="str">
            <v>/</v>
          </cell>
          <cell r="AB291" t="str">
            <v>Membre certifié World Fair Trade Organization, Les Jardins de Gaïa s’engagent pour un commerce plus juste et répondent aux exigences du commerce équitable. Pour en savoir plus : www.wfto.com.</v>
          </cell>
          <cell r="AC291">
            <v>100</v>
          </cell>
          <cell r="AD291" t="str">
            <v>3</v>
          </cell>
          <cell r="AE291">
            <v>85</v>
          </cell>
          <cell r="AF291">
            <v>2</v>
          </cell>
          <cell r="AG291">
            <v>50</v>
          </cell>
          <cell r="AH291">
            <v>3582810362129</v>
          </cell>
          <cell r="AI291" t="str">
            <v>/</v>
          </cell>
          <cell r="AJ291" t="str">
            <v>ETVA621</v>
          </cell>
          <cell r="AK291" t="str">
            <v>ETVA621V5</v>
          </cell>
          <cell r="AL291" t="str">
            <v>ETCVA6212V5</v>
          </cell>
          <cell r="AM291" t="str">
            <v>Création maison</v>
          </cell>
        </row>
        <row r="292">
          <cell r="A292" t="str">
            <v>TV7361</v>
          </cell>
          <cell r="B292"/>
          <cell r="C292"/>
          <cell r="D292"/>
          <cell r="E292"/>
          <cell r="F292"/>
          <cell r="G292"/>
          <cell r="H292" t="str">
            <v>LES GRANDS CLASSIQUES</v>
          </cell>
          <cell r="I292"/>
          <cell r="J292" t="str">
            <v>Jasmine Flowers</v>
          </cell>
          <cell r="K292" t="str">
            <v>Moli Hua Cha</v>
          </cell>
          <cell r="L292" t="str">
            <v>Thé vert parfumé d'origine</v>
          </cell>
          <cell r="M292" t="str">
            <v>Chine - Zhejiang</v>
          </cell>
          <cell r="N292" t="str">
            <v>AB</v>
          </cell>
          <cell r="O292" t="str">
            <v>WFTO</v>
          </cell>
          <cell r="P292" t="str">
            <v>/</v>
          </cell>
          <cell r="Q292" t="str">
            <v>/</v>
          </cell>
          <cell r="R292" t="str">
            <v>/</v>
          </cell>
          <cell r="S292" t="str">
            <v>/</v>
          </cell>
          <cell r="T292" t="str">
            <v>Agriculture Chine</v>
          </cell>
          <cell r="U292"/>
          <cell r="V292" t="str">
            <v xml:space="preserve">Fleur reine, symbole de l'amour… Fabriqué de façon traditionnelle, ce thé vert, à la saveur fleurie et veloutée, est un merveilleux thé de la détente. D'un parfum exquis et d'une saveur incomparable, il accompagnera délicatement tous les mets asiatiques. </v>
          </cell>
          <cell r="W292"/>
          <cell r="X292" t="str">
            <v>Ce thé vert au jasmin confectionné de manière traditionnelle est une invitation à se détendre et à savourer les délicats parfums de la fleur reine, symbole de l'amour… Ses saveurs d’un velouté incomparable accompagnent à merveille les mets asiatiques.</v>
          </cell>
          <cell r="Y292"/>
          <cell r="Z292" t="str">
            <v xml:space="preserve">Ingrédient : thé vert au jasmin*. *Issu de l'agriculture biologique. </v>
          </cell>
          <cell r="AA292" t="str">
            <v>/</v>
          </cell>
          <cell r="AB292" t="str">
            <v>Membre certifié World Fair Trade Organization, Les Jardins de Gaïa s’engagent pour un commerce plus juste et répondent aux exigences du commerce équitable. Pour en savoir plus : www.wfto.com.</v>
          </cell>
          <cell r="AC292">
            <v>1.5</v>
          </cell>
          <cell r="AD292" t="str">
            <v>3</v>
          </cell>
          <cell r="AE292">
            <v>75</v>
          </cell>
          <cell r="AF292">
            <v>2</v>
          </cell>
          <cell r="AG292">
            <v>750</v>
          </cell>
          <cell r="AH292">
            <v>3582810373613</v>
          </cell>
          <cell r="AI292" t="str">
            <v>/</v>
          </cell>
          <cell r="AJ292" t="str">
            <v>INTERNE</v>
          </cell>
          <cell r="AK292" t="str">
            <v>INTERNE</v>
          </cell>
          <cell r="AL292" t="str">
            <v>/</v>
          </cell>
          <cell r="AM292" t="str">
            <v>Dazhangshan Organic Tea Farmer Association</v>
          </cell>
        </row>
        <row r="293">
          <cell r="A293" t="str">
            <v>TV7362</v>
          </cell>
          <cell r="B293"/>
          <cell r="C293" t="str">
            <v>X</v>
          </cell>
          <cell r="D293" t="str">
            <v>x</v>
          </cell>
          <cell r="E293" t="str">
            <v>x</v>
          </cell>
          <cell r="F293" t="str">
            <v>GRAI</v>
          </cell>
          <cell r="G293">
            <v>45383</v>
          </cell>
          <cell r="H293" t="str">
            <v>LES GRANDS CLASSIQUES</v>
          </cell>
          <cell r="I293"/>
          <cell r="J293" t="str">
            <v>Jasmine Flowers</v>
          </cell>
          <cell r="K293" t="str">
            <v>Moli Hua Cha</v>
          </cell>
          <cell r="L293" t="str">
            <v>Thé vert parfumé d'origine</v>
          </cell>
          <cell r="M293" t="str">
            <v>Chine - Zhejiang</v>
          </cell>
          <cell r="N293" t="str">
            <v>AB</v>
          </cell>
          <cell r="O293" t="str">
            <v>WFTO</v>
          </cell>
          <cell r="P293" t="str">
            <v>/</v>
          </cell>
          <cell r="Q293" t="str">
            <v>/</v>
          </cell>
          <cell r="R293" t="str">
            <v>/</v>
          </cell>
          <cell r="S293" t="str">
            <v>/</v>
          </cell>
          <cell r="T293" t="str">
            <v>Agriculture Chine</v>
          </cell>
          <cell r="U293"/>
          <cell r="V293" t="str">
            <v xml:space="preserve">Fleur reine, symbole de l'amour… Fabriqué de façon traditionnelle, ce thé vert, à la saveur fleurie et veloutée, est un merveilleux thé de la détente. D'un parfum exquis et d'une saveur incomparable, il accompagnera délicatement tous les mets asiatiques. </v>
          </cell>
          <cell r="W293"/>
          <cell r="X293" t="str">
            <v>Ce thé vert au jasmin confectionné de manière traditionnelle est une invitation à se détendre et à savourer les délicats parfums de la fleur reine, symbole de l'amour… Ses saveurs d’un velouté incomparable accompagnent à merveille les mets asiatiques.</v>
          </cell>
          <cell r="Y293"/>
          <cell r="Z293" t="str">
            <v xml:space="preserve">Ingrédient : thé vert au jasmin*. *Issu de l'agriculture biologique. </v>
          </cell>
          <cell r="AA293" t="str">
            <v>/</v>
          </cell>
          <cell r="AB293" t="str">
            <v>Membre certifié World Fair Trade Organization, Les Jardins de Gaïa s’engagent pour un commerce plus juste et répondent aux exigences du commerce équitable. Pour en savoir plus : www.wfto.com.</v>
          </cell>
          <cell r="AC293">
            <v>100</v>
          </cell>
          <cell r="AD293" t="str">
            <v>3</v>
          </cell>
          <cell r="AE293">
            <v>75</v>
          </cell>
          <cell r="AF293">
            <v>2</v>
          </cell>
          <cell r="AG293">
            <v>50</v>
          </cell>
          <cell r="AH293">
            <v>3582810373620</v>
          </cell>
          <cell r="AI293" t="str">
            <v>/</v>
          </cell>
          <cell r="AJ293" t="str">
            <v>ETVM736</v>
          </cell>
          <cell r="AK293" t="str">
            <v>ETVM736V5</v>
          </cell>
          <cell r="AL293" t="str">
            <v>ETCVM7362V5</v>
          </cell>
          <cell r="AM293" t="str">
            <v>Dazhangshan Organic Tea Farmer Association</v>
          </cell>
        </row>
        <row r="294">
          <cell r="A294" t="str">
            <v>TN4647</v>
          </cell>
          <cell r="B294"/>
          <cell r="C294"/>
          <cell r="D294"/>
          <cell r="E294"/>
          <cell r="F294"/>
          <cell r="G294"/>
          <cell r="H294" t="str">
            <v>LES GRAND CRUS</v>
          </cell>
          <cell r="I294"/>
          <cell r="J294" t="str">
            <v>Jasmine Golden Pearls</v>
          </cell>
          <cell r="K294" t="str">
            <v>Perles de jasmin
Mo Li Jin Zhu Cha 茉莉绣球</v>
          </cell>
          <cell r="L294" t="str">
            <v>Thé noir parfumé d'origine</v>
          </cell>
          <cell r="M294" t="str">
            <v>Chine - Hunan</v>
          </cell>
          <cell r="N294" t="str">
            <v>AB</v>
          </cell>
          <cell r="O294" t="str">
            <v>/</v>
          </cell>
          <cell r="P294" t="str">
            <v>/</v>
          </cell>
          <cell r="Q294" t="str">
            <v>/</v>
          </cell>
          <cell r="R294" t="str">
            <v>/</v>
          </cell>
          <cell r="S294" t="str">
            <v>/</v>
          </cell>
          <cell r="T294" t="str">
            <v>Agriculture Chine</v>
          </cell>
          <cell r="U294"/>
          <cell r="V294" t="str">
            <v>Perles de bourgeons de thé parfumées traditionnellement. Notes de fleur, de caramel et de cacao.</v>
          </cell>
          <cell r="W294" t="str">
            <v>S24</v>
          </cell>
          <cell r="X294" t="str">
            <v>Parfumé de manière traditionnelle avec des fleurs fraîchement cueillies, ce thé noir au jasmin singulier se présente sous forme d’élégantes perles tigrées couleur taupe et or. Son infusion douce et veloutée offre des arômes floraux profonds accompagnés de notes chaudes de caramel et de cacao. Superbe !
Texte court : Perles de bourgeons de thé noir parfumées traditionnellement. Notes florales de jasmin, de caramel et de cacao.</v>
          </cell>
          <cell r="Y294"/>
          <cell r="Z294" t="str">
            <v>Ingrédient : thé noir au jasmin*. *Issu de l'agriculture biologique.</v>
          </cell>
          <cell r="AA294" t="str">
            <v>/</v>
          </cell>
          <cell r="AB294"/>
          <cell r="AC294">
            <v>1</v>
          </cell>
          <cell r="AD294" t="str">
            <v>4</v>
          </cell>
          <cell r="AE294" t="str">
            <v>85-90</v>
          </cell>
          <cell r="AF294">
            <v>2</v>
          </cell>
          <cell r="AG294">
            <v>500</v>
          </cell>
          <cell r="AH294">
            <v>3582810246474</v>
          </cell>
          <cell r="AI294" t="str">
            <v>/</v>
          </cell>
          <cell r="AJ294" t="str">
            <v>INTERNE</v>
          </cell>
          <cell r="AK294" t="str">
            <v>INTERNE</v>
          </cell>
          <cell r="AL294" t="str">
            <v>/</v>
          </cell>
          <cell r="AM294" t="str">
            <v>Mijiang Farm</v>
          </cell>
        </row>
        <row r="295">
          <cell r="A295" t="str">
            <v>TN4642</v>
          </cell>
          <cell r="B295"/>
          <cell r="C295"/>
          <cell r="D295"/>
          <cell r="E295"/>
          <cell r="F295"/>
          <cell r="G295"/>
          <cell r="H295" t="str">
            <v>LES GRAND CRUS</v>
          </cell>
          <cell r="I295"/>
          <cell r="J295" t="str">
            <v>Jasmine Golden Pearls</v>
          </cell>
          <cell r="K295" t="str">
            <v>Perles de jasmin
Mo Li Jin Zhu Cha 茉莉绣球</v>
          </cell>
          <cell r="L295" t="str">
            <v>Thé noir parfumé d'origine</v>
          </cell>
          <cell r="M295" t="str">
            <v>Chine - Hunan</v>
          </cell>
          <cell r="N295" t="str">
            <v>AB</v>
          </cell>
          <cell r="O295" t="str">
            <v>/</v>
          </cell>
          <cell r="P295" t="str">
            <v>/</v>
          </cell>
          <cell r="Q295" t="str">
            <v>/</v>
          </cell>
          <cell r="R295" t="str">
            <v>/</v>
          </cell>
          <cell r="S295" t="str">
            <v>/</v>
          </cell>
          <cell r="T295" t="str">
            <v>Agriculture Chine</v>
          </cell>
          <cell r="U295"/>
          <cell r="V295" t="str">
            <v>Perles de bourgeons de thé parfumées traditionnellement. Notes de fleur, de caramel et de cacao.</v>
          </cell>
          <cell r="W295" t="str">
            <v>S24</v>
          </cell>
          <cell r="X295" t="str">
            <v>Parfumé de manière traditionnelle avec des fleurs fraîchement cueillies, ce thé noir au jasmin singulier se présente sous forme d’élégantes perles tigrées couleur taupe et or. Son infusion douce et veloutée offre des arômes floraux profonds accompagnés de notes chaudes de caramel et de cacao. Superbe !
Texte court : Perles de bourgeons de thé noir parfumées traditionnellement. Notes florales de jasmin, de caramel et de cacao.</v>
          </cell>
          <cell r="Y295"/>
          <cell r="Z295" t="str">
            <v>Ingrédient : thé noir au jasmin*. *Issu de l'agriculture biologique.</v>
          </cell>
          <cell r="AA295" t="str">
            <v>/</v>
          </cell>
          <cell r="AB295"/>
          <cell r="AC295">
            <v>100</v>
          </cell>
          <cell r="AD295" t="str">
            <v>4</v>
          </cell>
          <cell r="AE295" t="str">
            <v>85-90</v>
          </cell>
          <cell r="AF295">
            <v>2</v>
          </cell>
          <cell r="AG295">
            <v>50</v>
          </cell>
          <cell r="AH295">
            <v>3582810246429</v>
          </cell>
          <cell r="AI295" t="str">
            <v>/</v>
          </cell>
          <cell r="AJ295" t="str">
            <v>ETNM464V5</v>
          </cell>
          <cell r="AK295" t="str">
            <v>ETNM464V5</v>
          </cell>
          <cell r="AL295" t="str">
            <v>ETCNM4642V5</v>
          </cell>
          <cell r="AM295" t="str">
            <v>Mijiang Farm</v>
          </cell>
        </row>
        <row r="296">
          <cell r="A296" t="str">
            <v>TB8145</v>
          </cell>
          <cell r="B296"/>
          <cell r="C296"/>
          <cell r="D296"/>
          <cell r="E296"/>
          <cell r="F296"/>
          <cell r="G296"/>
          <cell r="H296" t="str">
            <v>LES GRAND CRUS</v>
          </cell>
          <cell r="I296"/>
          <cell r="J296" t="str">
            <v>Jasmine Phoenix Dragon Pearls</v>
          </cell>
          <cell r="K296" t="str">
            <v>Perles de jasmin 茉莉龙凤珠</v>
          </cell>
          <cell r="L296" t="str">
            <v>Thé blanc parfumé d'origine</v>
          </cell>
          <cell r="M296" t="str">
            <v>Chine - Hunan</v>
          </cell>
          <cell r="N296" t="str">
            <v>AB</v>
          </cell>
          <cell r="O296" t="str">
            <v>/</v>
          </cell>
          <cell r="P296" t="str">
            <v>/</v>
          </cell>
          <cell r="Q296" t="str">
            <v>/</v>
          </cell>
          <cell r="R296" t="str">
            <v>/</v>
          </cell>
          <cell r="S296" t="str">
            <v>/</v>
          </cell>
          <cell r="T296" t="str">
            <v>Agriculture Chine</v>
          </cell>
          <cell r="U296"/>
          <cell r="V296" t="str">
            <v>Thé de montagne parfumé avec des fleurs fraîches de jasmin, selon la méthode traditionnelle. Suave et frais.</v>
          </cell>
          <cell r="W296" t="str">
            <v>S24</v>
          </cell>
          <cell r="X296" t="str">
            <v>Ce thé blanc au jasmin de montagne dont les bourgeons ont été façonnés en de précieuses perles a été parfumé de manière traditionnelle avec des fleurs fraîchement cueillies. Son infusion offre une tasse veloutée, suave et fraîche aux arômes floraux d’une profondeur incomparable. Divin !
Texte court : Perles de thé blanc de montagne parfumées avec des fleurs fraîches de jasmin, selon la méthode traditionnelle. Suave et frais.</v>
          </cell>
          <cell r="Y296"/>
          <cell r="Z296" t="str">
            <v>Ingrédient : thé blanc au jasmin*. *Issu de l'agriculture biologique.</v>
          </cell>
          <cell r="AA296" t="str">
            <v>/</v>
          </cell>
          <cell r="AB296" t="str">
            <v>/</v>
          </cell>
          <cell r="AC296">
            <v>500</v>
          </cell>
          <cell r="AD296" t="str">
            <v>4-5</v>
          </cell>
          <cell r="AE296">
            <v>80</v>
          </cell>
          <cell r="AF296">
            <v>2</v>
          </cell>
          <cell r="AG296">
            <v>250</v>
          </cell>
          <cell r="AH296">
            <v>3582810681459</v>
          </cell>
          <cell r="AI296" t="str">
            <v>Plusieurs infusions</v>
          </cell>
          <cell r="AJ296" t="str">
            <v>INTERNE</v>
          </cell>
          <cell r="AK296" t="str">
            <v>INTERNE</v>
          </cell>
          <cell r="AL296" t="str">
            <v>/</v>
          </cell>
          <cell r="AM296" t="str">
            <v>Dazhangshan Organic Tea Farmer Association</v>
          </cell>
        </row>
        <row r="297">
          <cell r="A297" t="str">
            <v>TB8142</v>
          </cell>
          <cell r="B297"/>
          <cell r="C297"/>
          <cell r="D297"/>
          <cell r="E297"/>
          <cell r="F297"/>
          <cell r="G297"/>
          <cell r="H297" t="str">
            <v>LES GRAND CRUS</v>
          </cell>
          <cell r="I297"/>
          <cell r="J297" t="str">
            <v>Jasmine Phoenix Dragon Pearls</v>
          </cell>
          <cell r="K297" t="str">
            <v>Perles de jasmin 茉莉龙凤珠</v>
          </cell>
          <cell r="L297" t="str">
            <v>Thé blanc parfumé d'origine</v>
          </cell>
          <cell r="M297" t="str">
            <v>Chine - Hunan</v>
          </cell>
          <cell r="N297" t="str">
            <v>AB</v>
          </cell>
          <cell r="O297" t="str">
            <v>/</v>
          </cell>
          <cell r="P297" t="str">
            <v>/</v>
          </cell>
          <cell r="Q297" t="str">
            <v>/</v>
          </cell>
          <cell r="R297" t="str">
            <v>/</v>
          </cell>
          <cell r="S297" t="str">
            <v>/</v>
          </cell>
          <cell r="T297" t="str">
            <v>Agriculture Chine</v>
          </cell>
          <cell r="U297"/>
          <cell r="V297" t="str">
            <v>Thé de montagne parfumé avec des fleurs fraîches de jasmin, selon la méthode traditionnelle. Suave et frais.</v>
          </cell>
          <cell r="W297" t="str">
            <v>S24</v>
          </cell>
          <cell r="X297" t="str">
            <v>Ce thé blanc au jasmin de montagne dont les bourgeons ont été façonnés en de précieuses perles a été parfumé de manière traditionnelle avec des fleurs fraîchement cueillies. Son infusion offre une tasse veloutée, suave et fraîche aux arômes floraux d’une profondeur incomparable. Divin !
Texte court : Perles de thé blanc de montagne parfumées avec des fleurs fraîches de jasmin, selon la méthode traditionnelle. Suave et frais.</v>
          </cell>
          <cell r="Y297"/>
          <cell r="Z297" t="str">
            <v>Ingrédient : thé blanc au jasmin*. *Issu de l'agriculture biologique.</v>
          </cell>
          <cell r="AA297" t="str">
            <v>/</v>
          </cell>
          <cell r="AB297" t="str">
            <v>/</v>
          </cell>
          <cell r="AC297">
            <v>80</v>
          </cell>
          <cell r="AD297" t="str">
            <v>4-5</v>
          </cell>
          <cell r="AE297">
            <v>80</v>
          </cell>
          <cell r="AF297">
            <v>2</v>
          </cell>
          <cell r="AG297">
            <v>40</v>
          </cell>
          <cell r="AH297">
            <v>3582810681428</v>
          </cell>
          <cell r="AI297" t="str">
            <v>Plusieurs infusions</v>
          </cell>
          <cell r="AJ297" t="str">
            <v>ETBM814V5</v>
          </cell>
          <cell r="AK297" t="str">
            <v>ETBM814V5</v>
          </cell>
          <cell r="AL297" t="str">
            <v>Q de tube</v>
          </cell>
          <cell r="AM297" t="str">
            <v>Dazhangshan Organic Tea Farmer Association</v>
          </cell>
        </row>
        <row r="298">
          <cell r="A298" t="str">
            <v>TA7161</v>
          </cell>
          <cell r="B298"/>
          <cell r="C298" t="str">
            <v>X</v>
          </cell>
          <cell r="D298"/>
          <cell r="E298"/>
          <cell r="F298"/>
          <cell r="G298"/>
          <cell r="H298" t="str">
            <v>LES GRANDS CLASSIQUES</v>
          </cell>
          <cell r="I298"/>
          <cell r="J298" t="str">
            <v>Je l'appelle Cannelle</v>
          </cell>
          <cell r="K298" t="str">
            <v>Thé noir à la cannelle</v>
          </cell>
          <cell r="L298" t="str">
            <v>Thé noir parfumé</v>
          </cell>
          <cell r="M298" t="str">
            <v>Vietnam - Chine - Inde</v>
          </cell>
          <cell r="N298" t="str">
            <v>AB</v>
          </cell>
          <cell r="O298" t="str">
            <v>WFTO</v>
          </cell>
          <cell r="P298" t="str">
            <v>/</v>
          </cell>
          <cell r="Q298" t="str">
            <v>/</v>
          </cell>
          <cell r="R298" t="str">
            <v>/</v>
          </cell>
          <cell r="S298" t="str">
            <v>/</v>
          </cell>
          <cell r="T298" t="str">
            <v>Agriculture non UE</v>
          </cell>
          <cell r="U298"/>
          <cell r="V298" t="str">
            <v>Cette rencontre intense d'un thé noir corsé, de la véritable cannelle de Ceylan et des feuilles de cannelier offre une liqueur aux saveurs chaudes et pleines de douceur. Un véritable réconfort pour le corps et l’esprit à déguster à tout moment.</v>
          </cell>
          <cell r="W298" t="str">
            <v>S14</v>
          </cell>
          <cell r="X298" t="str">
            <v>Née de la rencontre intense d'un thé noir corsé, de la véritable cannelle de Ceylan et des feuilles de cannelier, cette recette offre une liqueur aux saveurs chaudes et pleines de douceur. Une véritable source de plaisir et de réconfort à déguster à tout moment.</v>
          </cell>
          <cell r="Y298"/>
          <cell r="Z298" t="str">
            <v>Ingrédients : thé noir*, cannelle* 24%, feuilles de cannellier*. *Issu de l'agriculture biologique.</v>
          </cell>
          <cell r="AA298" t="str">
            <v>/</v>
          </cell>
          <cell r="AB298" t="str">
            <v>Membre certifié World Fair Trade Organization, Les Jardins de Gaïa s’engagent pour un commerce plus juste et répondent aux exigences du commerce équitable. Pour en savoir plus : www.wfto.com.</v>
          </cell>
          <cell r="AC298">
            <v>1.5</v>
          </cell>
          <cell r="AD298" t="str">
            <v>3-4</v>
          </cell>
          <cell r="AE298">
            <v>90</v>
          </cell>
          <cell r="AF298">
            <v>2</v>
          </cell>
          <cell r="AG298">
            <v>750</v>
          </cell>
          <cell r="AH298">
            <v>3582810471616</v>
          </cell>
          <cell r="AI298" t="str">
            <v>/</v>
          </cell>
          <cell r="AJ298" t="str">
            <v>INTERNE</v>
          </cell>
          <cell r="AK298" t="str">
            <v>INTERNE</v>
          </cell>
          <cell r="AL298" t="str">
            <v>/</v>
          </cell>
          <cell r="AM298" t="str">
            <v>Création maison</v>
          </cell>
        </row>
        <row r="299">
          <cell r="A299" t="str">
            <v>TA7162</v>
          </cell>
          <cell r="B299"/>
          <cell r="C299" t="str">
            <v>X</v>
          </cell>
          <cell r="D299" t="str">
            <v>X</v>
          </cell>
          <cell r="E299" t="str">
            <v>X</v>
          </cell>
          <cell r="F299" t="str">
            <v>BRODART</v>
          </cell>
          <cell r="G299"/>
          <cell r="H299" t="str">
            <v>LES GRANDS CLASSIQUES</v>
          </cell>
          <cell r="I299"/>
          <cell r="J299" t="str">
            <v>Je l'appelle Cannelle</v>
          </cell>
          <cell r="K299" t="str">
            <v>Thé noir à la cannelle</v>
          </cell>
          <cell r="L299" t="str">
            <v>Thé noir parfumé</v>
          </cell>
          <cell r="M299" t="str">
            <v>Vietnam - Chine - Inde</v>
          </cell>
          <cell r="N299" t="str">
            <v>AB</v>
          </cell>
          <cell r="O299" t="str">
            <v>WFTO</v>
          </cell>
          <cell r="P299" t="str">
            <v>/</v>
          </cell>
          <cell r="Q299" t="str">
            <v>/</v>
          </cell>
          <cell r="R299" t="str">
            <v>/</v>
          </cell>
          <cell r="S299" t="str">
            <v>/</v>
          </cell>
          <cell r="T299" t="str">
            <v>Agriculture non UE</v>
          </cell>
          <cell r="U299"/>
          <cell r="V299" t="str">
            <v>Cette rencontre intense d'un thé noir corsé, de la véritable cannelle de Ceylan et des feuilles de cannelier offre une liqueur aux saveurs chaudes et pleines de douceur. Un véritable réconfort pour le corps et l’esprit à déguster à tout moment.</v>
          </cell>
          <cell r="W299" t="str">
            <v>S14</v>
          </cell>
          <cell r="X299" t="str">
            <v>Née de la rencontre intense d'un thé noir corsé, de la véritable cannelle de Ceylan et des feuilles de cannelier, cette recette offre une liqueur aux saveurs chaudes et pleines de douceur. Une véritable source de plaisir et de réconfort à déguster à tout moment.</v>
          </cell>
          <cell r="Y299"/>
          <cell r="Z299" t="str">
            <v>Ingrédients : thé noir*, cannelle* 24%, feuilles de cannellier*. *Issu de l'agriculture biologique.</v>
          </cell>
          <cell r="AA299" t="str">
            <v>/</v>
          </cell>
          <cell r="AB299" t="str">
            <v>Membre certifié World Fair Trade Organization, Les Jardins de Gaïa s’engagent pour un commerce plus juste et répondent aux exigences du commerce équitable. Pour en savoir plus : www.wfto.com.</v>
          </cell>
          <cell r="AC299">
            <v>100</v>
          </cell>
          <cell r="AD299" t="str">
            <v>3-4</v>
          </cell>
          <cell r="AE299">
            <v>90</v>
          </cell>
          <cell r="AF299">
            <v>2</v>
          </cell>
          <cell r="AG299">
            <v>50</v>
          </cell>
          <cell r="AH299">
            <v>3582810471623</v>
          </cell>
          <cell r="AI299" t="str">
            <v>/</v>
          </cell>
          <cell r="AJ299" t="str">
            <v>ETNA716</v>
          </cell>
          <cell r="AK299" t="str">
            <v>ETNA716V5</v>
          </cell>
          <cell r="AL299" t="str">
            <v>ETCNA7162V5</v>
          </cell>
          <cell r="AM299" t="str">
            <v>Création maison</v>
          </cell>
        </row>
        <row r="300">
          <cell r="A300" t="str">
            <v>TJ2004</v>
          </cell>
          <cell r="B300"/>
          <cell r="C300"/>
          <cell r="D300"/>
          <cell r="E300"/>
          <cell r="F300"/>
          <cell r="G300"/>
          <cell r="H300" t="str">
            <v>KEIKO</v>
          </cell>
          <cell r="I300"/>
          <cell r="J300" t="str">
            <v>Kabuse Bancha</v>
          </cell>
          <cell r="K300" t="str">
            <v>Thé vert de pénombre</v>
          </cell>
          <cell r="L300" t="str">
            <v>Thé vert d'origine</v>
          </cell>
          <cell r="M300" t="str">
            <v>Japon - Kagoshima</v>
          </cell>
          <cell r="N300" t="str">
            <v>AB</v>
          </cell>
          <cell r="O300" t="str">
            <v>/</v>
          </cell>
          <cell r="P300" t="str">
            <v>/</v>
          </cell>
          <cell r="Q300" t="str">
            <v>/</v>
          </cell>
          <cell r="R300" t="str">
            <v>/</v>
          </cell>
          <cell r="S300" t="str">
            <v>/</v>
          </cell>
          <cell r="T300" t="str">
            <v>Agriculture Japon</v>
          </cell>
          <cell r="U300"/>
          <cell r="V300" t="str">
            <v>Thé vert japonais de pénombre. Bancha issu de la récolte de printemps. Infusion de couleur vert tendre, légère et harmonieuse. Il est apprécié pour sa douceur et sa faible teneur en théine.</v>
          </cell>
          <cell r="W300" t="str">
            <v>S24</v>
          </cell>
          <cell r="X300" t="str">
            <v>Cueillies au printemps après la récolte destinée au sencha, les feuilles de ce thé vert de type bancha sont loin d’être « ordinaires ». En ayant subi une période d’ombrage, elles offrent une infusion texturée, légère et harmonieuse dont on apprécie la très grande douceur.</v>
          </cell>
          <cell r="Y300"/>
          <cell r="Z300" t="str">
            <v>Ingrédient : thé vert*. *Issu de l'agriculture biologique.</v>
          </cell>
          <cell r="AA300" t="str">
            <v>/</v>
          </cell>
          <cell r="AB300" t="str">
            <v>/</v>
          </cell>
          <cell r="AC300">
            <v>50</v>
          </cell>
          <cell r="AD300" t="str">
            <v>40/15/30 sec</v>
          </cell>
          <cell r="AE300" t="str">
            <v>65-70</v>
          </cell>
          <cell r="AF300">
            <v>2</v>
          </cell>
          <cell r="AG300">
            <v>25</v>
          </cell>
          <cell r="AH300">
            <v>4031322000061</v>
          </cell>
          <cell r="AI300" t="str">
            <v>Plusieurs infusions</v>
          </cell>
          <cell r="AJ300" t="str">
            <v>/</v>
          </cell>
          <cell r="AK300" t="str">
            <v>/</v>
          </cell>
          <cell r="AL300" t="str">
            <v>/</v>
          </cell>
          <cell r="AM300" t="str">
            <v>Keiko</v>
          </cell>
        </row>
        <row r="301">
          <cell r="A301" t="str">
            <v>TJ3034</v>
          </cell>
          <cell r="B301"/>
          <cell r="C301"/>
          <cell r="D301"/>
          <cell r="E301"/>
          <cell r="F301"/>
          <cell r="G301"/>
          <cell r="H301" t="str">
            <v>KEIKO</v>
          </cell>
          <cell r="I301"/>
          <cell r="J301" t="str">
            <v>Kabuse Genmaicha + matcha</v>
          </cell>
          <cell r="K301" t="str">
            <v>Thé vert au riz grillé &amp; Matcha</v>
          </cell>
          <cell r="L301" t="str">
            <v>Thé vert d'origine</v>
          </cell>
          <cell r="M301" t="str">
            <v>Japon - Kagoshima</v>
          </cell>
          <cell r="N301" t="str">
            <v>AB</v>
          </cell>
          <cell r="O301" t="str">
            <v>/</v>
          </cell>
          <cell r="P301" t="str">
            <v>/</v>
          </cell>
          <cell r="Q301" t="str">
            <v>/</v>
          </cell>
          <cell r="R301" t="str">
            <v>/</v>
          </cell>
          <cell r="S301" t="str">
            <v>/</v>
          </cell>
          <cell r="T301" t="str">
            <v>Agriculture Japon</v>
          </cell>
          <cell r="U301"/>
          <cell r="V301" t="str">
            <v>Thé vert japonais de pénombre associé à du riz grillé (Genmai) enrobé de thé vert en poudre (Matcha). Couleur vert vif. Saveur délicieuse et harmonieuse, avec une agréable note grillée.</v>
          </cell>
          <cell r="W301" t="str">
            <v>S24</v>
          </cell>
          <cell r="X301" t="str">
            <v>Associé à du riz grillé (genmai) enrobé de thé vert en poudre (matcha), ce thé vert japonais de pénombre (kabuse), offre une palette de couleurs et saveurs d’une richesse propre aux grands genmaicha. Son caractère herbacé est accompagné d’agréables notes grillées. Une vraie gourmandise !</v>
          </cell>
          <cell r="Y301"/>
          <cell r="Z301" t="str">
            <v>Ingrédients : thé vert*, riz grillé*, matcha* 3%. *Issu de l'agriculture biologique.</v>
          </cell>
          <cell r="AA301" t="str">
            <v>/</v>
          </cell>
          <cell r="AB301" t="str">
            <v>/</v>
          </cell>
          <cell r="AC301">
            <v>50</v>
          </cell>
          <cell r="AD301" t="str">
            <v>40/15/30 sec</v>
          </cell>
          <cell r="AE301" t="str">
            <v>65-70</v>
          </cell>
          <cell r="AF301">
            <v>2</v>
          </cell>
          <cell r="AG301">
            <v>25</v>
          </cell>
          <cell r="AH301">
            <v>4031322000092</v>
          </cell>
          <cell r="AI301" t="str">
            <v>Plusieurs infusions</v>
          </cell>
          <cell r="AJ301" t="str">
            <v>/</v>
          </cell>
          <cell r="AK301" t="str">
            <v>/</v>
          </cell>
          <cell r="AL301" t="str">
            <v>/</v>
          </cell>
          <cell r="AM301" t="str">
            <v>Keiko</v>
          </cell>
        </row>
        <row r="302">
          <cell r="A302" t="str">
            <v>TJ1084</v>
          </cell>
          <cell r="B302"/>
          <cell r="C302"/>
          <cell r="D302"/>
          <cell r="E302"/>
          <cell r="F302"/>
          <cell r="G302"/>
          <cell r="H302" t="str">
            <v>KEIKO</v>
          </cell>
          <cell r="I302"/>
          <cell r="J302" t="str">
            <v>Kabuse Hojicha</v>
          </cell>
          <cell r="K302" t="str">
            <v>Thé vert de pénombre grillé</v>
          </cell>
          <cell r="L302" t="str">
            <v>Thé vert d'origine</v>
          </cell>
          <cell r="M302" t="str">
            <v>Japon - Kagoshima</v>
          </cell>
          <cell r="N302" t="str">
            <v>AB</v>
          </cell>
          <cell r="O302" t="str">
            <v>/</v>
          </cell>
          <cell r="P302" t="str">
            <v>/</v>
          </cell>
          <cell r="Q302" t="str">
            <v>/</v>
          </cell>
          <cell r="R302" t="str">
            <v>/</v>
          </cell>
          <cell r="S302" t="str">
            <v>/</v>
          </cell>
          <cell r="T302" t="str">
            <v>Agriculture Japon</v>
          </cell>
          <cell r="U302"/>
          <cell r="V302" t="str">
            <v>Thé vert japonais de pénombre torréfié avec un arôme élégant et frais de grillé. Couleur ambrée avec peu de théine. Cette spécialité légèrement stimulante accompagne souvent, chaude ou froide, les repas.</v>
          </cell>
          <cell r="W302" t="str">
            <v>S24</v>
          </cell>
          <cell r="X302" t="str">
            <v>Ce hojicha original a la particularité d’être le fruit de la torréfaction d’un thé vert japonais de pénombre. Son infusion couleur ambrée délivre des arômes de pains grillés typiques qui font de cette spécialité une boisson idéale pour accompagner un repas. Peut se déguster chaud ou froid.</v>
          </cell>
          <cell r="Y302"/>
          <cell r="Z302" t="str">
            <v>Ingrédient : thé vert*. *Issu de l'agriculture biologique.</v>
          </cell>
          <cell r="AA302" t="str">
            <v>/</v>
          </cell>
          <cell r="AB302" t="str">
            <v>/</v>
          </cell>
          <cell r="AC302">
            <v>50</v>
          </cell>
          <cell r="AD302" t="str">
            <v>30/15/30 sec</v>
          </cell>
          <cell r="AE302" t="str">
            <v>75-80</v>
          </cell>
          <cell r="AF302">
            <v>2</v>
          </cell>
          <cell r="AG302">
            <v>25</v>
          </cell>
          <cell r="AH302">
            <v>4031322000177</v>
          </cell>
          <cell r="AI302" t="str">
            <v>Plusieurs infusions</v>
          </cell>
          <cell r="AJ302" t="str">
            <v>/</v>
          </cell>
          <cell r="AK302" t="str">
            <v>/</v>
          </cell>
          <cell r="AL302" t="str">
            <v>/</v>
          </cell>
          <cell r="AM302" t="str">
            <v>Keiko</v>
          </cell>
        </row>
        <row r="303">
          <cell r="A303" t="str">
            <v>IF306</v>
          </cell>
          <cell r="B303"/>
          <cell r="C303"/>
          <cell r="D303"/>
          <cell r="E303"/>
          <cell r="F303"/>
          <cell r="G303"/>
          <cell r="H303" t="str">
            <v>KEIKO</v>
          </cell>
          <cell r="I303"/>
          <cell r="J303" t="str">
            <v>Kabuse Konacha</v>
          </cell>
          <cell r="K303" t="str">
            <v>Thé vert de pénombre</v>
          </cell>
          <cell r="L303" t="str">
            <v>Thé vert d'origine</v>
          </cell>
          <cell r="M303" t="str">
            <v>Japon - Kagoshima</v>
          </cell>
          <cell r="N303" t="str">
            <v>AB</v>
          </cell>
          <cell r="O303" t="str">
            <v>/</v>
          </cell>
          <cell r="P303" t="str">
            <v>/</v>
          </cell>
          <cell r="Q303" t="str">
            <v>/</v>
          </cell>
          <cell r="R303" t="str">
            <v>/</v>
          </cell>
          <cell r="S303" t="str">
            <v>/</v>
          </cell>
          <cell r="T303" t="str">
            <v>Agriculture Japon</v>
          </cell>
          <cell r="U303"/>
          <cell r="V303" t="str">
            <v>Thé vert japonais de pénombre, frais et agréable, issu des parties les plus petites des feuilles de la 1ère et 2nde récolte. Conditionnement unitaire pour garder l'arôme intact. Pour un arôme complet, utiliser également la fine poussière de thé contenue dans le grand sachet !</v>
          </cell>
          <cell r="W303" t="str">
            <v>S24</v>
          </cell>
          <cell r="X303" t="str">
            <v xml:space="preserve">Ce thé vert japonais de pénombre, frais et agréable a la particularité d’être issu des parties les plus petites des feuilles des premières et deuxièmes récoltes de l’année. Le conditionnement unitaire des infusions permet de conserver les arômes subtils de ce précieux thé japonais intacts. </v>
          </cell>
          <cell r="Y303"/>
          <cell r="Z303" t="str">
            <v>Ingrédient : thé vert*. *Issu de l'agriculture biologique.</v>
          </cell>
          <cell r="AA303" t="str">
            <v>/</v>
          </cell>
          <cell r="AB303" t="str">
            <v>/</v>
          </cell>
          <cell r="AC303">
            <v>20</v>
          </cell>
          <cell r="AD303" t="str">
            <v>60-90/15/30 sec</v>
          </cell>
          <cell r="AE303" t="str">
            <v>70-75</v>
          </cell>
          <cell r="AF303">
            <v>2</v>
          </cell>
          <cell r="AG303">
            <v>10</v>
          </cell>
          <cell r="AH303">
            <v>4031322000108</v>
          </cell>
          <cell r="AI303" t="str">
            <v>/</v>
          </cell>
          <cell r="AJ303" t="str">
            <v>/</v>
          </cell>
          <cell r="AK303" t="str">
            <v>/</v>
          </cell>
          <cell r="AL303" t="str">
            <v>/</v>
          </cell>
          <cell r="AM303" t="str">
            <v>Keiko</v>
          </cell>
        </row>
        <row r="304">
          <cell r="A304" t="str">
            <v>TJ1074</v>
          </cell>
          <cell r="B304"/>
          <cell r="C304"/>
          <cell r="D304"/>
          <cell r="E304"/>
          <cell r="F304"/>
          <cell r="G304"/>
          <cell r="H304" t="str">
            <v>KEIKO</v>
          </cell>
          <cell r="I304"/>
          <cell r="J304" t="str">
            <v>Kabuse Kukicha</v>
          </cell>
          <cell r="K304" t="str">
            <v>Thé vert de pénombre</v>
          </cell>
          <cell r="L304" t="str">
            <v>Thé vert d'origine</v>
          </cell>
          <cell r="M304" t="str">
            <v>Japon - Kagoshima</v>
          </cell>
          <cell r="N304" t="str">
            <v>AB</v>
          </cell>
          <cell r="O304" t="str">
            <v>/</v>
          </cell>
          <cell r="P304" t="str">
            <v>/</v>
          </cell>
          <cell r="Q304" t="str">
            <v>/</v>
          </cell>
          <cell r="R304" t="str">
            <v>/</v>
          </cell>
          <cell r="S304" t="str">
            <v>/</v>
          </cell>
          <cell r="T304" t="str">
            <v>Agriculture Japon</v>
          </cell>
          <cell r="U304"/>
          <cell r="V304" t="str">
            <v>Thé vert japonais avec des fines tiges. Arôme doux et délicat. Saveur légèrement grillée sans amertume. Parfum élégant. Couleur vert doré. Très faible teneur en théine.</v>
          </cell>
          <cell r="W304" t="str">
            <v>S24</v>
          </cell>
          <cell r="X304" t="str">
            <v xml:space="preserve">Ce Kukicha a la particularité d’être composé de brindilles de théiers qui ont été ombrés. Les amateurs l’apprécient pour son infusion très douce et délicate aux saveurs légèrement grillées. Sa légèreté et son absence d’amertume en font une excellente boisson de tous les jours. </v>
          </cell>
          <cell r="Y304"/>
          <cell r="Z304" t="str">
            <v>Ingrédient : thé vert*. *Issu de l'agriculture biologique.</v>
          </cell>
          <cell r="AA304" t="str">
            <v>/</v>
          </cell>
          <cell r="AB304" t="str">
            <v>/</v>
          </cell>
          <cell r="AC304">
            <v>50</v>
          </cell>
          <cell r="AD304" t="str">
            <v>40/15/30 sec</v>
          </cell>
          <cell r="AE304" t="str">
            <v>65-70</v>
          </cell>
          <cell r="AF304">
            <v>2</v>
          </cell>
          <cell r="AG304">
            <v>25</v>
          </cell>
          <cell r="AH304">
            <v>4031322000184</v>
          </cell>
          <cell r="AI304" t="str">
            <v>Plusieurs infusions</v>
          </cell>
          <cell r="AJ304" t="str">
            <v>/</v>
          </cell>
          <cell r="AK304" t="str">
            <v>/</v>
          </cell>
          <cell r="AL304" t="str">
            <v>/</v>
          </cell>
          <cell r="AM304" t="str">
            <v>Keiko</v>
          </cell>
        </row>
        <row r="305">
          <cell r="A305" t="str">
            <v>TJ1014</v>
          </cell>
          <cell r="B305"/>
          <cell r="C305"/>
          <cell r="D305"/>
          <cell r="E305"/>
          <cell r="F305"/>
          <cell r="G305"/>
          <cell r="H305" t="str">
            <v>KEIKO</v>
          </cell>
          <cell r="I305"/>
          <cell r="J305" t="str">
            <v>Kabuse No.1</v>
          </cell>
          <cell r="K305" t="str">
            <v>Thé vert de pénombre</v>
          </cell>
          <cell r="L305" t="str">
            <v>Thé vert d'origine</v>
          </cell>
          <cell r="M305" t="str">
            <v>Japon - Kagoshima</v>
          </cell>
          <cell r="N305" t="str">
            <v>AB</v>
          </cell>
          <cell r="O305" t="str">
            <v>/</v>
          </cell>
          <cell r="P305" t="str">
            <v>/</v>
          </cell>
          <cell r="Q305" t="str">
            <v>/</v>
          </cell>
          <cell r="R305" t="str">
            <v>/</v>
          </cell>
          <cell r="S305" t="str">
            <v>/</v>
          </cell>
          <cell r="T305" t="str">
            <v>Agriculture Japon</v>
          </cell>
          <cell r="U305"/>
          <cell r="V305" t="str">
            <v>Thé vert japonais de pénombre issu de la 1ère récolte principale. Arôme puissant et vif. Infusion d'un vert lumineux, délicatement parfumée et pleine en bouche.</v>
          </cell>
          <cell r="W305" t="str">
            <v>S24</v>
          </cell>
          <cell r="X305" t="str">
            <v>Ce thé vert japonais de pénombre issu d’une récolte printanière au Japon est particulièrement vif et aromatique. Il offre une tasse d'un vert lumineux, délicatement parfumée et d’une belle plénitude en bouche.</v>
          </cell>
          <cell r="Y305"/>
          <cell r="Z305" t="str">
            <v>Ingrédient : thé vert*. *Issu de l'agriculture biologique.</v>
          </cell>
          <cell r="AA305" t="str">
            <v>/</v>
          </cell>
          <cell r="AB305" t="str">
            <v>/</v>
          </cell>
          <cell r="AC305">
            <v>50</v>
          </cell>
          <cell r="AD305" t="str">
            <v>60/15/30 sec</v>
          </cell>
          <cell r="AE305" t="str">
            <v>60-65</v>
          </cell>
          <cell r="AF305">
            <v>2</v>
          </cell>
          <cell r="AG305">
            <v>25</v>
          </cell>
          <cell r="AH305">
            <v>4031322000030</v>
          </cell>
          <cell r="AI305" t="str">
            <v>Plusieurs infusions</v>
          </cell>
          <cell r="AJ305" t="str">
            <v>/</v>
          </cell>
          <cell r="AK305" t="str">
            <v>/</v>
          </cell>
          <cell r="AL305" t="str">
            <v>/</v>
          </cell>
          <cell r="AM305" t="str">
            <v>Keiko</v>
          </cell>
        </row>
        <row r="306">
          <cell r="A306" t="str">
            <v>TJ1024</v>
          </cell>
          <cell r="B306"/>
          <cell r="C306"/>
          <cell r="D306"/>
          <cell r="E306"/>
          <cell r="F306"/>
          <cell r="G306"/>
          <cell r="H306" t="str">
            <v>KEIKO</v>
          </cell>
          <cell r="I306"/>
          <cell r="J306" t="str">
            <v>Kabuse No.2</v>
          </cell>
          <cell r="K306" t="str">
            <v>Thé vert de pénombre</v>
          </cell>
          <cell r="L306" t="str">
            <v>Thé vert d'origine</v>
          </cell>
          <cell r="M306" t="str">
            <v>Japon - Kagoshima</v>
          </cell>
          <cell r="N306" t="str">
            <v>AB</v>
          </cell>
          <cell r="O306" t="str">
            <v>/</v>
          </cell>
          <cell r="P306" t="str">
            <v>/</v>
          </cell>
          <cell r="Q306" t="str">
            <v>/</v>
          </cell>
          <cell r="R306" t="str">
            <v>/</v>
          </cell>
          <cell r="S306" t="str">
            <v>/</v>
          </cell>
          <cell r="T306" t="str">
            <v>Agriculture Japon</v>
          </cell>
          <cell r="U306"/>
          <cell r="V306" t="str">
            <v>Thé vert japonais de pénombre issu de la 2nde récolte. Kabusecha vif et stimulant aux fines notes acidulées. Infusion d'un vert tendre au parfum frais et délicat.</v>
          </cell>
          <cell r="W306" t="str">
            <v>S24</v>
          </cell>
          <cell r="X306" t="str">
            <v>Ce thé vert japonais de pénombre, fruit d’une récole estivale, délivre une liqueur couleur vert tendre aux parfums frais et délicats et aux saveurs pleines et généreuses dont on apprécie particulièrement les fines notes acidulées.</v>
          </cell>
          <cell r="Y306"/>
          <cell r="Z306" t="str">
            <v>Ingrédient : thé vert*. *Issu de l'agriculture biologique.</v>
          </cell>
          <cell r="AA306" t="str">
            <v>/</v>
          </cell>
          <cell r="AB306" t="str">
            <v>/</v>
          </cell>
          <cell r="AC306">
            <v>50</v>
          </cell>
          <cell r="AD306" t="str">
            <v>60/15/30 sec</v>
          </cell>
          <cell r="AE306" t="str">
            <v>65-70</v>
          </cell>
          <cell r="AF306">
            <v>2</v>
          </cell>
          <cell r="AG306">
            <v>25</v>
          </cell>
          <cell r="AH306">
            <v>4031322000047</v>
          </cell>
          <cell r="AI306" t="str">
            <v>Plusieurs infusions</v>
          </cell>
          <cell r="AJ306" t="str">
            <v>/</v>
          </cell>
          <cell r="AK306" t="str">
            <v>/</v>
          </cell>
          <cell r="AL306" t="str">
            <v>/</v>
          </cell>
          <cell r="AM306" t="str">
            <v>Keiko</v>
          </cell>
        </row>
        <row r="307">
          <cell r="A307" t="str">
            <v>TJ1004</v>
          </cell>
          <cell r="B307"/>
          <cell r="C307"/>
          <cell r="D307"/>
          <cell r="E307"/>
          <cell r="F307"/>
          <cell r="G307"/>
          <cell r="H307" t="str">
            <v>KEIKO</v>
          </cell>
          <cell r="I307"/>
          <cell r="J307" t="str">
            <v>Kabuse Soshun</v>
          </cell>
          <cell r="K307" t="str">
            <v>Thé vert de pénombre</v>
          </cell>
          <cell r="L307" t="str">
            <v>Thé vert d'origine</v>
          </cell>
          <cell r="M307" t="str">
            <v>Japon - Kagoshima</v>
          </cell>
          <cell r="N307" t="str">
            <v>AB</v>
          </cell>
          <cell r="O307" t="str">
            <v>/</v>
          </cell>
          <cell r="P307" t="str">
            <v>/</v>
          </cell>
          <cell r="Q307" t="str">
            <v>/</v>
          </cell>
          <cell r="R307" t="str">
            <v>/</v>
          </cell>
          <cell r="S307" t="str">
            <v>/</v>
          </cell>
          <cell r="T307" t="str">
            <v>Agriculture Japon</v>
          </cell>
          <cell r="U307"/>
          <cell r="V307" t="str">
            <v>Thé vert japonais de pénombre. 1ère récolte. Couleur d'un vert lumineux au parfum riche en nuances. Saveur exceptionnellement veloutée et ffruitée. Goût harmonieux parfaitement sucré.</v>
          </cell>
          <cell r="W307" t="str">
            <v>S24</v>
          </cell>
          <cell r="X307" t="str">
            <v>La liqueur d'un vert lumineux de ce thé vert ombré issu d’une récolte printanière est particulièrement riche en nuances. Elle imprègne le palais de ses saveurs harmonieuses, exceptionnellement veloutées et fruitées, et d’une belle longueur en bouche.</v>
          </cell>
          <cell r="Y307"/>
          <cell r="Z307" t="str">
            <v>Ingrédient : thé vert*. *Issu de l'agriculture biologique.</v>
          </cell>
          <cell r="AA307" t="str">
            <v>/</v>
          </cell>
          <cell r="AB307" t="str">
            <v>/</v>
          </cell>
          <cell r="AC307">
            <v>50</v>
          </cell>
          <cell r="AD307" t="str">
            <v>60/15/30 sec</v>
          </cell>
          <cell r="AE307" t="str">
            <v>60-65</v>
          </cell>
          <cell r="AF307">
            <v>2</v>
          </cell>
          <cell r="AG307">
            <v>25</v>
          </cell>
          <cell r="AH307">
            <v>4031322000016</v>
          </cell>
          <cell r="AI307" t="str">
            <v>Plusieurs infusions</v>
          </cell>
          <cell r="AJ307" t="str">
            <v>/</v>
          </cell>
          <cell r="AK307" t="str">
            <v>/</v>
          </cell>
          <cell r="AL307" t="str">
            <v>/</v>
          </cell>
          <cell r="AM307" t="str">
            <v>Keiko</v>
          </cell>
        </row>
        <row r="308">
          <cell r="A308" t="str">
            <v>TJ1054</v>
          </cell>
          <cell r="B308"/>
          <cell r="C308"/>
          <cell r="D308"/>
          <cell r="E308"/>
          <cell r="F308"/>
          <cell r="G308"/>
          <cell r="H308" t="str">
            <v>KEIKO</v>
          </cell>
          <cell r="I308"/>
          <cell r="J308" t="str">
            <v>Kabuse Tenbu Fuka</v>
          </cell>
          <cell r="K308" t="str">
            <v>Thé vert de pénombre</v>
          </cell>
          <cell r="L308" t="str">
            <v>Thé vert d'origine</v>
          </cell>
          <cell r="M308" t="str">
            <v>Japon - Kagoshima</v>
          </cell>
          <cell r="N308" t="str">
            <v>AB</v>
          </cell>
          <cell r="O308" t="str">
            <v>/</v>
          </cell>
          <cell r="P308" t="str">
            <v>/</v>
          </cell>
          <cell r="Q308" t="str">
            <v>/</v>
          </cell>
          <cell r="R308" t="str">
            <v>/</v>
          </cell>
          <cell r="S308" t="str">
            <v>/</v>
          </cell>
          <cell r="T308" t="str">
            <v>Agriculture Japon</v>
          </cell>
          <cell r="U308"/>
          <cell r="V308" t="str">
            <v>Thé vert japonais de pénombre. 1ère récolte des plus jeunes feuilles. Ce thé subit un étuvage particulièrement intense. Avec un arôme remarquablement intense, fruité-sucré et persistant. Infusion d'un vert profond.</v>
          </cell>
          <cell r="W308" t="str">
            <v>S24</v>
          </cell>
          <cell r="X308" t="str">
            <v xml:space="preserve">Ce thé vert ombré de printemps a subi un étuvage de type fukamushi plus long qu’à l’accoutumée. Son infusion agréablement veloutée et d’un vert profond délivre des arômes remarquablement fruités et sucrés d’une belle persistance en bouche. </v>
          </cell>
          <cell r="Y308"/>
          <cell r="Z308" t="str">
            <v>Ingrédient : thé vert*. *Issu de l'agriculture biologique.</v>
          </cell>
          <cell r="AA308" t="str">
            <v>/</v>
          </cell>
          <cell r="AB308" t="str">
            <v>/</v>
          </cell>
          <cell r="AC308">
            <v>50</v>
          </cell>
          <cell r="AD308" t="str">
            <v>60/15/15/30 sec</v>
          </cell>
          <cell r="AE308" t="str">
            <v>60-65</v>
          </cell>
          <cell r="AF308">
            <v>2</v>
          </cell>
          <cell r="AG308">
            <v>25</v>
          </cell>
          <cell r="AH308">
            <v>4031322000153</v>
          </cell>
          <cell r="AI308" t="str">
            <v>Plusieurs infusions</v>
          </cell>
          <cell r="AJ308" t="str">
            <v>/</v>
          </cell>
          <cell r="AK308" t="str">
            <v>/</v>
          </cell>
          <cell r="AL308" t="str">
            <v>/</v>
          </cell>
          <cell r="AM308" t="str">
            <v>Keiko</v>
          </cell>
        </row>
        <row r="309">
          <cell r="A309" t="str">
            <v>TJ1044</v>
          </cell>
          <cell r="B309"/>
          <cell r="C309"/>
          <cell r="D309"/>
          <cell r="E309"/>
          <cell r="F309"/>
          <cell r="G309"/>
          <cell r="H309" t="str">
            <v>KEIKO</v>
          </cell>
          <cell r="I309"/>
          <cell r="J309" t="str">
            <v>Kabuse Tenko</v>
          </cell>
          <cell r="K309" t="str">
            <v>Thé vert de pénombre</v>
          </cell>
          <cell r="L309" t="str">
            <v>Thé vert d'origine</v>
          </cell>
          <cell r="M309" t="str">
            <v>Japon - Kagoshima</v>
          </cell>
          <cell r="N309" t="str">
            <v>AB</v>
          </cell>
          <cell r="O309" t="str">
            <v>/</v>
          </cell>
          <cell r="P309" t="str">
            <v>/</v>
          </cell>
          <cell r="Q309" t="str">
            <v>/</v>
          </cell>
          <cell r="R309" t="str">
            <v>/</v>
          </cell>
          <cell r="S309" t="str">
            <v>/</v>
          </cell>
          <cell r="T309" t="str">
            <v>Agriculture Japon</v>
          </cell>
          <cell r="U309"/>
          <cell r="V309" t="str">
            <v>Thé vert japonais de pénombre issu d'une 1ère récolte. Parfum végétal et élégant. Arôme riche et frais. Infusion de couleur vert jade à la saveur fruitée, relevée d'une pointe de noisette.</v>
          </cell>
          <cell r="W309" t="str">
            <v>S24</v>
          </cell>
          <cell r="X309" t="str">
            <v>Ce thé vert japonais de pénombre est le fruit d'une récolte printanière, période pendant laquelle les feuilles de théiers sont les plus chargées en principes aromatiques. Son parfum végétal et frais se retrouve dans son infusion vert jade à la saveur fruitée, relevée d'une agréable pointe de noisette.</v>
          </cell>
          <cell r="Y309"/>
          <cell r="Z309" t="str">
            <v>Ingrédient : thé vert*. *Issu de l'agriculture biologique.</v>
          </cell>
          <cell r="AA309" t="str">
            <v>/</v>
          </cell>
          <cell r="AB309" t="str">
            <v>/</v>
          </cell>
          <cell r="AC309">
            <v>50</v>
          </cell>
          <cell r="AD309" t="str">
            <v>60/15/15/30 sec</v>
          </cell>
          <cell r="AE309" t="str">
            <v>60-65</v>
          </cell>
          <cell r="AF309">
            <v>2</v>
          </cell>
          <cell r="AG309">
            <v>25</v>
          </cell>
          <cell r="AH309">
            <v>4031322000023</v>
          </cell>
          <cell r="AI309" t="str">
            <v>Plusieurs infusions</v>
          </cell>
          <cell r="AJ309" t="str">
            <v>/</v>
          </cell>
          <cell r="AK309" t="str">
            <v>/</v>
          </cell>
          <cell r="AL309" t="str">
            <v>/</v>
          </cell>
          <cell r="AM309" t="str">
            <v>Keiko</v>
          </cell>
        </row>
        <row r="310">
          <cell r="A310" t="str">
            <v>TN4031</v>
          </cell>
          <cell r="B310"/>
          <cell r="C310"/>
          <cell r="D310"/>
          <cell r="E310"/>
          <cell r="F310"/>
          <cell r="G310"/>
          <cell r="H310" t="str">
            <v>LES GRANDS CLASSIQUES</v>
          </cell>
          <cell r="I310"/>
          <cell r="J310" t="str">
            <v xml:space="preserve">Keemun </v>
          </cell>
          <cell r="K310" t="str">
            <v>OP</v>
          </cell>
          <cell r="L310" t="str">
            <v>Thé noir d'origine</v>
          </cell>
          <cell r="M310" t="str">
            <v>Chine - Hubei</v>
          </cell>
          <cell r="N310" t="str">
            <v>AB</v>
          </cell>
          <cell r="O310" t="str">
            <v>WFTO</v>
          </cell>
          <cell r="P310" t="str">
            <v>/</v>
          </cell>
          <cell r="Q310" t="str">
            <v>/</v>
          </cell>
          <cell r="R310" t="str">
            <v>/</v>
          </cell>
          <cell r="S310" t="str">
            <v>/</v>
          </cell>
          <cell r="T310" t="str">
            <v>Agriculture Chine</v>
          </cell>
          <cell r="U310"/>
          <cell r="V310" t="str">
            <v>Excellente récolte de ce cru célèbre et populaire. Délicat et moelleux, ce thé à l’infusion rouge, au parfum subtil d’orchidée, légèrement sucré, procure une agréable sensation de bien-être. Pauvre en théine et tanin, il est idéal à tout moment.</v>
          </cell>
          <cell r="W310"/>
          <cell r="X310" t="str">
            <v>Cette excellente récolte de thé noir Keemun, très populaire en Chine pour sa gourmandise, offre une infusion longue en bouche, moelleuse et savoureuse. On apprécie son parfum subtil d’orchidée, légèrement sucré et ses saveurs profondes aux notes d’épices et de chocolat noir typiques.</v>
          </cell>
          <cell r="Y310"/>
          <cell r="Z310" t="str">
            <v>Ingrédient : thé noir*. *Issu de l'agriculture biologique.</v>
          </cell>
          <cell r="AA310" t="str">
            <v>/</v>
          </cell>
          <cell r="AB310" t="str">
            <v>Membre certifié World Fair Trade Organization, Les Jardins de Gaïa s’engagent pour un commerce plus juste et répondent aux exigences du commerce équitable. Pour en savoir plus : www.wfto.com.</v>
          </cell>
          <cell r="AC310">
            <v>1.5</v>
          </cell>
          <cell r="AD310" t="str">
            <v>3-4</v>
          </cell>
          <cell r="AE310">
            <v>95</v>
          </cell>
          <cell r="AF310">
            <v>2</v>
          </cell>
          <cell r="AG310">
            <v>750</v>
          </cell>
          <cell r="AH310">
            <v>3582810240311</v>
          </cell>
          <cell r="AI310" t="str">
            <v>/</v>
          </cell>
          <cell r="AJ310" t="str">
            <v>INTERNE</v>
          </cell>
          <cell r="AK310" t="str">
            <v>INTERNE</v>
          </cell>
          <cell r="AL310" t="str">
            <v>/</v>
          </cell>
          <cell r="AM310" t="str">
            <v>Xuan En Yisheng Tea Cooperative</v>
          </cell>
        </row>
        <row r="311">
          <cell r="A311" t="str">
            <v>TN4032</v>
          </cell>
          <cell r="B311"/>
          <cell r="C311" t="str">
            <v>X</v>
          </cell>
          <cell r="D311" t="str">
            <v>x</v>
          </cell>
          <cell r="E311" t="str">
            <v>x</v>
          </cell>
          <cell r="F311" t="str">
            <v>GRAI</v>
          </cell>
          <cell r="G311">
            <v>45383</v>
          </cell>
          <cell r="H311" t="str">
            <v>LES GRANDS CLASSIQUES</v>
          </cell>
          <cell r="I311"/>
          <cell r="J311" t="str">
            <v xml:space="preserve">Keemun </v>
          </cell>
          <cell r="K311" t="str">
            <v>OP</v>
          </cell>
          <cell r="L311" t="str">
            <v>Thé noir d'origine</v>
          </cell>
          <cell r="M311" t="str">
            <v>Chine - Hubei</v>
          </cell>
          <cell r="N311" t="str">
            <v>AB</v>
          </cell>
          <cell r="O311" t="str">
            <v>WFTO</v>
          </cell>
          <cell r="P311" t="str">
            <v>/</v>
          </cell>
          <cell r="Q311" t="str">
            <v>/</v>
          </cell>
          <cell r="R311" t="str">
            <v>/</v>
          </cell>
          <cell r="S311" t="str">
            <v>/</v>
          </cell>
          <cell r="T311" t="str">
            <v>Agriculture Chine</v>
          </cell>
          <cell r="U311"/>
          <cell r="V311" t="str">
            <v>Excellente récolte de ce cru célèbre et populaire. Délicat et moelleux, ce thé à l’infusion rouge, au parfum subtil d’orchidée, légèrement sucré, procure une agréable sensation de bien-être. Pauvre en théine et tanin, il est idéal à tout moment.</v>
          </cell>
          <cell r="W311"/>
          <cell r="X311" t="str">
            <v>Cette excellente récolte de thé noir Keemun, très populaire en Chine pour sa gourmandise, offre une infusion longue en bouche, moelleuse et savoureuse. On apprécie son parfum subtil d’orchidée, légèrement sucré et ses saveurs profondes aux notes d’épices et de chocolat noir typiques.</v>
          </cell>
          <cell r="Y311"/>
          <cell r="Z311" t="str">
            <v>Ingrédient : thé noir*. *Issu de l'agriculture biologique.</v>
          </cell>
          <cell r="AA311" t="str">
            <v>/</v>
          </cell>
          <cell r="AB311" t="str">
            <v>Membre certifié World Fair Trade Organization, Les Jardins de Gaïa s’engagent pour un commerce plus juste et répondent aux exigences du commerce équitable. Pour en savoir plus : www.wfto.com.</v>
          </cell>
          <cell r="AC311">
            <v>100</v>
          </cell>
          <cell r="AD311" t="str">
            <v>3-4</v>
          </cell>
          <cell r="AE311">
            <v>95</v>
          </cell>
          <cell r="AF311">
            <v>2</v>
          </cell>
          <cell r="AG311">
            <v>50</v>
          </cell>
          <cell r="AH311">
            <v>3582810240328</v>
          </cell>
          <cell r="AI311" t="str">
            <v>/</v>
          </cell>
          <cell r="AJ311" t="str">
            <v>ETNN403</v>
          </cell>
          <cell r="AK311" t="str">
            <v>ETNN403V5</v>
          </cell>
          <cell r="AL311" t="str">
            <v>ETCNN4032V5</v>
          </cell>
          <cell r="AM311" t="str">
            <v>Xuan En Yisheng Tea Cooperative</v>
          </cell>
        </row>
        <row r="312">
          <cell r="A312" t="str">
            <v>TN5201</v>
          </cell>
          <cell r="B312"/>
          <cell r="C312" t="str">
            <v>X</v>
          </cell>
          <cell r="D312"/>
          <cell r="E312"/>
          <cell r="F312"/>
          <cell r="G312"/>
          <cell r="H312" t="str">
            <v>LES GRANDS CLASSIQUES</v>
          </cell>
          <cell r="I312"/>
          <cell r="J312" t="str">
            <v>Kerala's wonder</v>
          </cell>
          <cell r="K312" t="str">
            <v>TGFOP</v>
          </cell>
          <cell r="L312" t="str">
            <v>Thé noir d'origine</v>
          </cell>
          <cell r="M312" t="str">
            <v>Inde - Kerala</v>
          </cell>
          <cell r="N312" t="str">
            <v>AB</v>
          </cell>
          <cell r="O312" t="str">
            <v>WFTO</v>
          </cell>
          <cell r="P312" t="str">
            <v>/</v>
          </cell>
          <cell r="Q312" t="str">
            <v>/</v>
          </cell>
          <cell r="R312" t="str">
            <v>/</v>
          </cell>
          <cell r="S312" t="str">
            <v>/</v>
          </cell>
          <cell r="T312" t="str">
            <v>Agriculture Inde</v>
          </cell>
          <cell r="U312"/>
          <cell r="V312" t="str">
            <v>Cultivée sur des terres traditionnellement dédiées aux épices, cette récolte issue de jardins de petits producteurs est enrichie par son terroir. Liqueur harmonieuse couleur châtaigne qui s’installe en bouche pour délivrer des arômes subtilement relevés, évoquant le gingembre et le poivre doux. Une très belle réussite à savourer !</v>
          </cell>
          <cell r="W312" t="str">
            <v>S14</v>
          </cell>
          <cell r="X312" t="str">
            <v>Cultivé sur des terres traditionnellement dédiées aux épices, ce thé noir issu de jardins de petits producteurs est une belle réussite. Sa liqueur souple couleur châtaigne aux notes de gingembre et de poivre doux reflète agréablement la grande richesse de son terroir.</v>
          </cell>
          <cell r="Y312"/>
          <cell r="Z312" t="str">
            <v>Ingrédient : thé noir*. *Issu de l'agriculture biologique.</v>
          </cell>
          <cell r="AA312" t="str">
            <v>/</v>
          </cell>
          <cell r="AB312" t="str">
            <v>Membre certifié World Fair Trade Organization, Les Jardins de Gaïa s’engagent pour un commerce plus juste et répondent aux exigences du commerce équitable. Pour en savoir plus : www.wfto.com.</v>
          </cell>
          <cell r="AC312">
            <v>1.5</v>
          </cell>
          <cell r="AD312" t="str">
            <v>3</v>
          </cell>
          <cell r="AE312">
            <v>95</v>
          </cell>
          <cell r="AF312">
            <v>2</v>
          </cell>
          <cell r="AG312">
            <v>750</v>
          </cell>
          <cell r="AH312">
            <v>3582810252017</v>
          </cell>
          <cell r="AI312" t="str">
            <v>/</v>
          </cell>
          <cell r="AJ312" t="str">
            <v>INTERNE</v>
          </cell>
          <cell r="AK312" t="str">
            <v>INTERNE</v>
          </cell>
          <cell r="AL312" t="str">
            <v>/</v>
          </cell>
          <cell r="AM312" t="str">
            <v>The Sahyadri Organic Tea Farmers Consortium</v>
          </cell>
        </row>
        <row r="313">
          <cell r="A313" t="str">
            <v>TN5202</v>
          </cell>
          <cell r="B313"/>
          <cell r="C313" t="str">
            <v>X</v>
          </cell>
          <cell r="D313" t="str">
            <v>X</v>
          </cell>
          <cell r="E313" t="str">
            <v>X</v>
          </cell>
          <cell r="F313" t="str">
            <v>BRODART</v>
          </cell>
          <cell r="G313"/>
          <cell r="H313" t="str">
            <v>LES GRANDS CLASSIQUES</v>
          </cell>
          <cell r="I313"/>
          <cell r="J313" t="str">
            <v>Kerala's wonder</v>
          </cell>
          <cell r="K313" t="str">
            <v>TGFOP</v>
          </cell>
          <cell r="L313" t="str">
            <v>Thé noir d'origine</v>
          </cell>
          <cell r="M313" t="str">
            <v>Inde - Kerala</v>
          </cell>
          <cell r="N313" t="str">
            <v>AB</v>
          </cell>
          <cell r="O313" t="str">
            <v>WFTO</v>
          </cell>
          <cell r="P313" t="str">
            <v>/</v>
          </cell>
          <cell r="Q313" t="str">
            <v>/</v>
          </cell>
          <cell r="R313" t="str">
            <v>/</v>
          </cell>
          <cell r="S313" t="str">
            <v>/</v>
          </cell>
          <cell r="T313" t="str">
            <v>Agriculture Inde</v>
          </cell>
          <cell r="U313"/>
          <cell r="V313" t="str">
            <v>Cultivée sur des terres traditionnellement dédiées aux épices, cette récolte issue de jardins de petits producteurs est enrichie par son terroir. Liqueur harmonieuse couleur châtaigne qui s’installe en bouche pour délivrer des arômes subtilement relevés, évoquant le gingembre et le poivre doux. Une très belle réussite à savourer !</v>
          </cell>
          <cell r="W313" t="str">
            <v>S14</v>
          </cell>
          <cell r="X313" t="str">
            <v>Cultivé sur des terres traditionnellement dédiées aux épices, ce thé noir issu de jardins de petits producteurs est une belle réussite. Sa liqueur souple couleur châtaigne aux notes de gingembre et de poivre doux reflète agréablement la grande richesse de son terroir.</v>
          </cell>
          <cell r="Y313"/>
          <cell r="Z313" t="str">
            <v>Ingrédient : thé noir*. *Issu de l'agriculture biologique.</v>
          </cell>
          <cell r="AA313" t="str">
            <v>/</v>
          </cell>
          <cell r="AB313" t="str">
            <v>Membre certifié World Fair Trade Organization, Les Jardins de Gaïa s’engagent pour un commerce plus juste et répondent aux exigences du commerce équitable. Pour en savoir plus : www.wfto.com.</v>
          </cell>
          <cell r="AC313">
            <v>100</v>
          </cell>
          <cell r="AD313" t="str">
            <v>3</v>
          </cell>
          <cell r="AE313">
            <v>95</v>
          </cell>
          <cell r="AF313">
            <v>2</v>
          </cell>
          <cell r="AG313">
            <v>50</v>
          </cell>
          <cell r="AH313">
            <v>3582810252024</v>
          </cell>
          <cell r="AI313" t="str">
            <v>/</v>
          </cell>
          <cell r="AJ313" t="str">
            <v>ETNN520</v>
          </cell>
          <cell r="AK313" t="str">
            <v>ETNN520V5</v>
          </cell>
          <cell r="AL313" t="str">
            <v>ETCNN5202V5</v>
          </cell>
          <cell r="AM313" t="str">
            <v>The Sahyadri Organic Tea Farmers Consortium</v>
          </cell>
        </row>
        <row r="314">
          <cell r="A314" t="str">
            <v>TJ2257</v>
          </cell>
          <cell r="B314"/>
          <cell r="C314"/>
          <cell r="D314"/>
          <cell r="E314"/>
          <cell r="F314"/>
          <cell r="G314"/>
          <cell r="H314" t="str">
            <v>LES GRANDS CLASSIQUES</v>
          </cell>
          <cell r="I314"/>
          <cell r="J314" t="str">
            <v>Kuki Hojicha</v>
          </cell>
          <cell r="K314" t="str">
            <v>Thé vert torréfié</v>
          </cell>
          <cell r="L314" t="str">
            <v>Thé vert d'origine</v>
          </cell>
          <cell r="M314" t="str">
            <v>Japon - Shizuoka</v>
          </cell>
          <cell r="N314" t="str">
            <v>AB</v>
          </cell>
          <cell r="O314" t="str">
            <v>/</v>
          </cell>
          <cell r="P314" t="str">
            <v>/</v>
          </cell>
          <cell r="Q314" t="str">
            <v>/</v>
          </cell>
          <cell r="R314" t="str">
            <v>/</v>
          </cell>
          <cell r="S314" t="str">
            <v>/</v>
          </cell>
          <cell r="T314" t="str">
            <v>Agriculture Japon</v>
          </cell>
          <cell r="U314"/>
          <cell r="V314" t="str">
            <v>Le kuki hojicha très populaire au Japon est un thé vert torréfié qui a la particularité d’être composé de brindilles et de tiges de feuilles. Les saveurs de pain grillé et de noisettes, accompagnées de notes végétales et fruitées qui font le charme de ce thé, s’apprécient particulièrement en accompagnement d’un repas.</v>
          </cell>
          <cell r="W314" t="str">
            <v>S14</v>
          </cell>
          <cell r="X314" t="str">
            <v>Très populaire au Japon, le kuki hojicha est un thé vert torréfié qui a la particularité d’être composé de brindilles et de tiges de feuilles. Ses saveurs de pain grillé et de noisettes, accompagnées de notes végétales et fruitées accompagnent à merveille un repas.</v>
          </cell>
          <cell r="Y314"/>
          <cell r="Z314" t="str">
            <v>Ingrédient : thé vert*. *Issu de l'agriculture biologique.</v>
          </cell>
          <cell r="AA314" t="str">
            <v>/</v>
          </cell>
          <cell r="AB314" t="str">
            <v>/</v>
          </cell>
          <cell r="AC314">
            <v>1</v>
          </cell>
          <cell r="AD314" t="str">
            <v>2-3</v>
          </cell>
          <cell r="AE314">
            <v>80</v>
          </cell>
          <cell r="AF314">
            <v>2</v>
          </cell>
          <cell r="AG314">
            <v>500</v>
          </cell>
          <cell r="AH314">
            <v>3582810322574</v>
          </cell>
          <cell r="AI314" t="str">
            <v>Plusieurs infusions</v>
          </cell>
          <cell r="AJ314" t="str">
            <v>INTERNE</v>
          </cell>
          <cell r="AK314" t="str">
            <v>INTERNE</v>
          </cell>
          <cell r="AL314" t="str">
            <v>/</v>
          </cell>
          <cell r="AM314" t="str">
            <v>Japon - Kagoshima</v>
          </cell>
        </row>
        <row r="315">
          <cell r="A315" t="str">
            <v>TJ2252</v>
          </cell>
          <cell r="B315"/>
          <cell r="C315" t="str">
            <v>X</v>
          </cell>
          <cell r="D315" t="str">
            <v>X</v>
          </cell>
          <cell r="E315" t="str">
            <v>X</v>
          </cell>
          <cell r="F315" t="str">
            <v>BRODART</v>
          </cell>
          <cell r="G315"/>
          <cell r="H315" t="str">
            <v>LES GRANDS CLASSIQUES</v>
          </cell>
          <cell r="I315"/>
          <cell r="J315" t="str">
            <v>Kuki Hojicha</v>
          </cell>
          <cell r="K315" t="str">
            <v>Thé vert torréfié</v>
          </cell>
          <cell r="L315" t="str">
            <v>Thé vert d'origine</v>
          </cell>
          <cell r="M315" t="str">
            <v>Japon - Shizuoka</v>
          </cell>
          <cell r="N315" t="str">
            <v>AB</v>
          </cell>
          <cell r="O315" t="str">
            <v>/</v>
          </cell>
          <cell r="P315" t="str">
            <v>/</v>
          </cell>
          <cell r="Q315" t="str">
            <v>/</v>
          </cell>
          <cell r="R315" t="str">
            <v>/</v>
          </cell>
          <cell r="S315" t="str">
            <v>/</v>
          </cell>
          <cell r="T315" t="str">
            <v>Agriculture Japon</v>
          </cell>
          <cell r="U315"/>
          <cell r="V315" t="str">
            <v>Le kuki hojicha très populaire au Japon est un thé vert torréfié qui a la particularité d’être composé de brindilles et de tiges de feuilles. Les saveurs de pain grillé et de noisettes, accompagnées de notes végétales et fruitées qui font le charme de ce thé, s’apprécient particulièrement en accompagnement d’un repas.</v>
          </cell>
          <cell r="W315" t="str">
            <v>S14</v>
          </cell>
          <cell r="X315" t="str">
            <v>Très populaire au Japon, le kuki hojicha est un thé vert torréfié qui a la particularité d’être composé de brindilles et de tiges de feuilles. Ses saveurs de pain grillé et de noisettes, accompagnées de notes végétales et fruitées accompagnent à merveille un repas.</v>
          </cell>
          <cell r="Y315"/>
          <cell r="Z315" t="str">
            <v>Ingrédient : thé vert*. *Issu de l'agriculture biologique.</v>
          </cell>
          <cell r="AA315" t="str">
            <v>/</v>
          </cell>
          <cell r="AB315" t="str">
            <v>/</v>
          </cell>
          <cell r="AC315">
            <v>80</v>
          </cell>
          <cell r="AD315" t="str">
            <v>2-3</v>
          </cell>
          <cell r="AE315">
            <v>80</v>
          </cell>
          <cell r="AF315">
            <v>2</v>
          </cell>
          <cell r="AG315">
            <v>40</v>
          </cell>
          <cell r="AH315">
            <v>3582810322529</v>
          </cell>
          <cell r="AI315" t="str">
            <v>Plusieurs infusions</v>
          </cell>
          <cell r="AJ315" t="str">
            <v>ETVJ225V5</v>
          </cell>
          <cell r="AK315" t="str">
            <v>ETVJ225V5</v>
          </cell>
          <cell r="AL315" t="str">
            <v>ETCVN2252V5</v>
          </cell>
          <cell r="AM315" t="str">
            <v>Japon - Kagoshima</v>
          </cell>
        </row>
        <row r="316">
          <cell r="A316" t="str">
            <v>TV1271</v>
          </cell>
          <cell r="B316"/>
          <cell r="C316" t="str">
            <v>X</v>
          </cell>
          <cell r="D316"/>
          <cell r="E316"/>
          <cell r="F316"/>
          <cell r="G316"/>
          <cell r="H316" t="str">
            <v>LES GRANDS CLASSIQUES</v>
          </cell>
          <cell r="I316"/>
          <cell r="J316" t="str">
            <v>Kukicha Sud-Coréen</v>
          </cell>
          <cell r="K316" t="str">
            <v>/</v>
          </cell>
          <cell r="L316" t="str">
            <v>Thé vert d'origine</v>
          </cell>
          <cell r="M316" t="str">
            <v>Corée du Sud - Jeju-do</v>
          </cell>
          <cell r="N316" t="str">
            <v>AB</v>
          </cell>
          <cell r="O316" t="str">
            <v>/</v>
          </cell>
          <cell r="P316" t="str">
            <v>/</v>
          </cell>
          <cell r="Q316" t="str">
            <v>/</v>
          </cell>
          <cell r="R316" t="str">
            <v>/</v>
          </cell>
          <cell r="S316" t="str">
            <v>/</v>
          </cell>
          <cell r="T316" t="str">
            <v>Agriculture Corée du Sud</v>
          </cell>
          <cell r="U316"/>
          <cell r="V316" t="str">
            <v>Cultivé et travaillé dans le respect des traditions japonaises, ce thé issu de l’île de Jeju marie fines feuilles et tiges soigneusement sélectionnées. Brillante, vert lumineux, sa tasse au parfum frais et herbacé s'équilibre en mêlant saveurs douces et rafraîchissantes. Délicieux et digeste, peu théiné, ce thé s'apprécie chaud ou glacé.</v>
          </cell>
          <cell r="W316" t="str">
            <v>S14</v>
          </cell>
          <cell r="X316" t="str">
            <v>Cultivé et travaillé dans le respect des traditions japonaises, ce thé vert sud-coréen issu de l’île de Jeju est composé de fines feuilles et de tiges soigneusement sélectionnées. Sa tasse lumineuse et équilibrée offre d’agréables saveurs minérales et herbacées à la fois douces et rafraîchissantes.</v>
          </cell>
          <cell r="Y316"/>
          <cell r="Z316" t="str">
            <v>Ingrédient : thé vert*. *Issu de l'agriculture biologique.</v>
          </cell>
          <cell r="AA316" t="str">
            <v>/</v>
          </cell>
          <cell r="AB316" t="str">
            <v>/</v>
          </cell>
          <cell r="AC316">
            <v>1.5</v>
          </cell>
          <cell r="AD316" t="str">
            <v>2-3</v>
          </cell>
          <cell r="AE316">
            <v>80</v>
          </cell>
          <cell r="AF316">
            <v>2</v>
          </cell>
          <cell r="AG316">
            <v>750</v>
          </cell>
          <cell r="AH316">
            <v>3582810312711</v>
          </cell>
          <cell r="AI316" t="str">
            <v>/</v>
          </cell>
          <cell r="AJ316" t="str">
            <v>INTERNE</v>
          </cell>
          <cell r="AK316" t="str">
            <v>INTERNE</v>
          </cell>
          <cell r="AL316" t="str">
            <v>/</v>
          </cell>
          <cell r="AM316" t="str">
            <v>Seogwang tea garden </v>
          </cell>
        </row>
        <row r="317">
          <cell r="A317" t="str">
            <v>TV1272</v>
          </cell>
          <cell r="B317"/>
          <cell r="C317" t="str">
            <v>X</v>
          </cell>
          <cell r="D317" t="str">
            <v>X</v>
          </cell>
          <cell r="E317" t="str">
            <v>X</v>
          </cell>
          <cell r="F317" t="str">
            <v>BRODART</v>
          </cell>
          <cell r="G317"/>
          <cell r="H317" t="str">
            <v>LES GRANDS CLASSIQUES</v>
          </cell>
          <cell r="I317"/>
          <cell r="J317" t="str">
            <v>Kukicha Sud-Coréen</v>
          </cell>
          <cell r="K317" t="str">
            <v>/</v>
          </cell>
          <cell r="L317" t="str">
            <v>Thé vert d'origine</v>
          </cell>
          <cell r="M317" t="str">
            <v>Corée du Sud - Jeju-do</v>
          </cell>
          <cell r="N317" t="str">
            <v>AB</v>
          </cell>
          <cell r="O317" t="str">
            <v>/</v>
          </cell>
          <cell r="P317" t="str">
            <v>/</v>
          </cell>
          <cell r="Q317" t="str">
            <v>/</v>
          </cell>
          <cell r="R317" t="str">
            <v>/</v>
          </cell>
          <cell r="S317" t="str">
            <v>/</v>
          </cell>
          <cell r="T317" t="str">
            <v>Agriculture Corée du Sud</v>
          </cell>
          <cell r="U317"/>
          <cell r="V317" t="str">
            <v>Cultivé et travaillé dans le respect des traditions japonaises, ce thé issu de l’île de Jeju marie fines feuilles et tiges soigneusement sélectionnées. Brillante, vert lumineux, sa tasse au parfum frais et herbacé s'équilibre en mêlant saveurs douces et rafraîchissantes. Délicieux et digeste, peu théiné, ce thé s'apprécie chaud ou glacé.</v>
          </cell>
          <cell r="W317" t="str">
            <v>S14</v>
          </cell>
          <cell r="X317" t="str">
            <v>Cultivé et travaillé dans le respect des traditions japonaises, ce thé vert sud-coréen issu de l’île de Jeju est composé de fines feuilles et de tiges soigneusement sélectionnées. Sa tasse lumineuse et équilibrée offre d’agréables saveurs minérales et herbacées à la fois douces et rafraîchissantes.</v>
          </cell>
          <cell r="Y317"/>
          <cell r="Z317" t="str">
            <v>Ingrédient : thé vert*. *Issu de l'agriculture biologique.</v>
          </cell>
          <cell r="AA317" t="str">
            <v>/</v>
          </cell>
          <cell r="AB317" t="str">
            <v>/</v>
          </cell>
          <cell r="AC317">
            <v>100</v>
          </cell>
          <cell r="AD317" t="str">
            <v>2-3</v>
          </cell>
          <cell r="AE317">
            <v>80</v>
          </cell>
          <cell r="AF317">
            <v>2</v>
          </cell>
          <cell r="AG317">
            <v>50</v>
          </cell>
          <cell r="AH317">
            <v>3582810312728</v>
          </cell>
          <cell r="AI317" t="str">
            <v>/</v>
          </cell>
          <cell r="AJ317" t="str">
            <v>ETVN127</v>
          </cell>
          <cell r="AK317" t="str">
            <v>ETVN127V5</v>
          </cell>
          <cell r="AL317" t="str">
            <v>ETCVN1272V5</v>
          </cell>
          <cell r="AM317" t="str">
            <v>Seogwang tea garden </v>
          </cell>
        </row>
        <row r="318">
          <cell r="A318" t="str">
            <v>TA6821</v>
          </cell>
          <cell r="B318"/>
          <cell r="C318"/>
          <cell r="D318"/>
          <cell r="E318"/>
          <cell r="F318"/>
          <cell r="G318"/>
          <cell r="H318" t="str">
            <v>LES GRANDS CLASSIQUES</v>
          </cell>
          <cell r="I318"/>
          <cell r="J318" t="str">
            <v>L’O à la bouche</v>
          </cell>
          <cell r="K318" t="str">
            <v>Orange</v>
          </cell>
          <cell r="L318" t="str">
            <v>Thé vert aromatisé</v>
          </cell>
          <cell r="M318" t="str">
            <v xml:space="preserve">Inde - Chine - Vietnam </v>
          </cell>
          <cell r="N318" t="str">
            <v>AB</v>
          </cell>
          <cell r="O318" t="str">
            <v>WFTO</v>
          </cell>
          <cell r="P318" t="str">
            <v>/</v>
          </cell>
          <cell r="Q318" t="str">
            <v>/</v>
          </cell>
          <cell r="R318" t="str">
            <v>/</v>
          </cell>
          <cell r="S318" t="str">
            <v>/</v>
          </cell>
          <cell r="T318" t="str">
            <v>Agriculture UE/non UE</v>
          </cell>
          <cell r="U318"/>
          <cell r="V318" t="str">
            <v>Sensuelle et fraîche, cette association d’un thé vert voluptueux à la saveur fruitée et pétillante de l’orange fera hérisser les papilles des amateurs. Délicieux en thé glacé.</v>
          </cell>
          <cell r="W318"/>
          <cell r="X318" t="str">
            <v>Mettez-vous l’eau à la bouche avec ce mariage délicieusement fruité d’un thé vert tout en fraîcheur et de notes d’orange sensuellement fruitées. Une expérience voluptueuse qui s’apprécie aussi bien dans une infusion chaude que glacée.</v>
          </cell>
          <cell r="Y318"/>
          <cell r="Z318" t="str">
            <v xml:space="preserve">Ingrédients : thé vert*, écorces d'orange* 4%, huiles essentielles de (orange douce*, orange sanguine*) 3%. *Issu de l'agriculture biologique. </v>
          </cell>
          <cell r="AA318" t="str">
            <v>/</v>
          </cell>
          <cell r="AB318" t="str">
            <v>Membre certifié World Fair Trade Organization, Les Jardins de Gaïa s’engagent pour un commerce plus juste et répondent aux exigences du commerce équitable. Pour en savoir plus : www.wfto.com.</v>
          </cell>
          <cell r="AC318">
            <v>1.5</v>
          </cell>
          <cell r="AD318" t="str">
            <v>3</v>
          </cell>
          <cell r="AE318">
            <v>75</v>
          </cell>
          <cell r="AF318">
            <v>2</v>
          </cell>
          <cell r="AG318">
            <v>750</v>
          </cell>
          <cell r="AH318">
            <v>3582810868218</v>
          </cell>
          <cell r="AI318" t="str">
            <v>/</v>
          </cell>
          <cell r="AJ318" t="str">
            <v>INTERNE</v>
          </cell>
          <cell r="AK318" t="str">
            <v>INTERNE</v>
          </cell>
          <cell r="AL318" t="str">
            <v>/</v>
          </cell>
          <cell r="AM318" t="str">
            <v>Création maison</v>
          </cell>
        </row>
        <row r="319">
          <cell r="A319" t="str">
            <v>TA6822</v>
          </cell>
          <cell r="B319"/>
          <cell r="C319" t="str">
            <v>X</v>
          </cell>
          <cell r="D319" t="str">
            <v>x</v>
          </cell>
          <cell r="E319" t="str">
            <v>x</v>
          </cell>
          <cell r="F319" t="str">
            <v>GRAI</v>
          </cell>
          <cell r="G319">
            <v>45383</v>
          </cell>
          <cell r="H319" t="str">
            <v>LES GRANDS CLASSIQUES</v>
          </cell>
          <cell r="I319"/>
          <cell r="J319" t="str">
            <v>L’O à la bouche</v>
          </cell>
          <cell r="K319" t="str">
            <v>Orange</v>
          </cell>
          <cell r="L319" t="str">
            <v>Thé vert aromatisé</v>
          </cell>
          <cell r="M319" t="str">
            <v>Inde - Chine - Vietnam</v>
          </cell>
          <cell r="N319" t="str">
            <v>AB</v>
          </cell>
          <cell r="O319" t="str">
            <v>WFTO</v>
          </cell>
          <cell r="P319" t="str">
            <v>/</v>
          </cell>
          <cell r="Q319" t="str">
            <v>/</v>
          </cell>
          <cell r="R319" t="str">
            <v>/</v>
          </cell>
          <cell r="S319" t="str">
            <v>/</v>
          </cell>
          <cell r="T319" t="str">
            <v>Agriculture UE/non UE</v>
          </cell>
          <cell r="U319"/>
          <cell r="V319" t="str">
            <v>Sensuelle et fraîche, cette association d’un thé vert voluptueux à la saveur fruitée et pétillante de l’orange fera hérisser les papilles des amateurs. Délicieux en thé glacé.</v>
          </cell>
          <cell r="W319"/>
          <cell r="X319" t="str">
            <v>Mettez-vous l’eau à la bouche avec ce mariage délicieusement fruité d’un thé vert tout en fraîcheur et de notes d’orange sensuellement fruitées. Une expérience voluptueuse qui s’apprécie aussi bien dans une infusion chaude que glacée.</v>
          </cell>
          <cell r="Y319"/>
          <cell r="Z319" t="str">
            <v xml:space="preserve">Ingrédients : thé vert*, écorces d'orange* 4%, huiles essentielles de (orange douce*, orange sanguine*) 3%. *Issu de l'agriculture biologique. </v>
          </cell>
          <cell r="AA319" t="str">
            <v>/</v>
          </cell>
          <cell r="AB319" t="str">
            <v>Membre certifié World Fair Trade Organization, Les Jardins de Gaïa s’engagent pour un commerce plus juste et répondent aux exigences du commerce équitable. Pour en savoir plus : www.wfto.com.</v>
          </cell>
          <cell r="AC319">
            <v>100</v>
          </cell>
          <cell r="AD319" t="str">
            <v>3</v>
          </cell>
          <cell r="AE319">
            <v>75</v>
          </cell>
          <cell r="AF319">
            <v>2</v>
          </cell>
          <cell r="AG319">
            <v>50</v>
          </cell>
          <cell r="AH319">
            <v>3582810868225</v>
          </cell>
          <cell r="AI319" t="str">
            <v>/</v>
          </cell>
          <cell r="AJ319" t="str">
            <v>ETVA682</v>
          </cell>
          <cell r="AK319" t="str">
            <v>ETVA682V5</v>
          </cell>
          <cell r="AL319" t="str">
            <v>ETCVA6822V5</v>
          </cell>
          <cell r="AM319" t="str">
            <v>Création maison</v>
          </cell>
        </row>
        <row r="320">
          <cell r="A320" t="str">
            <v>TA7111</v>
          </cell>
          <cell r="B320"/>
          <cell r="C320"/>
          <cell r="D320"/>
          <cell r="E320"/>
          <cell r="F320"/>
          <cell r="G320"/>
          <cell r="H320" t="str">
            <v>LES GRANDS CLASSIQUES</v>
          </cell>
          <cell r="I320"/>
          <cell r="J320" t="str">
            <v>L’Or du Temps</v>
          </cell>
          <cell r="K320" t="str">
            <v>Orange</v>
          </cell>
          <cell r="L320" t="str">
            <v>Thé noir aromatisé</v>
          </cell>
          <cell r="M320" t="str">
            <v>Vietnam  - Inde</v>
          </cell>
          <cell r="N320" t="str">
            <v>AB</v>
          </cell>
          <cell r="O320" t="str">
            <v>WFTO</v>
          </cell>
          <cell r="P320" t="str">
            <v>/</v>
          </cell>
          <cell r="Q320" t="str">
            <v>/</v>
          </cell>
          <cell r="R320" t="str">
            <v>/</v>
          </cell>
          <cell r="S320" t="str">
            <v>/</v>
          </cell>
          <cell r="T320" t="str">
            <v>Agriculture UE/non UE</v>
          </cell>
          <cell r="U320"/>
          <cell r="V320" t="str">
            <v>Odorante et ronde, sanguine ou douce. Ce mélange de thés noirs, associé à une sélection des meilleures essences d’orange, vous accompagnera parfaitement pour un instant de pause. À déguster selon l’envie…</v>
          </cell>
          <cell r="W320"/>
          <cell r="X320" t="str">
            <v>Cette recette à base d’une sélection de crus de thés noirs associe les saveurs profondes et taniques du thé aux notes lumineuses et fruitées des agrumes. Une recette voluptueuse qui invite à faire une pause et prendre le temps de savourer l’instant présent, le seul qui compte…</v>
          </cell>
          <cell r="Y320"/>
          <cell r="Z320" t="str">
            <v>Ingrédients : thé noir*, huiles essentielles de (orange douce*, orange sanguine*) 2%, écorces d'orange* 2%. *Issu de l'agriculture biologique.</v>
          </cell>
          <cell r="AA320" t="str">
            <v>/</v>
          </cell>
          <cell r="AB320" t="str">
            <v>Membre certifié World Fair Trade Organization, Les Jardins de Gaïa s’engagent pour un commerce plus juste et répondent aux exigences du commerce équitable. Pour en savoir plus : www.wfto.com.</v>
          </cell>
          <cell r="AC320">
            <v>1.5</v>
          </cell>
          <cell r="AD320" t="str">
            <v>3-4</v>
          </cell>
          <cell r="AE320">
            <v>90</v>
          </cell>
          <cell r="AF320">
            <v>2</v>
          </cell>
          <cell r="AG320">
            <v>750</v>
          </cell>
          <cell r="AH320">
            <v>3582810471111</v>
          </cell>
          <cell r="AI320" t="str">
            <v>/</v>
          </cell>
          <cell r="AJ320" t="str">
            <v>INTERNE</v>
          </cell>
          <cell r="AK320" t="str">
            <v>INTERNE</v>
          </cell>
          <cell r="AL320" t="str">
            <v>/</v>
          </cell>
          <cell r="AM320" t="str">
            <v>Création maison</v>
          </cell>
        </row>
        <row r="321">
          <cell r="A321" t="str">
            <v>TA7112</v>
          </cell>
          <cell r="B321"/>
          <cell r="C321" t="str">
            <v>X</v>
          </cell>
          <cell r="D321" t="str">
            <v>x</v>
          </cell>
          <cell r="E321" t="str">
            <v>x</v>
          </cell>
          <cell r="F321" t="str">
            <v>GRAI</v>
          </cell>
          <cell r="G321">
            <v>45383</v>
          </cell>
          <cell r="H321" t="str">
            <v>LES GRANDS CLASSIQUES</v>
          </cell>
          <cell r="I321"/>
          <cell r="J321" t="str">
            <v>L’Or du Temps</v>
          </cell>
          <cell r="K321" t="str">
            <v>Orange</v>
          </cell>
          <cell r="L321" t="str">
            <v>Thé noir aromatisé</v>
          </cell>
          <cell r="M321" t="str">
            <v>Vietnam  - Inde</v>
          </cell>
          <cell r="N321" t="str">
            <v>AB</v>
          </cell>
          <cell r="O321" t="str">
            <v>WFTO</v>
          </cell>
          <cell r="P321" t="str">
            <v>/</v>
          </cell>
          <cell r="Q321" t="str">
            <v>/</v>
          </cell>
          <cell r="R321" t="str">
            <v>/</v>
          </cell>
          <cell r="S321" t="str">
            <v>/</v>
          </cell>
          <cell r="T321" t="str">
            <v>Agriculture UE/non UE</v>
          </cell>
          <cell r="U321"/>
          <cell r="V321" t="str">
            <v>Odorante et ronde, sanguine ou douce. Ce mélange de thés noirs, associé à une sélection des meilleures essences d’orange, vous accompagnera parfaitement pour un instant de pause. À déguster selon l’envie…</v>
          </cell>
          <cell r="W321"/>
          <cell r="X321" t="str">
            <v>Cette recette à base d’une sélection de crus de thés noirs associe les saveurs profondes et taniques du thé aux notes lumineuses et fruitées des agrumes. Une recette voluptueuse qui invite à faire une pause et prendre le temps de savourer l’instant présent, le seul qui compte…</v>
          </cell>
          <cell r="Y321"/>
          <cell r="Z321" t="str">
            <v>Ingrédients : thé noir*, huiles essentielles de (orange douce*, orange sanguine*) 2%, écorces d'orange* 2%. *Issu de l'agriculture biologique.</v>
          </cell>
          <cell r="AA321" t="str">
            <v>/</v>
          </cell>
          <cell r="AB321" t="str">
            <v>Membre certifié World Fair Trade Organization, Les Jardins de Gaïa s’engagent pour un commerce plus juste et répondent aux exigences du commerce équitable. Pour en savoir plus : www.wfto.com.</v>
          </cell>
          <cell r="AC321">
            <v>100</v>
          </cell>
          <cell r="AD321" t="str">
            <v>3-4</v>
          </cell>
          <cell r="AE321">
            <v>90</v>
          </cell>
          <cell r="AF321">
            <v>2</v>
          </cell>
          <cell r="AG321">
            <v>50</v>
          </cell>
          <cell r="AH321">
            <v>3582810471128</v>
          </cell>
          <cell r="AI321" t="str">
            <v>/</v>
          </cell>
          <cell r="AJ321" t="str">
            <v>ETNA711</v>
          </cell>
          <cell r="AK321" t="str">
            <v>ETNA711V5</v>
          </cell>
          <cell r="AL321" t="str">
            <v>ETCNA7112V5</v>
          </cell>
          <cell r="AM321" t="str">
            <v>Ban Lien Organic Tea Association - Putharjhora - Blend indien (Seeyok, Singell Selimbong) - Assam</v>
          </cell>
        </row>
        <row r="322">
          <cell r="A322" t="str">
            <v>TA6121</v>
          </cell>
          <cell r="B322"/>
          <cell r="C322" t="str">
            <v>X</v>
          </cell>
          <cell r="D322"/>
          <cell r="E322"/>
          <cell r="F322"/>
          <cell r="G322"/>
          <cell r="H322" t="str">
            <v>LES GRANDS CLASSIQUES</v>
          </cell>
          <cell r="I322"/>
          <cell r="J322" t="str">
            <v>La balade du hérisson</v>
          </cell>
          <cell r="K322" t="str">
            <v>Noisette - Saveur Mûre</v>
          </cell>
          <cell r="L322" t="str">
            <v>Mélange de thés aromatisé</v>
          </cell>
          <cell r="M322" t="str">
            <v>Inde - Chine - Vietnam</v>
          </cell>
          <cell r="N322" t="str">
            <v>AB</v>
          </cell>
          <cell r="O322" t="str">
            <v>WFTO</v>
          </cell>
          <cell r="P322" t="str">
            <v>/</v>
          </cell>
          <cell r="Q322" t="str">
            <v>/</v>
          </cell>
          <cell r="R322" t="str">
            <v>/</v>
          </cell>
          <cell r="S322" t="str">
            <v>/</v>
          </cell>
          <cell r="T322" t="str">
            <v>Agriculture UE/non UE</v>
          </cell>
          <cell r="U322"/>
          <cell r="V322" t="str">
            <v>Cette balade évoque dès ses premiers accords aromatiques des contrées sauvages et gourmandes. La mûre et le coquelicot forment un couple harmonieux accompagné par des notes de noisette qui donnent toute son intensité à ce voyage gustatif. Un appel à l’éveil des sens auquel on ne peut rester indifférent…</v>
          </cell>
          <cell r="W322" t="str">
            <v>S14</v>
          </cell>
          <cell r="X322" t="str">
            <v>Cette recette à base de thé vert et de thé noir invite à une balade gustative dans les contrées sauvages et fruitées qu’affectionnent nos petits amis les hérissons. Le mariage des saveurs acidulées de la mûre et légèrement sucrées de la noisette est aussi gourmand qu’irrésistible…</v>
          </cell>
          <cell r="Y322"/>
          <cell r="Z322" t="str">
            <v>Ingrédients : mélange de thés 79% (thé vert*, thé noir*), arômes naturels de (mûre*, noisette*) 9%, chips de carotte*, noisettes concassées* 5%, pétales de coquelicot*. *Issu de l'agriculture biologique.</v>
          </cell>
          <cell r="AA322" t="str">
            <v>/</v>
          </cell>
          <cell r="AB322" t="str">
            <v>Membre certifié World Fair Trade Organization, Les Jardins de Gaïa s’engagent pour un commerce plus juste et répondent aux exigences du commerce équitable. Pour en savoir plus : www.wfto.com.</v>
          </cell>
          <cell r="AC322">
            <v>1.5</v>
          </cell>
          <cell r="AD322" t="str">
            <v>3</v>
          </cell>
          <cell r="AE322" t="str">
            <v>85-90</v>
          </cell>
          <cell r="AF322">
            <v>2</v>
          </cell>
          <cell r="AG322">
            <v>750</v>
          </cell>
          <cell r="AH322">
            <v>3582810361214</v>
          </cell>
          <cell r="AI322" t="str">
            <v>/</v>
          </cell>
          <cell r="AJ322" t="str">
            <v>INTERNE</v>
          </cell>
          <cell r="AK322" t="str">
            <v>INTERNE</v>
          </cell>
          <cell r="AL322" t="str">
            <v>/</v>
          </cell>
          <cell r="AM322" t="str">
            <v>Création maison</v>
          </cell>
        </row>
        <row r="323">
          <cell r="A323" t="str">
            <v>TA6122</v>
          </cell>
          <cell r="B323" t="str">
            <v>o jian</v>
          </cell>
          <cell r="C323" t="str">
            <v>X</v>
          </cell>
          <cell r="D323" t="str">
            <v>X</v>
          </cell>
          <cell r="E323" t="str">
            <v>X</v>
          </cell>
          <cell r="F323" t="str">
            <v>BRODART</v>
          </cell>
          <cell r="G323"/>
          <cell r="H323" t="str">
            <v>LES GRANDS CLASSIQUES</v>
          </cell>
          <cell r="I323"/>
          <cell r="J323" t="str">
            <v>La balade du hérisson</v>
          </cell>
          <cell r="K323" t="str">
            <v>Noisette - Saveur Mûre</v>
          </cell>
          <cell r="L323" t="str">
            <v>Mélange de thés aromatisé</v>
          </cell>
          <cell r="M323" t="str">
            <v>Inde - Chine - Vietnam</v>
          </cell>
          <cell r="N323" t="str">
            <v>AB</v>
          </cell>
          <cell r="O323" t="str">
            <v>WFTO</v>
          </cell>
          <cell r="P323" t="str">
            <v>/</v>
          </cell>
          <cell r="Q323" t="str">
            <v>/</v>
          </cell>
          <cell r="R323" t="str">
            <v>/</v>
          </cell>
          <cell r="S323" t="str">
            <v>/</v>
          </cell>
          <cell r="T323" t="str">
            <v>Agriculture UE/non UE</v>
          </cell>
          <cell r="U323"/>
          <cell r="V323" t="str">
            <v>Cette balade évoque dès ses premiers accords aromatiques des contrées sauvages et gourmandes. La mûre et le coquelicot forment un couple harmonieux accompagné par des notes de noisette qui donnent toute son intensité à ce voyage gustatif. Un appel à l’éveil des sens auquel on ne peut rester indifférent…</v>
          </cell>
          <cell r="W323" t="str">
            <v>S14</v>
          </cell>
          <cell r="X323" t="str">
            <v>Cette recette à base de thé vert et de thé noir invite à une balade gustative dans les contrées sauvages et fruitées qu’affectionnent nos petits amis les hérissons. Le mariage des saveurs acidulées de la mûre et légèrement sucrées de la noisette est aussi gourmand qu’irrésistible…</v>
          </cell>
          <cell r="Y323"/>
          <cell r="Z323" t="str">
            <v>Ingrédients : mélange de thés 79% (thé vert*, thé noir*), arômes naturels de (mûre*, noisette*) 9%, chips de carotte*, noisettes concassées* 5%, pétales de coquelicot*. *Issu de l'agriculture biologique.</v>
          </cell>
          <cell r="AA323" t="str">
            <v>/</v>
          </cell>
          <cell r="AB323" t="str">
            <v>Membre certifié World Fair Trade Organization, Les Jardins de Gaïa s’engagent pour un commerce plus juste et répondent aux exigences du commerce équitable. Pour en savoir plus : www.wfto.com.</v>
          </cell>
          <cell r="AC323">
            <v>100</v>
          </cell>
          <cell r="AD323" t="str">
            <v>3</v>
          </cell>
          <cell r="AE323" t="str">
            <v>85-90</v>
          </cell>
          <cell r="AF323">
            <v>2</v>
          </cell>
          <cell r="AG323">
            <v>50</v>
          </cell>
          <cell r="AH323">
            <v>3582810361221</v>
          </cell>
          <cell r="AI323" t="str">
            <v>/</v>
          </cell>
          <cell r="AJ323" t="str">
            <v>ETNA612V5</v>
          </cell>
          <cell r="AK323" t="str">
            <v>ETNA612V5</v>
          </cell>
          <cell r="AL323" t="str">
            <v>ETCNA6122V5</v>
          </cell>
          <cell r="AM323" t="str">
            <v>Création maison</v>
          </cell>
        </row>
        <row r="324">
          <cell r="A324" t="str">
            <v>TH5771</v>
          </cell>
          <cell r="B324"/>
          <cell r="C324"/>
          <cell r="D324"/>
          <cell r="E324"/>
          <cell r="F324"/>
          <cell r="G324"/>
          <cell r="H324" t="str">
            <v>LES GRANDS CLASSIQUES</v>
          </cell>
          <cell r="I324" t="str">
            <v>LES INFUSIONS DE PLANTES</v>
          </cell>
          <cell r="J324" t="str">
            <v>La nature s'éveille</v>
          </cell>
          <cell r="K324" t="str">
            <v>Morceaux de pomme - mélisse - pétales de rose</v>
          </cell>
          <cell r="L324" t="str">
            <v>Infusion de plantes</v>
          </cell>
          <cell r="M324" t="str">
            <v>/</v>
          </cell>
          <cell r="N324" t="str">
            <v>AB</v>
          </cell>
          <cell r="O324" t="str">
            <v>/</v>
          </cell>
          <cell r="P324" t="str">
            <v>/</v>
          </cell>
          <cell r="Q324" t="str">
            <v>/</v>
          </cell>
          <cell r="R324" t="str">
            <v>/</v>
          </cell>
          <cell r="S324" t="str">
            <v>/</v>
          </cell>
          <cell r="T324" t="str">
            <v>Agriculture UE
recette en cours d'internalisation oct 23</v>
          </cell>
          <cell r="U324"/>
          <cell r="V324" t="str">
            <v>Tel le souffle d'une nature qui s'éveille, cette tisane haute en couleur laisse en bouche une impression festive. Son florilège de saveurs à la fois fruitées, florales et herbacées se conclut avec une finale qui évoque le miel de fleurs et imprègne longuement le palais. Un doux plaisir qui fait la joie des petits et des grands.</v>
          </cell>
          <cell r="W324" t="str">
            <v>S12</v>
          </cell>
          <cell r="X324" t="str">
            <v>Tel le souffle d'une nature qui s'éveille, cette tisane gaie et colorée laisse une impression festive en bouche. Son florilège de saveurs à la fois fruitées, florales et herbacées se conclut avec une finale qui évoque le miel de fleurs et imprègne longuement le palais. À partager sans modération !</v>
          </cell>
          <cell r="Y324"/>
          <cell r="Z324" t="str">
            <v>Ingrédients : morceaux de pomme* (Malus domestica) 24%, mélisse* (Melissa officinalis) 21%, avoine vert* (Avena sativa), pétales de rose* (Rosa damascena) 8%, pétales de souci* (Calendula officinalis), cranberry* (Vaccinium macrocarpon), lavande* (Lavandula angustifolia), fleurs de tilleul* (Tilia flos), verveine odorante* (Lippia citriodora), camomille* (Matricaria chamomilla), pétales de bleuet* (Centaurea cyanus), pétales de mauve* (Malva sylvestris). * Issu de l'agriculture biologique.</v>
          </cell>
          <cell r="AA324" t="str">
            <v>/</v>
          </cell>
          <cell r="AB324" t="str">
            <v>/</v>
          </cell>
          <cell r="AC324">
            <v>500</v>
          </cell>
          <cell r="AD324" t="str">
            <v>5-10</v>
          </cell>
          <cell r="AE324">
            <v>95</v>
          </cell>
          <cell r="AF324">
            <v>2</v>
          </cell>
          <cell r="AG324">
            <v>250</v>
          </cell>
          <cell r="AH324">
            <v>3582811057710</v>
          </cell>
          <cell r="AI324" t="str">
            <v>/</v>
          </cell>
          <cell r="AJ324" t="str">
            <v>INTERNE</v>
          </cell>
          <cell r="AK324" t="str">
            <v>INTERNE</v>
          </cell>
          <cell r="AL324" t="str">
            <v>/</v>
          </cell>
          <cell r="AM324" t="str">
            <v>Sonnentor</v>
          </cell>
        </row>
        <row r="325">
          <cell r="A325" t="str">
            <v>TH577</v>
          </cell>
          <cell r="B325"/>
          <cell r="C325" t="str">
            <v>X</v>
          </cell>
          <cell r="D325" t="str">
            <v>X</v>
          </cell>
          <cell r="E325"/>
          <cell r="F325" t="str">
            <v>GRAI</v>
          </cell>
          <cell r="G325">
            <v>45408</v>
          </cell>
          <cell r="H325" t="str">
            <v>LES GRANDS CLASSIQUES</v>
          </cell>
          <cell r="I325" t="str">
            <v>LES INFUSIONS DE PLANTES</v>
          </cell>
          <cell r="J325" t="str">
            <v>La nature s'éveille</v>
          </cell>
          <cell r="K325" t="str">
            <v>Morceaux de pomme - mélisse - pétales de rose</v>
          </cell>
          <cell r="L325" t="str">
            <v>Infusion de plantes</v>
          </cell>
          <cell r="M325" t="str">
            <v>/</v>
          </cell>
          <cell r="N325" t="str">
            <v>AB</v>
          </cell>
          <cell r="O325" t="str">
            <v>/</v>
          </cell>
          <cell r="P325" t="str">
            <v>/</v>
          </cell>
          <cell r="Q325" t="str">
            <v>/</v>
          </cell>
          <cell r="R325" t="str">
            <v>/</v>
          </cell>
          <cell r="S325" t="str">
            <v>/</v>
          </cell>
          <cell r="T325" t="str">
            <v>Agriculture UE
recette en cours d'internalisation oct 23</v>
          </cell>
          <cell r="U325"/>
          <cell r="V325" t="str">
            <v>Tel le souffle d'une nature qui s'éveille, cette tisane haute en couleur laisse en bouche une impression festive. Son florilège de saveurs à la fois fruitées, florales et herbacées se conclut avec une finale qui évoque le miel de fleurs et imprègne longuement le palais. Un doux plaisir qui fait la joie des petits et des grands.</v>
          </cell>
          <cell r="W325" t="str">
            <v>S12</v>
          </cell>
          <cell r="X325" t="str">
            <v>Tel le souffle d'une nature qui s'éveille, cette tisane gaie et colorée laisse une impression festive en bouche. Son florilège de saveurs à la fois fruitées, florales et herbacées se conclut avec une finale qui évoque le miel de fleurs et imprègne longuement le palais. À partager sans modération !</v>
          </cell>
          <cell r="Y325"/>
          <cell r="Z325" t="str">
            <v>Ingrédients : morceaux de pomme* (Malus domestica) 24%, mélisse* (Melissa officinalis) 21%, avoine vert* (Avena sativa), pétales de rose* (Rosa damascena) 8%, pétales de souci* (Calendula officinalis), cranberry* (Vaccinium macrocarpon), lavande* (Lavandula angustifolia), fleurs de tilleul* (Tilia flos), verveine odorante* (Lippia citriodora), camomille* (Matricaria chamomilla), pétales de bleuet* (Centaurea cyanus), pétales de mauve* (Malva sylvestris). * Issu de l'agriculture biologique.</v>
          </cell>
          <cell r="AA325" t="str">
            <v>/</v>
          </cell>
          <cell r="AB325" t="str">
            <v>/</v>
          </cell>
          <cell r="AC325">
            <v>60</v>
          </cell>
          <cell r="AD325" t="str">
            <v>5-10</v>
          </cell>
          <cell r="AE325">
            <v>95</v>
          </cell>
          <cell r="AF325">
            <v>2</v>
          </cell>
          <cell r="AG325">
            <v>30</v>
          </cell>
          <cell r="AH325">
            <v>3582811005773</v>
          </cell>
          <cell r="AI325" t="str">
            <v>/</v>
          </cell>
          <cell r="AJ325" t="str">
            <v>ETHN5770V5</v>
          </cell>
          <cell r="AK325" t="str">
            <v>ETHN5770V5</v>
          </cell>
          <cell r="AL325" t="str">
            <v>/</v>
          </cell>
          <cell r="AM325" t="str">
            <v>Sonnentor</v>
          </cell>
        </row>
        <row r="326">
          <cell r="A326" t="str">
            <v>TH5091</v>
          </cell>
          <cell r="B326"/>
          <cell r="C326"/>
          <cell r="D326"/>
          <cell r="E326"/>
          <cell r="F326"/>
          <cell r="G326"/>
          <cell r="H326" t="str">
            <v>LES GRANDS CLASSIQUES</v>
          </cell>
          <cell r="I326" t="str">
            <v>LES INFUSIONS DE PLANTES</v>
          </cell>
          <cell r="J326" t="str">
            <v>La potion de Fée Mélusine</v>
          </cell>
          <cell r="K326" t="str">
            <v>Feuilles de chanvre - verveine - menthe douce</v>
          </cell>
          <cell r="L326" t="str">
            <v>Infusion de plantes</v>
          </cell>
          <cell r="M326" t="str">
            <v>/</v>
          </cell>
          <cell r="N326" t="str">
            <v>AB</v>
          </cell>
          <cell r="O326" t="str">
            <v>/</v>
          </cell>
          <cell r="P326" t="str">
            <v>/</v>
          </cell>
          <cell r="Q326" t="str">
            <v>/</v>
          </cell>
          <cell r="R326" t="str">
            <v>/</v>
          </cell>
          <cell r="S326" t="str">
            <v>/</v>
          </cell>
          <cell r="T326" t="str">
            <v>AT-BIO-301
Agriculture UE</v>
          </cell>
          <cell r="U326"/>
          <cell r="V326" t="str">
            <v>Cette association de plantes, un brin mystérieuse, est inspirée de la légende de l’étrange femme serpent. Fraîche et pétillante, agréablement fleurie, elle est idéale pour laisser vagabonder son esprit et appeler la créativité…</v>
          </cell>
          <cell r="W326" t="str">
            <v>S12</v>
          </cell>
          <cell r="X326" t="str">
            <v>Cette tisane de plantes, un brin mystérieuse, est inspirée de la légende de Mélusine, l’envoûtante "femme serpent" à la beauté légendaire. On tombe immédiatement sous le charme de ses notes douces et légèrement épicées. Un délice de fée !</v>
          </cell>
          <cell r="Y326"/>
          <cell r="Z326" t="str">
            <v>Ingrédients : feuilles de chanvre* 30% (Cannabis sativa), verveine odorante* 25% (Aloysia citrodora), menthe douce* 24% (Mentha spicata), pétales de souci* (Calendula officinalis), plantain lancéolé* (Plantago lanceolata), boutons de rose* (Rosa damascena), mélisse* (Melissa officinalis). *Issu de l'agriculture biologique.</v>
          </cell>
          <cell r="AA326" t="str">
            <v>/</v>
          </cell>
          <cell r="AB326" t="str">
            <v>/</v>
          </cell>
          <cell r="AC326" t="str">
            <v>?</v>
          </cell>
          <cell r="AD326" t="str">
            <v>5-10</v>
          </cell>
          <cell r="AE326">
            <v>95</v>
          </cell>
          <cell r="AF326">
            <v>2</v>
          </cell>
          <cell r="AG326" t="str">
            <v>?</v>
          </cell>
          <cell r="AH326" t="str">
            <v>?</v>
          </cell>
          <cell r="AI326" t="str">
            <v>/</v>
          </cell>
          <cell r="AJ326" t="str">
            <v>INTERNE</v>
          </cell>
          <cell r="AK326" t="str">
            <v>INTERNE</v>
          </cell>
          <cell r="AL326" t="str">
            <v>/</v>
          </cell>
          <cell r="AM326" t="str">
            <v>Sonnentor</v>
          </cell>
        </row>
        <row r="327">
          <cell r="A327" t="str">
            <v>TH509</v>
          </cell>
          <cell r="B327"/>
          <cell r="C327" t="str">
            <v>X</v>
          </cell>
          <cell r="D327" t="str">
            <v>X</v>
          </cell>
          <cell r="E327"/>
          <cell r="F327" t="str">
            <v>GRAI</v>
          </cell>
          <cell r="G327">
            <v>45408</v>
          </cell>
          <cell r="H327" t="str">
            <v>LES GRANDS CLASSIQUES</v>
          </cell>
          <cell r="I327" t="str">
            <v>LES INFUSIONS DE PLANTES</v>
          </cell>
          <cell r="J327" t="str">
            <v>La potion de Fée Mélusine</v>
          </cell>
          <cell r="K327" t="str">
            <v>Feuilles de chanvre - verveine - menthe douce</v>
          </cell>
          <cell r="L327" t="str">
            <v>Infusion de plantes</v>
          </cell>
          <cell r="M327" t="str">
            <v>/</v>
          </cell>
          <cell r="N327" t="str">
            <v>AB</v>
          </cell>
          <cell r="O327" t="str">
            <v>/</v>
          </cell>
          <cell r="P327" t="str">
            <v>/</v>
          </cell>
          <cell r="Q327" t="str">
            <v>/</v>
          </cell>
          <cell r="R327" t="str">
            <v>/</v>
          </cell>
          <cell r="S327" t="str">
            <v>/</v>
          </cell>
          <cell r="T327" t="str">
            <v>AT-BIO-301
Agriculture UE</v>
          </cell>
          <cell r="U327"/>
          <cell r="V327" t="str">
            <v>Cette association de plantes, un brin mystérieuse, est inspirée de la légende de l’étrange femme serpent. Fraîche et pétillante, agréablement fleurie, elle est idéale pour laisser vagabonder son esprit et appeler la créativité…</v>
          </cell>
          <cell r="W327" t="str">
            <v>S12</v>
          </cell>
          <cell r="X327" t="str">
            <v>Cette tisane de plantes, un brin mystérieuse, est inspirée de la légende de Mélusine, l’envoûtante "femme serpent" à la beauté légendaire. On tombe immédiatement sous le charme de ses notes douces et légèrement épicées. Un délice de fée !</v>
          </cell>
          <cell r="Y327"/>
          <cell r="Z327" t="str">
            <v>Ingrédients : feuilles de chanvre* 30% (Cannabis sativa), verveine odorante* 25% (Aloysia citrodora), menthe douce* 24% (Mentha spicata), pétales de souci* (Calendula officinalis), plantain lancéolé* (Plantago lanceolata), boutons de rose* (Rosa damascena), mélisse* (Melissa officinalis). *Issu de l'agriculture biologique.</v>
          </cell>
          <cell r="AA327" t="str">
            <v>/</v>
          </cell>
          <cell r="AB327" t="str">
            <v>/</v>
          </cell>
          <cell r="AC327">
            <v>40</v>
          </cell>
          <cell r="AD327" t="str">
            <v>5-10</v>
          </cell>
          <cell r="AE327">
            <v>95</v>
          </cell>
          <cell r="AF327">
            <v>2</v>
          </cell>
          <cell r="AG327">
            <v>20</v>
          </cell>
          <cell r="AH327">
            <v>3582811005094</v>
          </cell>
          <cell r="AI327" t="str">
            <v>/</v>
          </cell>
          <cell r="AJ327" t="str">
            <v>ETHN5090V5</v>
          </cell>
          <cell r="AK327" t="str">
            <v>ETHN5090V5</v>
          </cell>
          <cell r="AL327" t="str">
            <v>/</v>
          </cell>
          <cell r="AM327" t="str">
            <v>Sonnentor</v>
          </cell>
        </row>
        <row r="328">
          <cell r="A328" t="str">
            <v>TH9741</v>
          </cell>
          <cell r="B328"/>
          <cell r="C328"/>
          <cell r="D328"/>
          <cell r="E328"/>
          <cell r="F328"/>
          <cell r="G328"/>
          <cell r="H328" t="str">
            <v>LES GRANDS CLASSIQUES</v>
          </cell>
          <cell r="I328" t="str">
            <v>LES INFUSIONS DE PLANTES</v>
          </cell>
          <cell r="J328" t="str">
            <v>La salsa du printemps</v>
          </cell>
          <cell r="K328" t="str">
            <v>Lemongrass - menthe poivrée - feuilles de framboisier</v>
          </cell>
          <cell r="L328" t="str">
            <v>Infusion de plantes</v>
          </cell>
          <cell r="M328" t="str">
            <v>/</v>
          </cell>
          <cell r="N328" t="str">
            <v>AB</v>
          </cell>
          <cell r="O328" t="str">
            <v>/</v>
          </cell>
          <cell r="P328" t="str">
            <v>/</v>
          </cell>
          <cell r="Q328" t="str">
            <v>/</v>
          </cell>
          <cell r="R328" t="str">
            <v>/</v>
          </cell>
          <cell r="S328" t="str">
            <v>/</v>
          </cell>
          <cell r="T328" t="str">
            <v>Agriculture UE
recette en cours d'internalisation oct 23</v>
          </cell>
          <cell r="U328"/>
          <cell r="V328" t="str">
            <v>Gaie et pétillante, cette tisane est une ode aux premiers beaux jours. Ses saveurs zestées fraîches et toniques relevées d'agréables notes épicées vous emportent avec délice dans l'effervescence des premiers jours printaniers !</v>
          </cell>
          <cell r="W328" t="str">
            <v>S12</v>
          </cell>
          <cell r="X328" t="str">
            <v>Gaie et pétillante, cette tisane est une ode aux premiers beaux jours de l’année. Ses saveurs zestées fraîches et toniques relevées d'agréables notes épicées vous emportent avec délice dans l'effervescence du printemps !</v>
          </cell>
          <cell r="Y328"/>
          <cell r="Z328" t="str">
            <v>Ingrédients : lemongrass* (Cymbopogon citratus) 42%, menthe poivrée* (Mentha piperita) 27%, feuilles de framboisier* (Rubus idaeus) 10%, cardamome* (Elettaria cardamomum), réglisse* (Glycyrrhiza glabra), pétales de bleuet* (Centaurea cyanus), pétales de rose* (Rosa damascena). *Issu de l'agriculture biologique. Contient de la réglisse : les personnes souffrant d'hypertension doivent éviter toute consommation excessive.</v>
          </cell>
          <cell r="AA328" t="str">
            <v>/</v>
          </cell>
          <cell r="AB328" t="str">
            <v>/</v>
          </cell>
          <cell r="AC328" t="str">
            <v>?</v>
          </cell>
          <cell r="AD328" t="str">
            <v>5-10</v>
          </cell>
          <cell r="AE328">
            <v>95</v>
          </cell>
          <cell r="AF328">
            <v>2</v>
          </cell>
          <cell r="AG328" t="str">
            <v>?</v>
          </cell>
          <cell r="AH328" t="str">
            <v>?</v>
          </cell>
          <cell r="AI328" t="str">
            <v>/</v>
          </cell>
          <cell r="AJ328" t="str">
            <v>INTERNE</v>
          </cell>
          <cell r="AK328" t="str">
            <v>INTERNE</v>
          </cell>
          <cell r="AL328" t="str">
            <v>/</v>
          </cell>
          <cell r="AM328" t="str">
            <v>Sonnentor</v>
          </cell>
        </row>
        <row r="329">
          <cell r="A329" t="str">
            <v>TH974</v>
          </cell>
          <cell r="B329"/>
          <cell r="C329" t="str">
            <v>X</v>
          </cell>
          <cell r="D329" t="str">
            <v>X</v>
          </cell>
          <cell r="E329"/>
          <cell r="F329" t="str">
            <v>GRAI</v>
          </cell>
          <cell r="G329">
            <v>45408</v>
          </cell>
          <cell r="H329" t="str">
            <v>LES GRANDS CLASSIQUES</v>
          </cell>
          <cell r="I329" t="str">
            <v>LES INFUSIONS DE PLANTES</v>
          </cell>
          <cell r="J329" t="str">
            <v>La salsa du printemps</v>
          </cell>
          <cell r="K329" t="str">
            <v>Lemongrass - menthe poivrée - feuilles de framboisier</v>
          </cell>
          <cell r="L329" t="str">
            <v>Infusion de plantes</v>
          </cell>
          <cell r="M329" t="str">
            <v>/</v>
          </cell>
          <cell r="N329" t="str">
            <v>AB</v>
          </cell>
          <cell r="O329" t="str">
            <v>/</v>
          </cell>
          <cell r="P329" t="str">
            <v>/</v>
          </cell>
          <cell r="Q329" t="str">
            <v>/</v>
          </cell>
          <cell r="R329" t="str">
            <v>/</v>
          </cell>
          <cell r="S329" t="str">
            <v>/</v>
          </cell>
          <cell r="T329" t="str">
            <v>Agriculture UE
recette en cours d'internalisation oct 23</v>
          </cell>
          <cell r="U329"/>
          <cell r="V329" t="str">
            <v>Gaie et pétillante, cette tisane est une ode aux premiers beaux jours. Ses saveurs zestées fraîches et toniques relevées d'agréables notes épicées vous emportent avec délice dans l'effervescence des premiers jours printaniers !</v>
          </cell>
          <cell r="W329" t="str">
            <v>S12</v>
          </cell>
          <cell r="X329" t="str">
            <v>Gaie et pétillante, cette tisane est une ode aux premiers beaux jours de l’année. Ses saveurs zestées fraîches et toniques relevées d'agréables notes épicées vous emportent avec délice dans l'effervescence du printemps !</v>
          </cell>
          <cell r="Y329"/>
          <cell r="Z329" t="str">
            <v>Ingrédients : lemongrass* (Cymbopogon citratus) 42%, menthe poivrée* (Mentha piperita) 27%, feuilles de framboisier* (Rubus idaeus) 10%, cardamome* (Elettaria cardamomum), réglisse* (Glycyrrhiza glabra), pétales de bleuet* (Centaurea cyanus), pétales de rose* (Rosa damascena). *Issu de l'agriculture biologique. Contient de la réglisse : les personnes souffrant d'hypertension doivent éviter toute consommation excessive.</v>
          </cell>
          <cell r="AA329" t="str">
            <v>/</v>
          </cell>
          <cell r="AB329" t="str">
            <v>/</v>
          </cell>
          <cell r="AC329">
            <v>80</v>
          </cell>
          <cell r="AD329" t="str">
            <v>5-10</v>
          </cell>
          <cell r="AE329">
            <v>95</v>
          </cell>
          <cell r="AF329">
            <v>2</v>
          </cell>
          <cell r="AG329">
            <v>40</v>
          </cell>
          <cell r="AH329">
            <v>3582811009740</v>
          </cell>
          <cell r="AI329" t="str">
            <v>/</v>
          </cell>
          <cell r="AJ329" t="str">
            <v>ETHN9740V5</v>
          </cell>
          <cell r="AK329" t="str">
            <v>ETHN9740V5</v>
          </cell>
          <cell r="AL329" t="str">
            <v>/</v>
          </cell>
          <cell r="AM329" t="str">
            <v>Sonnentor</v>
          </cell>
        </row>
        <row r="330">
          <cell r="A330" t="str">
            <v>TH0631</v>
          </cell>
          <cell r="B330"/>
          <cell r="C330"/>
          <cell r="D330"/>
          <cell r="E330"/>
          <cell r="F330"/>
          <cell r="G330"/>
          <cell r="H330" t="str">
            <v>LES BIENFAITRICES</v>
          </cell>
          <cell r="I330" t="str">
            <v>LES INFUSIONS DE PLANTES</v>
          </cell>
          <cell r="J330" t="str">
            <v>La souplesse du dragon</v>
          </cell>
          <cell r="K330" t="str">
            <v>Anti-inflammatoire
Feuilles de cassis - Curcuma - Reine des prés - Gingembre</v>
          </cell>
          <cell r="L330" t="str">
            <v>Infusion de plantes</v>
          </cell>
          <cell r="M330" t="str">
            <v>/</v>
          </cell>
          <cell r="N330" t="str">
            <v>AB</v>
          </cell>
          <cell r="O330" t="str">
            <v>/</v>
          </cell>
          <cell r="P330" t="str">
            <v>/</v>
          </cell>
          <cell r="Q330" t="str">
            <v>/</v>
          </cell>
          <cell r="R330" t="str">
            <v>/</v>
          </cell>
          <cell r="S330" t="str">
            <v>/</v>
          </cell>
          <cell r="T330" t="str">
            <v>Agriculture UE/non UE</v>
          </cell>
          <cell r="U330"/>
          <cell r="V330" t="str">
            <v>À l’image du dragon qui se meut libre comme l'air conservez votre confort articulaire avec cette recette de plantes riches en saveurs et en couleurs savamment mêlées dont les vertus anti-inflammatoires sont légendaires. Fruitée, épicée et légèrement réglissée cette tisane est particulièrement agréable et longue en bouche. Une création maison qui communique un tel sens de la douceur que l’on sent immédiatement ses effets apaisants.</v>
          </cell>
          <cell r="W330" t="str">
            <v>S13</v>
          </cell>
          <cell r="X330" t="str">
            <v xml:space="preserve">À l’image du dragon qui se meut libre comme l'air et tout en souplesse, conservez votre confort articulaire avec cette tisane de plantes aux vertus anti-inflammatoires légendaires. Fruitée, épicée et légèrement réglissée, son infusion est particulièrement agréable et longue en bouche. </v>
          </cell>
          <cell r="Y330"/>
          <cell r="Z330" t="str">
            <v>Ingrédients : feuilles de cassis* 34% (Ribes nigrum), curcuma* 25% (Curcuma longa), reine des prés* 11% (Filipendula ulmaria), gingembre* 9% (Zingiber officinale), baies de genévrier* (Juniperus communis), moringa* (Moringa oleifera), poivre noir* (Piper nigrum), pétales de bleuet* (Centaurea cyanus). *Issu de l'agriculture biologique.</v>
          </cell>
          <cell r="AA330"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330" t="str">
            <v>/</v>
          </cell>
          <cell r="AC330">
            <v>750</v>
          </cell>
          <cell r="AD330" t="str">
            <v>5-10</v>
          </cell>
          <cell r="AE330">
            <v>95</v>
          </cell>
          <cell r="AF330">
            <v>2</v>
          </cell>
          <cell r="AG330">
            <v>375</v>
          </cell>
          <cell r="AH330">
            <v>3582811006312</v>
          </cell>
          <cell r="AI330" t="str">
            <v>/</v>
          </cell>
          <cell r="AJ330" t="str">
            <v>INTERNE</v>
          </cell>
          <cell r="AK330" t="str">
            <v>INTERNE</v>
          </cell>
          <cell r="AL330" t="str">
            <v>/</v>
          </cell>
          <cell r="AM330" t="str">
            <v>?</v>
          </cell>
        </row>
        <row r="331">
          <cell r="A331" t="str">
            <v>TH0632</v>
          </cell>
          <cell r="B331"/>
          <cell r="C331" t="str">
            <v>X</v>
          </cell>
          <cell r="D331" t="str">
            <v>X</v>
          </cell>
          <cell r="E331"/>
          <cell r="F331" t="str">
            <v>GRAI</v>
          </cell>
          <cell r="G331">
            <v>45408</v>
          </cell>
          <cell r="H331" t="str">
            <v>LES BIENFAITRICES</v>
          </cell>
          <cell r="I331" t="str">
            <v>LES INFUSIONS DE PLANTES</v>
          </cell>
          <cell r="J331" t="str">
            <v>La souplesse du dragon</v>
          </cell>
          <cell r="K331" t="str">
            <v>Anti-inflammatoire
Feuilles de cassis - Curcuma - Reine des prés - Gingembre</v>
          </cell>
          <cell r="L331" t="str">
            <v>Infusion de plantes</v>
          </cell>
          <cell r="M331" t="str">
            <v>/</v>
          </cell>
          <cell r="N331" t="str">
            <v>AB</v>
          </cell>
          <cell r="O331" t="str">
            <v>/</v>
          </cell>
          <cell r="P331" t="str">
            <v>/</v>
          </cell>
          <cell r="Q331" t="str">
            <v>/</v>
          </cell>
          <cell r="R331" t="str">
            <v>/</v>
          </cell>
          <cell r="S331" t="str">
            <v>/</v>
          </cell>
          <cell r="T331" t="str">
            <v>Agriculture UE/non UE</v>
          </cell>
          <cell r="U331"/>
          <cell r="V331" t="str">
            <v>À l’image du dragon qui se meut libre comme l'air conservez votre confort articulaire avec cette recette de plantes riches en saveurs et en couleurs savamment mêlées dont les vertus anti-inflammatoires sont légendaires. Fruitée, épicée et légèrement réglissée cette tisane est particulièrement agréable et longue en bouche. Une création maison qui communique un tel sens de la douceur que l’on sent immédiatement ses effets apaisants.</v>
          </cell>
          <cell r="W331" t="str">
            <v>S13</v>
          </cell>
          <cell r="X331" t="str">
            <v xml:space="preserve">À l’image du dragon qui se meut libre comme l'air et tout en souplesse, conservez votre confort articulaire avec cette tisane de plantes aux vertus anti-inflammatoires légendaires. Fruitée, épicée et légèrement réglissée, son infusion est particulièrement agréable et longue en bouche. </v>
          </cell>
          <cell r="Y331"/>
          <cell r="Z331" t="str">
            <v>Ingrédients : feuilles de cassis* 34% (Ribes nigrum), curcuma* 25% (Curcuma longa), reine des prés* 11% (Filipendula ulmaria), gingembre* 9% (Zingiber officinale), baies de genévrier* (Juniperus communis), moringa* (Moringa oleifera), poivre noir* (Piper nigrum), pétales de bleuet* (Centaurea cyanus). *Issu de l'agriculture biologique.</v>
          </cell>
          <cell r="AA331"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331" t="str">
            <v>/</v>
          </cell>
          <cell r="AC331">
            <v>70</v>
          </cell>
          <cell r="AD331" t="str">
            <v>5-10</v>
          </cell>
          <cell r="AE331">
            <v>95</v>
          </cell>
          <cell r="AF331">
            <v>2</v>
          </cell>
          <cell r="AG331">
            <v>35</v>
          </cell>
          <cell r="AH331">
            <v>3582811006329</v>
          </cell>
          <cell r="AI331" t="str">
            <v>/</v>
          </cell>
          <cell r="AJ331" t="str">
            <v>ETHN0630V5</v>
          </cell>
          <cell r="AK331" t="str">
            <v>ETHN0630V5</v>
          </cell>
          <cell r="AL331" t="str">
            <v>/</v>
          </cell>
          <cell r="AM331" t="str">
            <v>?</v>
          </cell>
        </row>
        <row r="332">
          <cell r="A332" t="str">
            <v>TH5201</v>
          </cell>
          <cell r="B332"/>
          <cell r="C332"/>
          <cell r="D332"/>
          <cell r="E332"/>
          <cell r="F332"/>
          <cell r="G332"/>
          <cell r="H332" t="str">
            <v>LES GRANDS CLASSIQUES</v>
          </cell>
          <cell r="I332" t="str">
            <v>LES INFUSIONS DE PLANTES</v>
          </cell>
          <cell r="J332" t="str">
            <v>La tisane de l'Amour</v>
          </cell>
          <cell r="K332" t="str">
            <v>Feuilles de chanvre - cataire - persil - verveine</v>
          </cell>
          <cell r="L332" t="str">
            <v>Infusion de plantes</v>
          </cell>
          <cell r="M332" t="str">
            <v>/</v>
          </cell>
          <cell r="N332" t="str">
            <v>AB</v>
          </cell>
          <cell r="O332" t="str">
            <v>/</v>
          </cell>
          <cell r="P332" t="str">
            <v>/</v>
          </cell>
          <cell r="Q332" t="str">
            <v>/</v>
          </cell>
          <cell r="R332" t="str">
            <v>/</v>
          </cell>
          <cell r="S332" t="str">
            <v>/</v>
          </cell>
          <cell r="T332" t="str">
            <v>AT-BIO-302
Agriculture UE</v>
          </cell>
          <cell r="U332"/>
          <cell r="V332" t="str">
            <v>Sensuel et spirituel, ce mélange de plantes et de fleurs est une ode à l’Amour. Infusion à la saveur chaude, au goût gourmand et rond qui procure une agréable sensation de bien-être. À savourer à deux…</v>
          </cell>
          <cell r="W332" t="str">
            <v>S12</v>
          </cell>
          <cell r="X332" t="str">
            <v>Sensuelle et spirituelle, cette infusion de plantes et de fleurs est inspirée par le plus beau des sentiments. Laissez-là câliner vos papilles par ses saveurs chaudes, rondes et gourmandes qui procurent un intense plaisir gustatif. À savourer amoureusement à deux…</v>
          </cell>
          <cell r="Y332"/>
          <cell r="Z332" t="str">
            <v>Ingrédients : feuilles de chanvre* (Cannabis sativa) 45%, cataire* (Nepeta cataria) 20%, persil* (Petroselinum crispum) 20%, verveine odorante* (Aloysia citrodora) 10%, sarriette* (Satureja montana), boutons de rose* (Rosa damascena). *Issu de l’agriculture biologique.</v>
          </cell>
          <cell r="AA332" t="str">
            <v>/</v>
          </cell>
          <cell r="AB332" t="str">
            <v>/</v>
          </cell>
          <cell r="AC332">
            <v>300</v>
          </cell>
          <cell r="AD332" t="str">
            <v>5-10</v>
          </cell>
          <cell r="AE332">
            <v>95</v>
          </cell>
          <cell r="AF332">
            <v>2</v>
          </cell>
          <cell r="AG332">
            <v>150</v>
          </cell>
          <cell r="AH332">
            <v>3582811052012</v>
          </cell>
          <cell r="AI332" t="str">
            <v>/</v>
          </cell>
          <cell r="AJ332" t="str">
            <v>INTERNE</v>
          </cell>
          <cell r="AK332" t="str">
            <v>INTERNE</v>
          </cell>
          <cell r="AL332" t="str">
            <v>/</v>
          </cell>
          <cell r="AM332" t="str">
            <v>Sonnentor</v>
          </cell>
        </row>
        <row r="333">
          <cell r="A333" t="str">
            <v>TH520</v>
          </cell>
          <cell r="B333"/>
          <cell r="C333" t="str">
            <v>X</v>
          </cell>
          <cell r="D333" t="str">
            <v>X</v>
          </cell>
          <cell r="E333"/>
          <cell r="F333" t="str">
            <v>GRAI</v>
          </cell>
          <cell r="G333">
            <v>45408</v>
          </cell>
          <cell r="H333" t="str">
            <v>LES GRANDS CLASSIQUES</v>
          </cell>
          <cell r="I333" t="str">
            <v>LES INFUSIONS DE PLANTES</v>
          </cell>
          <cell r="J333" t="str">
            <v>La tisane de l'Amour</v>
          </cell>
          <cell r="K333" t="str">
            <v>Feuilles de chanvre - cataire - verveine</v>
          </cell>
          <cell r="L333" t="str">
            <v>Infusion de plantes</v>
          </cell>
          <cell r="M333" t="str">
            <v>/</v>
          </cell>
          <cell r="N333" t="str">
            <v>AB</v>
          </cell>
          <cell r="O333" t="str">
            <v>/</v>
          </cell>
          <cell r="P333" t="str">
            <v>/</v>
          </cell>
          <cell r="Q333" t="str">
            <v>/</v>
          </cell>
          <cell r="R333" t="str">
            <v>/</v>
          </cell>
          <cell r="S333" t="str">
            <v>/</v>
          </cell>
          <cell r="T333" t="str">
            <v>AT-BIO-302
Agriculture UE</v>
          </cell>
          <cell r="U333"/>
          <cell r="V333" t="str">
            <v>Sensuel et spirituel, ce mélange de plantes et de fleurs est une ode à l’Amour. Infusion à la saveur chaude, au goût gourmand et rond qui procure une agréable sensation de bien-être. À savourer à deux…</v>
          </cell>
          <cell r="W333" t="str">
            <v>S12</v>
          </cell>
          <cell r="X333" t="str">
            <v>Sensuelle et spirituelle, cette infusion de plantes et de fleurs est inspirée par le plus beau des sentiments. Laissez-là câliner vos papilles par ses saveurs chaudes, rondes et gourmandes qui procurent un intense plaisir gustatif. À savourer amoureusement à deux…</v>
          </cell>
          <cell r="Y333"/>
          <cell r="Z333" t="str">
            <v>Ingrédients : feuilles de chanvre* (Cannabis sativa) 45%, cataire* (Nepeta cataria) 20%, persil* (Petroselinum crispum), verveine odorante* (Aloysia citrodora) 10%, sarriette* (Satureja montana), boutons de rose* (Rosa damascena). *Issu de l’agriculture biologique.</v>
          </cell>
          <cell r="AA333" t="str">
            <v>/</v>
          </cell>
          <cell r="AB333" t="str">
            <v>/</v>
          </cell>
          <cell r="AC333">
            <v>50</v>
          </cell>
          <cell r="AD333" t="str">
            <v>5-10</v>
          </cell>
          <cell r="AE333">
            <v>95</v>
          </cell>
          <cell r="AF333">
            <v>2</v>
          </cell>
          <cell r="AG333">
            <v>25</v>
          </cell>
          <cell r="AH333">
            <v>3582811005209</v>
          </cell>
          <cell r="AI333" t="str">
            <v>/</v>
          </cell>
          <cell r="AJ333" t="str">
            <v>ETHN5200V5</v>
          </cell>
          <cell r="AK333" t="str">
            <v>ETHN5200V5</v>
          </cell>
          <cell r="AL333" t="str">
            <v>/</v>
          </cell>
          <cell r="AM333" t="str">
            <v>Sonnentor</v>
          </cell>
        </row>
        <row r="334">
          <cell r="A334" t="str">
            <v>TUTH5206</v>
          </cell>
          <cell r="B334"/>
          <cell r="C334"/>
          <cell r="D334"/>
          <cell r="E334"/>
          <cell r="F334"/>
          <cell r="G334"/>
          <cell r="H334" t="str">
            <v>LES GRANDS CLASSIQUES</v>
          </cell>
          <cell r="I334" t="str">
            <v>LES INFUSIONS DE PLANTES</v>
          </cell>
          <cell r="J334" t="str">
            <v>La tisane de l'Amour</v>
          </cell>
          <cell r="K334" t="str">
            <v>Feuilles de chanvre - cataire - verveine</v>
          </cell>
          <cell r="L334" t="str">
            <v>Infusion de plantes</v>
          </cell>
          <cell r="M334" t="str">
            <v>/</v>
          </cell>
          <cell r="N334" t="str">
            <v>AB</v>
          </cell>
          <cell r="O334" t="str">
            <v>/</v>
          </cell>
          <cell r="P334" t="str">
            <v>/</v>
          </cell>
          <cell r="Q334" t="str">
            <v>/</v>
          </cell>
          <cell r="R334" t="str">
            <v>/</v>
          </cell>
          <cell r="S334" t="str">
            <v>/</v>
          </cell>
          <cell r="T334" t="str">
            <v>Agriculture UE</v>
          </cell>
          <cell r="U334"/>
          <cell r="V334" t="str">
            <v>Sensuel et spirituel, ce mélange de plantes et de fleurs est une ode à l’Amour. Infusion à la saveur chaude, au goût gourmand et rond qui procure une agréable sensation de bien-être. À savourer à deux…</v>
          </cell>
          <cell r="W334" t="str">
            <v>S12</v>
          </cell>
          <cell r="X334" t="str">
            <v>Sensuelle et spirituelle, cette infusion de plantes et de fleurs est inspirée par le plus beau des sentiments. Laissez-là câliner vos papilles par ses saveurs chaudes, rondes et gourmandes qui procurent un intense plaisir gustatif. À savourer amoureusement à deux…</v>
          </cell>
          <cell r="Y334"/>
          <cell r="Z334" t="str">
            <v>Ingrédients : feuilles de chanvre* (Cannabis sativa) 45%, cataire* (Nepeta cataria) 20%, persil* (Petroselinum crispum), verveine odorante* (Aloysia citrodora) 10%, sarriette* (Satureja montana), boutons de rose* (Rosa damascena). *Issu de l’agriculture biologique.</v>
          </cell>
          <cell r="AA334" t="str">
            <v>/</v>
          </cell>
          <cell r="AB334" t="str">
            <v>/</v>
          </cell>
          <cell r="AC334">
            <v>25</v>
          </cell>
          <cell r="AD334" t="str">
            <v>5-10</v>
          </cell>
          <cell r="AE334">
            <v>95</v>
          </cell>
          <cell r="AF334">
            <v>2</v>
          </cell>
          <cell r="AG334">
            <v>13</v>
          </cell>
          <cell r="AH334">
            <v>3582815652065</v>
          </cell>
          <cell r="AI334" t="str">
            <v>/</v>
          </cell>
          <cell r="AJ334" t="str">
            <v>ETTUTH5206V5</v>
          </cell>
          <cell r="AK334" t="str">
            <v>ETTUTH5206V5</v>
          </cell>
          <cell r="AL334" t="str">
            <v>/</v>
          </cell>
          <cell r="AM334" t="str">
            <v>Sonnentor</v>
          </cell>
        </row>
        <row r="335">
          <cell r="A335" t="str">
            <v>TH5211</v>
          </cell>
          <cell r="B335"/>
          <cell r="C335"/>
          <cell r="D335"/>
          <cell r="E335"/>
          <cell r="F335"/>
          <cell r="G335"/>
          <cell r="H335" t="str">
            <v>LES BIENFAITRICES</v>
          </cell>
          <cell r="I335" t="str">
            <v>LES INFUSIONS DE PLANTES</v>
          </cell>
          <cell r="J335" t="str">
            <v>La tisane de Mamy</v>
          </cell>
          <cell r="K335" t="str">
            <v>Digestive
Menthe poivrée</v>
          </cell>
          <cell r="L335" t="str">
            <v>Infusion de plantes</v>
          </cell>
          <cell r="M335" t="str">
            <v>/</v>
          </cell>
          <cell r="N335" t="str">
            <v>AB</v>
          </cell>
          <cell r="O335" t="str">
            <v>/</v>
          </cell>
          <cell r="P335" t="str">
            <v>/</v>
          </cell>
          <cell r="Q335" t="str">
            <v>/</v>
          </cell>
          <cell r="R335" t="str">
            <v>/</v>
          </cell>
          <cell r="S335" t="str">
            <v>/</v>
          </cell>
          <cell r="T335" t="str">
            <v xml:space="preserve">Agriculture UE
</v>
          </cell>
          <cell r="U335"/>
          <cell r="V335" t="str">
            <v>Transmise de génération en génération, cette recette aux vertus digestives, un brin rustique, est un régal pour toute la famille avec ses saveurs fruitées accompagnées de notes mentholées. Légère, généreuse et fraîche comme un câlin de Mamy !</v>
          </cell>
          <cell r="W335" t="str">
            <v>S12</v>
          </cell>
          <cell r="X335" t="str">
            <v>Transmise de génération en génération, cette tisane aux vertus digestives, un brin rustique, est un régal pour toute la famille qui séduit avec ses saveurs fruitées accompagnées de notes mentholées. Légère, généreuse et fraîche comme un câlin de Mamy !</v>
          </cell>
          <cell r="Y335"/>
          <cell r="Z335" t="str">
            <v>Ingrédients : menthe poivrée* 50% (Mentha piperita), feuilles de mûrier* (Rubus fruticosus), écorces d’églantine* (Rosa canina), morceaux de pomme* (Malus domestica). *Issu de l'agriculture biologique.</v>
          </cell>
          <cell r="AA335"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335" t="str">
            <v>/</v>
          </cell>
          <cell r="AC335" t="str">
            <v>?</v>
          </cell>
          <cell r="AD335" t="str">
            <v>5-10</v>
          </cell>
          <cell r="AE335">
            <v>95</v>
          </cell>
          <cell r="AF335">
            <v>2</v>
          </cell>
          <cell r="AG335" t="str">
            <v>?</v>
          </cell>
          <cell r="AH335" t="str">
            <v>?</v>
          </cell>
          <cell r="AI335" t="str">
            <v>/</v>
          </cell>
          <cell r="AJ335" t="str">
            <v>INTERNE</v>
          </cell>
          <cell r="AK335" t="str">
            <v>INTERNE</v>
          </cell>
          <cell r="AL335" t="str">
            <v>/</v>
          </cell>
          <cell r="AM335" t="str">
            <v>Sonnentor</v>
          </cell>
        </row>
        <row r="336">
          <cell r="A336" t="str">
            <v>TH521</v>
          </cell>
          <cell r="B336"/>
          <cell r="C336" t="str">
            <v>X</v>
          </cell>
          <cell r="D336" t="str">
            <v>X</v>
          </cell>
          <cell r="E336"/>
          <cell r="F336" t="str">
            <v>GRAI</v>
          </cell>
          <cell r="G336">
            <v>45408</v>
          </cell>
          <cell r="H336" t="str">
            <v>LES BIENFAITRICES</v>
          </cell>
          <cell r="I336" t="str">
            <v>LES INFUSIONS DE PLANTES</v>
          </cell>
          <cell r="J336" t="str">
            <v>La tisane de Mamy</v>
          </cell>
          <cell r="K336" t="str">
            <v>Digestive
Menthe poivrée</v>
          </cell>
          <cell r="L336" t="str">
            <v>Infusion de plantes</v>
          </cell>
          <cell r="M336" t="str">
            <v>/</v>
          </cell>
          <cell r="N336" t="str">
            <v>AB</v>
          </cell>
          <cell r="O336" t="str">
            <v>/</v>
          </cell>
          <cell r="P336" t="str">
            <v>/</v>
          </cell>
          <cell r="Q336" t="str">
            <v>/</v>
          </cell>
          <cell r="R336" t="str">
            <v>/</v>
          </cell>
          <cell r="S336" t="str">
            <v>/</v>
          </cell>
          <cell r="T336" t="str">
            <v xml:space="preserve">Agriculture UE
</v>
          </cell>
          <cell r="U336"/>
          <cell r="V336" t="str">
            <v>Transmise de génération en génération, cette recette aux vertus digestives, un brin rustique, est un régal pour toute la famille avec ses saveurs fruitées accompagnées de notes mentholées. Légère, généreuse et fraîche comme un câlin de Mamy !</v>
          </cell>
          <cell r="W336" t="str">
            <v>S12</v>
          </cell>
          <cell r="X336" t="str">
            <v>Transmise de génération en génération, cette tisane aux vertus digestives, un brin rustique, est un régal pour toute la famille qui séduit avec ses saveurs fruitées accompagnées de notes mentholées. Légère, généreuse et fraîche comme un câlin de Mamy !</v>
          </cell>
          <cell r="Y336"/>
          <cell r="Z336" t="str">
            <v>Ingrédients : menthe poivrée* 50% (Mentha piperita), feuilles de mûrier* (Rubus fruticosus), écorces d’églantine* (Rosa canina), morceaux de pomme* (Malus domestica). *Issu de l'agriculture biologique.</v>
          </cell>
          <cell r="AA336"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336" t="str">
            <v>/</v>
          </cell>
          <cell r="AC336">
            <v>50</v>
          </cell>
          <cell r="AD336" t="str">
            <v>5-10</v>
          </cell>
          <cell r="AE336">
            <v>95</v>
          </cell>
          <cell r="AF336">
            <v>2</v>
          </cell>
          <cell r="AG336">
            <v>25</v>
          </cell>
          <cell r="AH336">
            <v>3582811005216</v>
          </cell>
          <cell r="AI336" t="str">
            <v>/</v>
          </cell>
          <cell r="AJ336" t="str">
            <v>ETHN5210V5</v>
          </cell>
          <cell r="AK336" t="str">
            <v>ETHN5210V5</v>
          </cell>
          <cell r="AL336" t="str">
            <v>/</v>
          </cell>
          <cell r="AM336" t="str">
            <v>Sonnentor</v>
          </cell>
        </row>
        <row r="337">
          <cell r="A337" t="str">
            <v>TH5226</v>
          </cell>
          <cell r="B337"/>
          <cell r="C337" t="str">
            <v>X</v>
          </cell>
          <cell r="D337"/>
          <cell r="E337"/>
          <cell r="F337"/>
          <cell r="G337"/>
          <cell r="H337" t="str">
            <v>LES GRANDS CLASSIQUES</v>
          </cell>
          <cell r="I337" t="str">
            <v>LES INFUSIONS DE PLANTES</v>
          </cell>
          <cell r="J337" t="str">
            <v>La tisane de Noël</v>
          </cell>
          <cell r="K337" t="str">
            <v>Cannelle - Mélisse</v>
          </cell>
          <cell r="L337" t="str">
            <v>Infusion de plantes</v>
          </cell>
          <cell r="M337"/>
          <cell r="N337" t="str">
            <v>AB</v>
          </cell>
          <cell r="O337" t="str">
            <v>/</v>
          </cell>
          <cell r="P337" t="str">
            <v>/</v>
          </cell>
          <cell r="Q337" t="str">
            <v>/</v>
          </cell>
          <cell r="R337" t="str">
            <v>/</v>
          </cell>
          <cell r="S337" t="str">
            <v>/</v>
          </cell>
          <cell r="T337" t="str">
            <v>Agriculture UE/non UE</v>
          </cell>
          <cell r="U337"/>
          <cell r="V337" t="str">
            <v>Mélange céleste de plantes, de fruits et d’épices offrant une infusion harmonieuse à la saveur fraîche, citronnée et épicée. Une tisane délicieuse à savourer avec amour pour célébrer l’esprit de Noël !</v>
          </cell>
          <cell r="W337" t="str">
            <v>S14</v>
          </cell>
          <cell r="X337" t="str">
            <v>Empreinte des traditions alsaciennes, cette Tisane de Noël particulièrement colorée et festive associe avec gourmandise les saveurs de la cannelle et de la mélisse. Une boisson pour toute la famille qui célèbre délicieusement l’esprit de Noël !</v>
          </cell>
          <cell r="Y337"/>
          <cell r="Z337" t="str">
            <v xml:space="preserve">Ingrédients : cannelle* 44%, mélisse* 21%, feuilles de mûrier*, écorces d'orange*, morceaux de pomme*, réglisse*, clous de girofle*, pétales de fleurs (souci*, bleuet*). *Issu de l'agriculture biologique. Contient de la réglisse, les personnes souffrant d'hypertension doivent éviter toute consommation excessive. </v>
          </cell>
          <cell r="AA337" t="str">
            <v>/</v>
          </cell>
          <cell r="AB337" t="str">
            <v>/</v>
          </cell>
          <cell r="AC337">
            <v>50</v>
          </cell>
          <cell r="AD337" t="str">
            <v>5-10</v>
          </cell>
          <cell r="AE337">
            <v>95</v>
          </cell>
          <cell r="AF337">
            <v>2</v>
          </cell>
          <cell r="AG337">
            <v>25</v>
          </cell>
          <cell r="AH337">
            <v>3582811005223</v>
          </cell>
          <cell r="AI337" t="str">
            <v>/</v>
          </cell>
          <cell r="AJ337" t="str">
            <v>ETHN522V5N</v>
          </cell>
          <cell r="AK337" t="str">
            <v>ETHN522V5N</v>
          </cell>
          <cell r="AL337" t="str">
            <v>ETCHN5222V5N</v>
          </cell>
          <cell r="AM337" t="str">
            <v>Création maison</v>
          </cell>
        </row>
        <row r="338">
          <cell r="A338" t="str">
            <v>TSTH5226V5</v>
          </cell>
          <cell r="B338"/>
          <cell r="C338" t="str">
            <v>X</v>
          </cell>
          <cell r="D338"/>
          <cell r="E338"/>
          <cell r="F338" t="str">
            <v>BRODART</v>
          </cell>
          <cell r="G338"/>
          <cell r="H338" t="str">
            <v>LES GRANDS CLASSIQUES</v>
          </cell>
          <cell r="I338" t="str">
            <v>LES INFUSIONS DE PLANTES</v>
          </cell>
          <cell r="J338" t="str">
            <v>La tisane de Noël</v>
          </cell>
          <cell r="K338" t="str">
            <v>Cannelle - Mélisse</v>
          </cell>
          <cell r="L338" t="str">
            <v>Infusion de plantes</v>
          </cell>
          <cell r="M338"/>
          <cell r="N338" t="str">
            <v>AB</v>
          </cell>
          <cell r="O338" t="str">
            <v>/</v>
          </cell>
          <cell r="P338" t="str">
            <v>/</v>
          </cell>
          <cell r="Q338" t="str">
            <v>/</v>
          </cell>
          <cell r="R338" t="str">
            <v>/</v>
          </cell>
          <cell r="S338" t="str">
            <v>/</v>
          </cell>
          <cell r="T338" t="str">
            <v>Agriculture UE/non UE</v>
          </cell>
          <cell r="U338"/>
          <cell r="V338" t="str">
            <v>Mélange céleste de plantes, de fruits et d’épices offrant une infusion harmonieuse à la saveur fraîche, citronnée et épicée. Une tisane délicieuse à savourer avec amour pour célébrer l’esprit de Noël !</v>
          </cell>
          <cell r="W338" t="str">
            <v>S14</v>
          </cell>
          <cell r="X338" t="str">
            <v>Empreinte des traditions alsaciennes, cette Tisane de Noël particulièrement colorée et festive associe avec gourmandise les saveurs de la cannelle et de la mélisse. Une boisson pour toute la famille qui célèbre délicieusement l’esprit de Noël !</v>
          </cell>
          <cell r="Y338"/>
          <cell r="Z338" t="str">
            <v xml:space="preserve">Ingrédients : cannelle* 44%, mélisse* 21%, feuilles de mûrier*, écorces d'orange*, morceaux de pomme*, réglisse*, clous de girofle*, pétales de fleurs (souci*, bleuet*). *Issu de l'agriculture biologique. Contient de la réglisse, les personnes souffrant d'hypertension doivent éviter toute consommation excessive. </v>
          </cell>
          <cell r="AA338" t="str">
            <v>/</v>
          </cell>
          <cell r="AB338" t="str">
            <v>/</v>
          </cell>
          <cell r="AC338">
            <v>50</v>
          </cell>
          <cell r="AD338" t="str">
            <v>5-10</v>
          </cell>
          <cell r="AE338">
            <v>95</v>
          </cell>
          <cell r="AF338">
            <v>2</v>
          </cell>
          <cell r="AG338">
            <v>25</v>
          </cell>
          <cell r="AH338">
            <v>3582813352264</v>
          </cell>
          <cell r="AI338" t="str">
            <v>/</v>
          </cell>
          <cell r="AJ338" t="str">
            <v>ETTSTH5226</v>
          </cell>
          <cell r="AK338" t="str">
            <v>ETTSTH5226V5</v>
          </cell>
          <cell r="AL338" t="str">
            <v>Q de tube</v>
          </cell>
          <cell r="AM338" t="str">
            <v>Création maison</v>
          </cell>
        </row>
        <row r="339">
          <cell r="A339" t="str">
            <v>TH5221</v>
          </cell>
          <cell r="B339"/>
          <cell r="C339" t="str">
            <v>X</v>
          </cell>
          <cell r="D339"/>
          <cell r="E339"/>
          <cell r="F339"/>
          <cell r="G339"/>
          <cell r="H339" t="str">
            <v>LES GRANDS CLASSIQUES</v>
          </cell>
          <cell r="I339" t="str">
            <v>LES INFUSIONS DE PLANTES</v>
          </cell>
          <cell r="J339" t="str">
            <v>La tisane de Noël/d'hiver</v>
          </cell>
          <cell r="K339" t="str">
            <v>Cannelle - Mélisse</v>
          </cell>
          <cell r="L339" t="str">
            <v>Infusion de plantes</v>
          </cell>
          <cell r="M339"/>
          <cell r="N339" t="str">
            <v>AB</v>
          </cell>
          <cell r="O339" t="str">
            <v>/</v>
          </cell>
          <cell r="P339" t="str">
            <v>/</v>
          </cell>
          <cell r="Q339" t="str">
            <v>/</v>
          </cell>
          <cell r="R339" t="str">
            <v>/</v>
          </cell>
          <cell r="S339" t="str">
            <v>/</v>
          </cell>
          <cell r="T339" t="str">
            <v>Agriculture UE/non UE</v>
          </cell>
          <cell r="U339"/>
          <cell r="V339" t="str">
            <v>Mélange céleste de plantes, de fruits et d’épices offrant une infusion harmonieuse à la saveur fraîche, citronnée et épicée. Une tisane délicieuse à savourer avec amour pour célébrer l’esprit de Noël !</v>
          </cell>
          <cell r="W339" t="str">
            <v>S14</v>
          </cell>
          <cell r="X339" t="str">
            <v>Empreinte des traditions alsaciennes, cette Tisane de Noël particulièrement colorée et festive associe avec gourmandise les saveurs de la cannelle et de la mélisse. Une boisson pour toute la famille qui célèbre délicieusement l’esprit de Noël !</v>
          </cell>
          <cell r="Y339"/>
          <cell r="Z339" t="str">
            <v xml:space="preserve">Ingrédients : cannelle* 44%, mélisse* 21%, feuilles de mûrier*, écorces d'orange*, morceaux de pomme*, réglisse*, clous de girofle*, pétales de fleurs (souci*, bleuet*). *Issu de l'agriculture biologique. Contient de la réglisse, les personnes souffrant d'hypertension doivent éviter toute consommation excessive. </v>
          </cell>
          <cell r="AA339" t="str">
            <v>/</v>
          </cell>
          <cell r="AB339" t="str">
            <v>/</v>
          </cell>
          <cell r="AC339">
            <v>1.5</v>
          </cell>
          <cell r="AD339" t="str">
            <v>5-10</v>
          </cell>
          <cell r="AE339">
            <v>95</v>
          </cell>
          <cell r="AF339">
            <v>2</v>
          </cell>
          <cell r="AG339">
            <v>750</v>
          </cell>
          <cell r="AH339">
            <v>3582811052210</v>
          </cell>
          <cell r="AI339" t="str">
            <v>/</v>
          </cell>
          <cell r="AJ339" t="str">
            <v>INTERNE</v>
          </cell>
          <cell r="AK339" t="str">
            <v>INTERNE</v>
          </cell>
          <cell r="AL339" t="str">
            <v>/</v>
          </cell>
          <cell r="AM339" t="str">
            <v>Création maison</v>
          </cell>
        </row>
        <row r="340">
          <cell r="A340" t="str">
            <v>TH5226</v>
          </cell>
          <cell r="B340"/>
          <cell r="C340" t="str">
            <v>X</v>
          </cell>
          <cell r="D340"/>
          <cell r="E340"/>
          <cell r="F340" t="str">
            <v>BRODART</v>
          </cell>
          <cell r="G340"/>
          <cell r="H340" t="str">
            <v>LES GRANDS CLASSIQUES</v>
          </cell>
          <cell r="I340" t="str">
            <v>LES INFUSIONS DE PLANTES</v>
          </cell>
          <cell r="J340" t="str">
            <v>La tisane d'hiver</v>
          </cell>
          <cell r="K340" t="str">
            <v>Cannelle - Mélisse</v>
          </cell>
          <cell r="L340" t="str">
            <v>Infusion de plantes</v>
          </cell>
          <cell r="M340"/>
          <cell r="N340" t="str">
            <v>AB</v>
          </cell>
          <cell r="O340" t="str">
            <v>/</v>
          </cell>
          <cell r="P340" t="str">
            <v>/</v>
          </cell>
          <cell r="Q340" t="str">
            <v>/</v>
          </cell>
          <cell r="R340" t="str">
            <v>/</v>
          </cell>
          <cell r="S340" t="str">
            <v>/</v>
          </cell>
          <cell r="T340" t="str">
            <v>Agriculture UE/non UE</v>
          </cell>
          <cell r="U340"/>
          <cell r="V340" t="str">
            <v>Mélange céleste de plantes, de fruits et d’épices offrant une infusion harmonieuse à la saveur fraîche, citronnée et épicée. Une tisane délicieuse à savourer avec amour pour célébrer l’esprit de Noël !</v>
          </cell>
          <cell r="W340" t="str">
            <v>S14</v>
          </cell>
          <cell r="X340"/>
          <cell r="Y340"/>
          <cell r="Z340" t="str">
            <v>Ingrédients : cannelle* 44%, mélisse* 21%, feuilles de mûrier*, écorces d'orange*, morceaux de pomme*, réglisse*, clous de girofle*, pétales de fleurs (souci*, bleuet*). *Issu de l'agriculture biologique. Contient de la réglisse, les personnes souffrant d'hypertension doivent éviter toute consommation excessive. =&gt; Pas de latin ?</v>
          </cell>
          <cell r="AA340" t="str">
            <v>/</v>
          </cell>
          <cell r="AB340" t="str">
            <v>/</v>
          </cell>
          <cell r="AC340">
            <v>50</v>
          </cell>
          <cell r="AD340" t="str">
            <v>5-10</v>
          </cell>
          <cell r="AE340">
            <v>95</v>
          </cell>
          <cell r="AF340">
            <v>2</v>
          </cell>
          <cell r="AG340">
            <v>25</v>
          </cell>
          <cell r="AH340">
            <v>3582811005223</v>
          </cell>
          <cell r="AI340" t="str">
            <v>/</v>
          </cell>
          <cell r="AJ340" t="str">
            <v>ETHN522V5</v>
          </cell>
          <cell r="AK340" t="str">
            <v>ETHN522V5</v>
          </cell>
          <cell r="AL340" t="str">
            <v>ETCHN5222V5</v>
          </cell>
          <cell r="AM340" t="str">
            <v>Création maison</v>
          </cell>
        </row>
        <row r="341">
          <cell r="A341" t="str">
            <v>TR2071</v>
          </cell>
          <cell r="B341"/>
          <cell r="C341" t="str">
            <v>X</v>
          </cell>
          <cell r="D341"/>
          <cell r="E341"/>
          <cell r="F341"/>
          <cell r="G341"/>
          <cell r="H341" t="str">
            <v>LES GRANDS CLASSIQUES</v>
          </cell>
          <cell r="I341"/>
          <cell r="J341" t="str">
            <v>La voie lactée</v>
          </cell>
          <cell r="K341" t="str">
            <v>Caramel</v>
          </cell>
          <cell r="L341" t="str">
            <v>Rooibos aromatisé</v>
          </cell>
          <cell r="M341" t="str">
            <v>Afrique du Sud - Cap Occidental</v>
          </cell>
          <cell r="N341" t="str">
            <v>AB</v>
          </cell>
          <cell r="O341" t="str">
            <v>WFTO</v>
          </cell>
          <cell r="P341" t="str">
            <v>/</v>
          </cell>
          <cell r="Q341" t="str">
            <v>/</v>
          </cell>
          <cell r="R341" t="str">
            <v>/</v>
          </cell>
          <cell r="S341" t="str">
            <v>/</v>
          </cell>
          <cell r="T341" t="str">
            <v>Agriculture UE/non UE</v>
          </cell>
          <cell r="U341"/>
          <cell r="V341" t="str">
            <v xml:space="preserve">Les notes vanillées et boisées du rooibos se mêlent ici délicieusement aux saveurs onctueuses et lactées du caramel. Une recette d’une grande gourmandise qui s’apprécie à tout moment de la journée. </v>
          </cell>
          <cell r="W341" t="str">
            <v>S14</v>
          </cell>
          <cell r="X341" t="str">
            <v xml:space="preserve">Les notes vanillées et boisées du rooibos se mêlent ici délicieusement aux saveurs onctueuses et lactées du caramel. Une recette d’une grande gourmandise qui s’apprécie à tout moment de la journée. </v>
          </cell>
          <cell r="Y341"/>
          <cell r="Z341" t="str">
            <v>Ingrédients : rooibos*, arôme naturel de (caramel* 7%, vanille*), morceaux de caramel* 6% (sucre de canne*, sirop de glucose*, beurre de cacao*, poudre de lait de coco*, protéine de pois*, dextrose*, fleur de sel, arôme naturel de vanille bourbon*, lécithine de tournesol*), pétales de bleuet blanc*. *Issu de l'agriculture biologique.
Informations nutritionnelles moyennes pour 100 ml : Energie 3 kJ/1 kcal. Contient des quantités négligeables de matières grasses dont acides gras saturés, de glucides dont sucres, de protéines et de sel.</v>
          </cell>
          <cell r="AA341" t="str">
            <v>/</v>
          </cell>
          <cell r="AB341" t="str">
            <v>Membre certifié World Fair Trade Organization, Les Jardins de Gaïa s’engagent pour un commerce plus juste et répondent aux exigences du commerce équitable. Pour en savoir plus : www.wfto.com.</v>
          </cell>
          <cell r="AC341">
            <v>1.5</v>
          </cell>
          <cell r="AD341" t="str">
            <v>5-10</v>
          </cell>
          <cell r="AE341">
            <v>95</v>
          </cell>
          <cell r="AF341">
            <v>2</v>
          </cell>
          <cell r="AG341">
            <v>750</v>
          </cell>
          <cell r="AH341">
            <v>3582810920718</v>
          </cell>
          <cell r="AI341" t="str">
            <v>/</v>
          </cell>
          <cell r="AJ341" t="str">
            <v>INTERNE</v>
          </cell>
          <cell r="AK341" t="str">
            <v>INTERNE</v>
          </cell>
          <cell r="AL341" t="str">
            <v>/</v>
          </cell>
          <cell r="AM341" t="str">
            <v>Création maison</v>
          </cell>
        </row>
        <row r="342">
          <cell r="A342" t="str">
            <v>TR2072</v>
          </cell>
          <cell r="B342"/>
          <cell r="C342" t="str">
            <v>X</v>
          </cell>
          <cell r="D342" t="str">
            <v>X</v>
          </cell>
          <cell r="E342" t="str">
            <v>X</v>
          </cell>
          <cell r="F342" t="str">
            <v>BRODART</v>
          </cell>
          <cell r="G342"/>
          <cell r="H342" t="str">
            <v>LES GRANDS CLASSIQUES</v>
          </cell>
          <cell r="I342"/>
          <cell r="J342" t="str">
            <v>La voie lactée</v>
          </cell>
          <cell r="K342" t="str">
            <v>Caramel</v>
          </cell>
          <cell r="L342" t="str">
            <v>Rooibos aromatisé</v>
          </cell>
          <cell r="M342" t="str">
            <v>Afrique du Sud - Cap Occidental</v>
          </cell>
          <cell r="N342" t="str">
            <v>AB</v>
          </cell>
          <cell r="O342" t="str">
            <v>WFTO</v>
          </cell>
          <cell r="P342" t="str">
            <v>/</v>
          </cell>
          <cell r="Q342" t="str">
            <v>/</v>
          </cell>
          <cell r="R342" t="str">
            <v>/</v>
          </cell>
          <cell r="S342" t="str">
            <v>/</v>
          </cell>
          <cell r="T342" t="str">
            <v>Agriculture UE/non UE</v>
          </cell>
          <cell r="U342"/>
          <cell r="V342" t="str">
            <v xml:space="preserve">Les notes vanillées et boisées du rooibos se mêlent ici délicieusement aux saveurs onctueuses et lactées du caramel. Une recette d’une grande gourmandise qui s’apprécie à tout moment de la journée. </v>
          </cell>
          <cell r="W342" t="str">
            <v>S14</v>
          </cell>
          <cell r="X342" t="str">
            <v xml:space="preserve">Les notes vanillées et boisées du rooibos se mêlent ici délicieusement aux saveurs onctueuses et lactées du caramel. Une recette d’une grande gourmandise qui s’apprécie à tout moment de la journée. </v>
          </cell>
          <cell r="Y342"/>
          <cell r="Z342" t="str">
            <v>Ingrédients : rooibos*, arôme naturel de (caramel* 7%, vanille*), morceaux de caramel* 6% (sucre de canne*, sirop de glucose*, beurre de cacao*, poudre de lait de coco*, protéine de pois*, dextrose*, fleur de sel, arôme naturel de vanille bourbon*, lécithine de tournesol*), pétales de bleuet blanc*. *Issu de l'agriculture biologique.
Informations nutritionnelles moyennes pour 100 ml : Energie 3 kJ/1 kcal. Contient des quantités négligeables de matières grasses dont acides gras saturés, de glucides dont sucres, de protéines et de sel.</v>
          </cell>
          <cell r="AA342" t="str">
            <v>/</v>
          </cell>
          <cell r="AB342" t="str">
            <v>Membre certifié World Fair Trade Organization, Les Jardins de Gaïa s’engagent pour un commerce plus juste et répondent aux exigences du commerce équitable. Pour en savoir plus : www.wfto.com.</v>
          </cell>
          <cell r="AC342">
            <v>100</v>
          </cell>
          <cell r="AD342" t="str">
            <v>5-10</v>
          </cell>
          <cell r="AE342">
            <v>95</v>
          </cell>
          <cell r="AF342">
            <v>2</v>
          </cell>
          <cell r="AG342">
            <v>50</v>
          </cell>
          <cell r="AH342">
            <v>3582810920725</v>
          </cell>
          <cell r="AI342" t="str">
            <v>/</v>
          </cell>
          <cell r="AJ342" t="str">
            <v>ETRA207V5</v>
          </cell>
          <cell r="AK342" t="str">
            <v>ETRA207V5</v>
          </cell>
          <cell r="AL342" t="str">
            <v>ETCRA2072V5</v>
          </cell>
          <cell r="AM342" t="str">
            <v>Création maison</v>
          </cell>
        </row>
        <row r="343">
          <cell r="A343" t="str">
            <v>TA6751</v>
          </cell>
          <cell r="B343"/>
          <cell r="C343"/>
          <cell r="D343"/>
          <cell r="E343"/>
          <cell r="F343"/>
          <cell r="G343"/>
          <cell r="H343" t="str">
            <v>LES GRANDS CLASSIQUES</v>
          </cell>
          <cell r="I343"/>
          <cell r="J343" t="str">
            <v>Lady Yang Guifei</v>
          </cell>
          <cell r="K343" t="str">
            <v>Saveurs litchi - poire</v>
          </cell>
          <cell r="L343" t="str">
            <v>Thé vert aromatisé</v>
          </cell>
          <cell r="M343" t="str">
            <v>Inde - Chine</v>
          </cell>
          <cell r="N343" t="str">
            <v>AB</v>
          </cell>
          <cell r="O343" t="str">
            <v>WFTO</v>
          </cell>
          <cell r="P343" t="str">
            <v>/</v>
          </cell>
          <cell r="Q343" t="str">
            <v>/</v>
          </cell>
          <cell r="R343" t="str">
            <v>/</v>
          </cell>
          <cell r="S343" t="str">
            <v>/</v>
          </cell>
          <cell r="T343" t="str">
            <v>Agriculture UE/non UE</v>
          </cell>
          <cell r="U343"/>
          <cell r="V343" t="str">
            <v>Hommage à la beauté proverbiale d'une héroïne de légende. Sucrée et fraîche, cette rencontre tout en douceur du thé vert et d'un fruit fragile au léger goût de rose, habilement contrasté par la saveur sucrée de la poire est un ravissement !</v>
          </cell>
          <cell r="W343"/>
          <cell r="X343" t="str">
            <v>À la fois frais et fruité, ce thé vert associé au goût délicat de litchi accompagné de notes de poire, nous transporte dans la romance entre Lady Yang et l’empereur Xuanzong. À la différence de leur relation passionnelle et tragique, cette liqueur vous transportera sur un nuage de douceur.</v>
          </cell>
          <cell r="Y343"/>
          <cell r="Z343" t="str">
            <v>Ingrédients : thé vert*, arômes naturels de (poire*, litchi) 11%, pétales de rose*. *Issu de l'agriculture biologique.</v>
          </cell>
          <cell r="AA343" t="str">
            <v>/</v>
          </cell>
          <cell r="AB343" t="str">
            <v>Membre certifié World Fair Trade Organization, Les Jardins de Gaïa s’engagent pour un commerce plus juste et répondent aux exigences du commerce équitable. Pour en savoir plus : www.wfto.com.</v>
          </cell>
          <cell r="AC343">
            <v>1.5</v>
          </cell>
          <cell r="AD343" t="str">
            <v>3</v>
          </cell>
          <cell r="AE343">
            <v>75</v>
          </cell>
          <cell r="AF343">
            <v>2</v>
          </cell>
          <cell r="AG343">
            <v>750</v>
          </cell>
          <cell r="AH343">
            <v>3582810867518</v>
          </cell>
          <cell r="AI343" t="str">
            <v>/</v>
          </cell>
          <cell r="AJ343" t="str">
            <v>INTERNE</v>
          </cell>
          <cell r="AK343" t="str">
            <v>INTERNE</v>
          </cell>
          <cell r="AL343" t="str">
            <v>/</v>
          </cell>
          <cell r="AM343" t="str">
            <v>Création maison</v>
          </cell>
        </row>
        <row r="344">
          <cell r="A344" t="str">
            <v>TA6752</v>
          </cell>
          <cell r="B344"/>
          <cell r="C344" t="str">
            <v>X</v>
          </cell>
          <cell r="D344" t="str">
            <v>x</v>
          </cell>
          <cell r="E344" t="str">
            <v>X</v>
          </cell>
          <cell r="F344" t="str">
            <v>GRAI</v>
          </cell>
          <cell r="G344">
            <v>45383</v>
          </cell>
          <cell r="H344" t="str">
            <v>LES GRANDS CLASSIQUES</v>
          </cell>
          <cell r="I344"/>
          <cell r="J344" t="str">
            <v>Lady Yang Guifei</v>
          </cell>
          <cell r="K344" t="str">
            <v>Saveurs litchi - poire</v>
          </cell>
          <cell r="L344" t="str">
            <v>Thé vert aromatisé</v>
          </cell>
          <cell r="M344" t="str">
            <v>Inde - Chine</v>
          </cell>
          <cell r="N344" t="str">
            <v>AB</v>
          </cell>
          <cell r="O344" t="str">
            <v>WFTO</v>
          </cell>
          <cell r="P344" t="str">
            <v>/</v>
          </cell>
          <cell r="Q344" t="str">
            <v>/</v>
          </cell>
          <cell r="R344" t="str">
            <v>/</v>
          </cell>
          <cell r="S344" t="str">
            <v>/</v>
          </cell>
          <cell r="T344" t="str">
            <v>Agriculture UE/non UE</v>
          </cell>
          <cell r="U344"/>
          <cell r="V344" t="str">
            <v>Hommage à la beauté proverbiale d'une héroïne de légende. Sucrée et fraîche, cette rencontre tout en douceur du thé vert et d'un fruit fragile au léger goût de rose, habilement contrasté par la saveur sucrée de la poire est un ravissement !</v>
          </cell>
          <cell r="W344"/>
          <cell r="X344" t="str">
            <v>À la fois frais et fruité, ce thé vert associé au goût délicat de litchi accompagné de notes de poire, nous transporte dans la romance entre Lady Yang et l’empereur Xuanzong. À la différence de leur relation passionnelle et tragique, cette liqueur vous transportera sur un nuage de douceur.</v>
          </cell>
          <cell r="Y344"/>
          <cell r="Z344" t="str">
            <v>Ingrédients : thé vert*, arômes naturels de (poire*, litchi) 11%, pétales de rose*. *Issu de l'agriculture biologique.</v>
          </cell>
          <cell r="AA344" t="str">
            <v>/</v>
          </cell>
          <cell r="AB344" t="str">
            <v>Membre certifié World Fair Trade Organization, Les Jardins de Gaïa s’engagent pour un commerce plus juste et répondent aux exigences du commerce équitable. Pour en savoir plus : www.wfto.com.</v>
          </cell>
          <cell r="AC344">
            <v>100</v>
          </cell>
          <cell r="AD344" t="str">
            <v>3</v>
          </cell>
          <cell r="AE344">
            <v>75</v>
          </cell>
          <cell r="AF344">
            <v>2</v>
          </cell>
          <cell r="AG344">
            <v>50</v>
          </cell>
          <cell r="AH344">
            <v>3582810867525</v>
          </cell>
          <cell r="AI344" t="str">
            <v>/</v>
          </cell>
          <cell r="AJ344" t="str">
            <v>ETVA675V5</v>
          </cell>
          <cell r="AK344" t="str">
            <v>ETVA675V5</v>
          </cell>
          <cell r="AL344" t="str">
            <v>ETCVA6752V5</v>
          </cell>
          <cell r="AM344" t="str">
            <v>TPI + Guzhang Gaofeng Organic Tea Association</v>
          </cell>
        </row>
        <row r="345">
          <cell r="A345" t="str">
            <v>TU6752</v>
          </cell>
          <cell r="B345"/>
          <cell r="C345"/>
          <cell r="D345"/>
          <cell r="E345"/>
          <cell r="F345"/>
          <cell r="G345"/>
          <cell r="H345" t="str">
            <v>LES GRANDS CLASSIQUES</v>
          </cell>
          <cell r="I345"/>
          <cell r="J345" t="str">
            <v>Lady Yang Guifei</v>
          </cell>
          <cell r="K345" t="str">
            <v>Saveurs litchi - poire</v>
          </cell>
          <cell r="L345" t="str">
            <v>Thé vert aromatisé</v>
          </cell>
          <cell r="M345" t="str">
            <v>Inde - Chine</v>
          </cell>
          <cell r="N345" t="str">
            <v>AB</v>
          </cell>
          <cell r="O345" t="str">
            <v>WFTO</v>
          </cell>
          <cell r="P345" t="str">
            <v>/</v>
          </cell>
          <cell r="Q345" t="str">
            <v>/</v>
          </cell>
          <cell r="R345" t="str">
            <v>/</v>
          </cell>
          <cell r="S345" t="str">
            <v>/</v>
          </cell>
          <cell r="T345" t="str">
            <v>Agriculture UE/non UE</v>
          </cell>
          <cell r="U345"/>
          <cell r="V345" t="str">
            <v>Hommage à la beauté proverbiale d'une héroïne de légende. Sucrée et fraîche, cette rencontre tout en douceur du thé vert et d'un fruit fragile au léger goût de rose, habilement contrasté par la saveur sucrée de la poire est un ravissement !</v>
          </cell>
          <cell r="W345"/>
          <cell r="X345" t="str">
            <v>À la fois frais et fruité, ce thé vert associé au goût délicat de litchi accompagné de notes de poire, nous transporte dans la romance entre Lady Yang et l’empereur Xuanzong. À la différence de leur relation passionnelle et tragique, cette liqueur vous transportera sur un nuage de douceur.</v>
          </cell>
          <cell r="Y345"/>
          <cell r="Z345" t="str">
            <v>Ingrédients : thé vert*, arômes naturels de (poire*, litchi) 11%, pétales de rose*. *Issu de l'agriculture biologique.</v>
          </cell>
          <cell r="AA345" t="str">
            <v>/</v>
          </cell>
          <cell r="AB345" t="str">
            <v>Membre certifié World Fair Trade Organization, Les Jardins de Gaïa s’engagent pour un commerce plus juste et répondent aux exigences du commerce équitable. Pour en savoir plus : www.wfto.com.</v>
          </cell>
          <cell r="AC345">
            <v>100</v>
          </cell>
          <cell r="AD345" t="str">
            <v>3</v>
          </cell>
          <cell r="AE345">
            <v>75</v>
          </cell>
          <cell r="AF345">
            <v>2</v>
          </cell>
          <cell r="AG345">
            <v>50</v>
          </cell>
          <cell r="AH345">
            <v>3582815567529</v>
          </cell>
          <cell r="AI345" t="str">
            <v>/</v>
          </cell>
          <cell r="AJ345" t="str">
            <v>ETTUVA6752V5</v>
          </cell>
          <cell r="AK345" t="str">
            <v>ETTUVA6752V5</v>
          </cell>
          <cell r="AL345" t="str">
            <v>/</v>
          </cell>
          <cell r="AM345" t="str">
            <v>Création maison</v>
          </cell>
        </row>
        <row r="346">
          <cell r="A346" t="str">
            <v>TR2301</v>
          </cell>
          <cell r="B346"/>
          <cell r="C346" t="str">
            <v>X</v>
          </cell>
          <cell r="D346"/>
          <cell r="E346"/>
          <cell r="F346"/>
          <cell r="G346"/>
          <cell r="H346" t="str">
            <v>LES GRANDS CLASSIQUES</v>
          </cell>
          <cell r="I346"/>
          <cell r="J346" t="str">
            <v>L'Africain</v>
          </cell>
          <cell r="K346" t="str">
            <v>Ananas - Coco</v>
          </cell>
          <cell r="L346" t="str">
            <v>Rooibos aromatisé</v>
          </cell>
          <cell r="M346" t="str">
            <v>Afrique du Sud - Cap Occidental</v>
          </cell>
          <cell r="N346" t="str">
            <v>AB</v>
          </cell>
          <cell r="O346" t="str">
            <v>WFTO</v>
          </cell>
          <cell r="P346" t="str">
            <v>/</v>
          </cell>
          <cell r="Q346" t="str">
            <v>/</v>
          </cell>
          <cell r="R346" t="str">
            <v>/</v>
          </cell>
          <cell r="S346" t="str">
            <v>/</v>
          </cell>
          <cell r="T346" t="str">
            <v>Agriculture non UE</v>
          </cell>
          <cell r="U346"/>
          <cell r="V346" t="str">
            <v>Namibie, Afrique du Sud, Botswana, Zimbabwe… Rencontre séduisante avec la beauté et la puissance du continent africain, ce rooibos agrémenté d'un cocktail de fruits exotiques nous offre une boisson gorgée de soleil et particulièrement aromatique, qui va enivrer tous vos sens.</v>
          </cell>
          <cell r="W346" t="str">
            <v>S14</v>
          </cell>
          <cell r="X346" t="str">
            <v xml:space="preserve">Laissez-vous emporter par la beauté et la puissance du continent africain avec ce rooibos gorgé de soleil ! Le mariage de l’ananas et de la noix de coco sur le fond vanillé du rooibos est une invitation à un voyage délicieusement fruité, aussi exotique que gourmand… </v>
          </cell>
          <cell r="Y346"/>
          <cell r="Z346" t="str">
            <v>Ingrédients: rooibos*, arômes naturels de (ananas* 5%, noix de coco* 4%, banane*), morceaux de fruits (ananas* 1%, banane*), copeaux de noix de coco* 1%. *Issu de l'agriculture biologique.</v>
          </cell>
          <cell r="AA346" t="str">
            <v>/</v>
          </cell>
          <cell r="AB346" t="str">
            <v>Membre certifié World Fair Trade Organization, Les Jardins de Gaïa s’engagent pour un commerce plus juste et répondent aux exigences du commerce équitable. Pour en savoir plus : www.wfto.com.</v>
          </cell>
          <cell r="AC346">
            <v>1.5</v>
          </cell>
          <cell r="AD346" t="str">
            <v>5-10</v>
          </cell>
          <cell r="AE346">
            <v>95</v>
          </cell>
          <cell r="AF346">
            <v>2</v>
          </cell>
          <cell r="AG346">
            <v>750</v>
          </cell>
          <cell r="AH346">
            <v>3582810923016</v>
          </cell>
          <cell r="AI346" t="str">
            <v>/</v>
          </cell>
          <cell r="AJ346" t="str">
            <v>INTERNE</v>
          </cell>
          <cell r="AK346" t="str">
            <v>INTERNE</v>
          </cell>
          <cell r="AL346" t="str">
            <v>/</v>
          </cell>
          <cell r="AM346" t="str">
            <v>Création maison</v>
          </cell>
        </row>
        <row r="347">
          <cell r="A347" t="str">
            <v>TR2302</v>
          </cell>
          <cell r="B347"/>
          <cell r="C347" t="str">
            <v>X</v>
          </cell>
          <cell r="D347" t="str">
            <v>X</v>
          </cell>
          <cell r="E347" t="str">
            <v>X</v>
          </cell>
          <cell r="F347" t="str">
            <v>BRODART</v>
          </cell>
          <cell r="G347"/>
          <cell r="H347" t="str">
            <v>LES GRANDS CLASSIQUES</v>
          </cell>
          <cell r="I347"/>
          <cell r="J347" t="str">
            <v>L'Africain</v>
          </cell>
          <cell r="K347" t="str">
            <v>Ananas - Coco</v>
          </cell>
          <cell r="L347" t="str">
            <v>Rooibos aromatisé</v>
          </cell>
          <cell r="M347" t="str">
            <v>Afrique du Sud - Cap Occidental</v>
          </cell>
          <cell r="N347" t="str">
            <v>AB</v>
          </cell>
          <cell r="O347" t="str">
            <v>WFTO</v>
          </cell>
          <cell r="P347" t="str">
            <v>/</v>
          </cell>
          <cell r="Q347" t="str">
            <v>/</v>
          </cell>
          <cell r="R347" t="str">
            <v>/</v>
          </cell>
          <cell r="S347" t="str">
            <v>/</v>
          </cell>
          <cell r="T347" t="str">
            <v>Agriculture non UE</v>
          </cell>
          <cell r="U347"/>
          <cell r="V347" t="str">
            <v>Namibie, Afrique du Sud, Botswana, Zimbabwe… Rencontre séduisante avec la beauté et la puissance du continent africain, ce rooibos agrémenté d'un cocktail de fruits exotiques nous offre une boisson gorgée de soleil et particulièrement aromatique, qui va enivrer tous vos sens.</v>
          </cell>
          <cell r="W347" t="str">
            <v>S14</v>
          </cell>
          <cell r="X347" t="str">
            <v xml:space="preserve">Laissez-vous emporter par la beauté et la puissance du continent africain avec ce rooibos gorgé de soleil ! Le mariage de l’ananas et de la noix de coco sur le fond vanillé du rooibos est une invitation à un voyage délicieusement fruité, aussi exotique que gourmand… </v>
          </cell>
          <cell r="Y347"/>
          <cell r="Z347" t="str">
            <v>Ingrédients: rooibos*, arômes naturels de (ananas* 5%, noix de coco* 4%, banane*), morceaux de fruits (ananas* 1%, banane*), copeaux de noix de coco* 1%. *Issu de l'agriculture biologique.</v>
          </cell>
          <cell r="AA347" t="str">
            <v>/</v>
          </cell>
          <cell r="AB347" t="str">
            <v>Membre certifié World Fair Trade Organization, Les Jardins de Gaïa s’engagent pour un commerce plus juste et répondent aux exigences du commerce équitable. Pour en savoir plus : www.wfto.com.</v>
          </cell>
          <cell r="AC347">
            <v>100</v>
          </cell>
          <cell r="AD347" t="str">
            <v>5-10</v>
          </cell>
          <cell r="AE347">
            <v>95</v>
          </cell>
          <cell r="AF347">
            <v>2</v>
          </cell>
          <cell r="AG347">
            <v>50</v>
          </cell>
          <cell r="AH347">
            <v>3582810923023</v>
          </cell>
          <cell r="AI347" t="str">
            <v>/</v>
          </cell>
          <cell r="AJ347" t="str">
            <v>ETRA230V5</v>
          </cell>
          <cell r="AK347" t="str">
            <v>ETRA230V5</v>
          </cell>
          <cell r="AL347" t="str">
            <v>ETCRA2302V5</v>
          </cell>
          <cell r="AM347" t="str">
            <v>Création maison</v>
          </cell>
        </row>
        <row r="348">
          <cell r="A348" t="str">
            <v>TL4031</v>
          </cell>
          <cell r="B348"/>
          <cell r="C348"/>
          <cell r="D348"/>
          <cell r="E348"/>
          <cell r="F348"/>
          <cell r="G348"/>
          <cell r="H348" t="str">
            <v>LES BIENFAITRICES</v>
          </cell>
          <cell r="I348" t="str">
            <v>LES INFUSIONS DE PLANTES</v>
          </cell>
          <cell r="J348" t="str">
            <v>Lapacho Agrumes</v>
          </cell>
          <cell r="K348" t="str">
            <v>Antioxydant &amp; Défenses immunitaires</v>
          </cell>
          <cell r="L348" t="str">
            <v>Infusion aromatisée</v>
          </cell>
          <cell r="M348" t="str">
            <v>Brésil</v>
          </cell>
          <cell r="N348" t="str">
            <v>AB</v>
          </cell>
          <cell r="O348" t="str">
            <v>/</v>
          </cell>
          <cell r="P348" t="str">
            <v>/</v>
          </cell>
          <cell r="Q348" t="str">
            <v>/</v>
          </cell>
          <cell r="R348" t="str">
            <v>/</v>
          </cell>
          <cell r="S348" t="str">
            <v>/</v>
          </cell>
          <cell r="T348" t="str">
            <v>Agriculture UE/non UE</v>
          </cell>
          <cell r="U348"/>
          <cell r="V348" t="str">
            <v>L’aubier du lapacho découvert par les Kallawayas, le célèbre peuple de guérisseurs itinérants amérindiens est aussi appelé “écorce divine”. Sa décoction dépourvue de théine se consomme idéalement lors des changements de saison pour ses effets antioxydants et en renfort des défenses immunitaires. Elle offre des saveurs vanillées et boisées que cette composition relève avec de lumineuses notes d’agrumes.</v>
          </cell>
          <cell r="W348" t="str">
            <v>S11</v>
          </cell>
          <cell r="X348" t="str">
            <v>La décoction de l’aubier du lapacho se consomme idéalement lors des changements de saison pour ses effets antioxydants et en renfort des défenses immunitaires. Dans cette recette, ses saveurs naturellement vanillées et boisées se mêlent avec bonheur à de lumineuses notes d’agrumes.</v>
          </cell>
          <cell r="Y348"/>
          <cell r="Z348" t="str">
            <v>Ingrédients : lapacho* (Tabebuia impetiginosa), écorces d'orange* 15%, huiles essentielles de (orange douce*, orange sanguine*, pamplemousse*, citron*) 3%. *Issu de l’agriculture biologique.</v>
          </cell>
          <cell r="AA348" t="str">
            <v>Consommation journalière conseillée : 4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348" t="str">
            <v>/</v>
          </cell>
          <cell r="AC348">
            <v>1.5</v>
          </cell>
          <cell r="AD348" t="str">
            <v>5-15</v>
          </cell>
          <cell r="AE348">
            <v>95</v>
          </cell>
          <cell r="AF348">
            <v>4</v>
          </cell>
          <cell r="AG348">
            <v>375</v>
          </cell>
          <cell r="AH348">
            <v>3582812440313</v>
          </cell>
          <cell r="AI348" t="str">
            <v>/</v>
          </cell>
          <cell r="AJ348" t="str">
            <v>INTERNE</v>
          </cell>
          <cell r="AK348" t="str">
            <v>INTERNE</v>
          </cell>
          <cell r="AL348" t="str">
            <v>/</v>
          </cell>
          <cell r="AM348" t="str">
            <v>?</v>
          </cell>
        </row>
        <row r="349">
          <cell r="A349" t="str">
            <v>TL4032</v>
          </cell>
          <cell r="B349"/>
          <cell r="C349" t="str">
            <v>X PETITE ETIQUETTE FORMAT GRAND CLASSIQUE + CONTRE ETIQUETTE</v>
          </cell>
          <cell r="D349" t="str">
            <v>X</v>
          </cell>
          <cell r="E349" t="str">
            <v>x</v>
          </cell>
          <cell r="F349" t="str">
            <v>GRAI</v>
          </cell>
          <cell r="G349">
            <v>45408</v>
          </cell>
          <cell r="H349" t="str">
            <v>LES BIENFAITRICES</v>
          </cell>
          <cell r="I349" t="str">
            <v>LES INFUSIONS DE PLANTES</v>
          </cell>
          <cell r="J349" t="str">
            <v>Lapacho Agrumes</v>
          </cell>
          <cell r="K349" t="str">
            <v>Antioxydant &amp; Défenses immunitaires</v>
          </cell>
          <cell r="L349" t="str">
            <v>Infusion aromatisée</v>
          </cell>
          <cell r="M349" t="str">
            <v>Brésil</v>
          </cell>
          <cell r="N349" t="str">
            <v>AB</v>
          </cell>
          <cell r="O349" t="str">
            <v>/</v>
          </cell>
          <cell r="P349" t="str">
            <v>/</v>
          </cell>
          <cell r="Q349" t="str">
            <v>/</v>
          </cell>
          <cell r="R349" t="str">
            <v>/</v>
          </cell>
          <cell r="S349" t="str">
            <v>/</v>
          </cell>
          <cell r="T349" t="str">
            <v>Agriculture UE/non UE</v>
          </cell>
          <cell r="U349"/>
          <cell r="V349" t="str">
            <v>L’aubier du lapacho découvert par les Kallawayas, le célèbre peuple de guérisseurs itinérants amérindiens est aussi appelé “écorce divine”. Sa décoction dépourvue de théine se consomme idéalement lors des changements de saison pour ses effets antioxydants et en renfort des défenses immunitaires. Elle offre des saveurs vanillées et boisées que cette composition relève avec de lumineuses notes d’agrumes.</v>
          </cell>
          <cell r="W349" t="str">
            <v>S11</v>
          </cell>
          <cell r="X349" t="str">
            <v>La décoction de l’aubier du lapacho se consomme idéalement lors des changements de saison pour ses effets antioxydants et en renfort des défenses immunitaires. Dans cette recette, ses saveurs naturellement vanillées et boisées se mêlent avec bonheur à de lumineuses notes d’agrumes.</v>
          </cell>
          <cell r="Y349"/>
          <cell r="Z349" t="str">
            <v>Ingrédients : lapacho* (Tabebuia impetiginosa), écorces d'orange* 15%, huiles essentielles de (orange douce*, orange sanguine*, pamplemousse*, citron*) 3%. *Issu de l’agriculture biologique.</v>
          </cell>
          <cell r="AA349" t="str">
            <v>Consommation journalière conseillée : 4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349" t="str">
            <v>/</v>
          </cell>
          <cell r="AC349">
            <v>100</v>
          </cell>
          <cell r="AD349" t="str">
            <v>5-15</v>
          </cell>
          <cell r="AE349">
            <v>95</v>
          </cell>
          <cell r="AF349">
            <v>4</v>
          </cell>
          <cell r="AG349">
            <v>25</v>
          </cell>
          <cell r="AH349">
            <v>3582812440320</v>
          </cell>
          <cell r="AI349" t="str">
            <v>/</v>
          </cell>
          <cell r="AJ349" t="str">
            <v>ETLA403V5</v>
          </cell>
          <cell r="AK349" t="str">
            <v>ETLA403V5</v>
          </cell>
          <cell r="AL349" t="str">
            <v>ETCLA4032V5</v>
          </cell>
          <cell r="AM349" t="str">
            <v>?</v>
          </cell>
        </row>
        <row r="350">
          <cell r="A350" t="str">
            <v>TL1001</v>
          </cell>
          <cell r="B350"/>
          <cell r="C350"/>
          <cell r="D350"/>
          <cell r="E350"/>
          <cell r="F350"/>
          <cell r="G350"/>
          <cell r="H350" t="str">
            <v>LES BIENFAITRICES</v>
          </cell>
          <cell r="I350" t="str">
            <v>LES INFUSIONS DE PLANTES</v>
          </cell>
          <cell r="J350" t="str">
            <v>Lapacho nature</v>
          </cell>
          <cell r="K350" t="str">
            <v>Antioxydant &amp; Défenses immunitaires</v>
          </cell>
          <cell r="L350" t="str">
            <v>Infusion nature</v>
          </cell>
          <cell r="M350" t="str">
            <v>Brésil</v>
          </cell>
          <cell r="N350" t="str">
            <v>AB</v>
          </cell>
          <cell r="O350" t="str">
            <v>/</v>
          </cell>
          <cell r="P350" t="str">
            <v>/</v>
          </cell>
          <cell r="Q350" t="str">
            <v>/</v>
          </cell>
          <cell r="R350" t="str">
            <v>/</v>
          </cell>
          <cell r="S350" t="str">
            <v>/</v>
          </cell>
          <cell r="T350" t="str">
            <v>Agriculture non UE</v>
          </cell>
          <cell r="U350"/>
          <cell r="V350" t="str">
            <v>L’aubier du lapacho est au centre de la pharmacopée des Kallawayas, le célèbre peuple de guérisseurs itinérants amérindiens à qui l’on doit la découverte de cette “écorce divine”. Sa décoction aux agréables saveurs vanillées et légèrement boisées se consomme idéalement lors des changements de saison. Elle est reconnue pour renforcer le système immunitaire, améliorer la circulation sanguine et pour ses effets drainants et antioxydants.</v>
          </cell>
          <cell r="W350"/>
          <cell r="X350" t="str">
            <v>Le lapacho est au centre de la pharmacopée des Kallawayas, célèbre peuple de guérisseurs amérindiens. Sa décoction aux saveurs vanillées et légèrement boisées est reconnue pour renforcer le système immunitaire, améliorer la circulation sanguine et pour ses effets drainants et antioxydants.</v>
          </cell>
          <cell r="Y350"/>
          <cell r="Z350" t="str">
            <v>Ingrédient : lapacho* (Tabebuia impetiginosa). *Issu de l'agriculture biologique.</v>
          </cell>
          <cell r="AA350" t="str">
            <v>Consommation journalière conseillée : 4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350" t="str">
            <v>/</v>
          </cell>
          <cell r="AC350">
            <v>1.5</v>
          </cell>
          <cell r="AD350" t="str">
            <v>15</v>
          </cell>
          <cell r="AE350">
            <v>95</v>
          </cell>
          <cell r="AF350">
            <v>4</v>
          </cell>
          <cell r="AG350">
            <v>375</v>
          </cell>
          <cell r="AH350">
            <v>3582812410019</v>
          </cell>
          <cell r="AI350" t="str">
            <v>/</v>
          </cell>
          <cell r="AJ350" t="str">
            <v>INTERNE</v>
          </cell>
          <cell r="AK350" t="str">
            <v>INTERNE</v>
          </cell>
          <cell r="AL350" t="str">
            <v>/</v>
          </cell>
          <cell r="AM350" t="str">
            <v>?</v>
          </cell>
        </row>
        <row r="351">
          <cell r="A351" t="str">
            <v>TL1004</v>
          </cell>
          <cell r="B351"/>
          <cell r="C351" t="str">
            <v>X GRANDE ETIQUETTE GRAND CLASSIQUE + CONTRE</v>
          </cell>
          <cell r="D351"/>
          <cell r="E351"/>
          <cell r="F351" t="str">
            <v>GRAI</v>
          </cell>
          <cell r="G351">
            <v>45383</v>
          </cell>
          <cell r="H351" t="str">
            <v>LES BIENFAITRICES</v>
          </cell>
          <cell r="I351" t="str">
            <v>LES INFUSIONS DE PLANTES</v>
          </cell>
          <cell r="J351" t="str">
            <v>Lapacho nature</v>
          </cell>
          <cell r="K351" t="str">
            <v>Antioxydant &amp; Défenses immunitaires</v>
          </cell>
          <cell r="L351" t="str">
            <v>Infusion nature</v>
          </cell>
          <cell r="M351" t="str">
            <v>Brésil</v>
          </cell>
          <cell r="N351" t="str">
            <v>AB</v>
          </cell>
          <cell r="O351" t="str">
            <v>/</v>
          </cell>
          <cell r="P351" t="str">
            <v>/</v>
          </cell>
          <cell r="Q351" t="str">
            <v>/</v>
          </cell>
          <cell r="R351" t="str">
            <v>/</v>
          </cell>
          <cell r="S351" t="str">
            <v>/</v>
          </cell>
          <cell r="T351" t="str">
            <v>Agriculture non UE</v>
          </cell>
          <cell r="U351"/>
          <cell r="V351" t="str">
            <v>L’aubier du lapacho est au centre de la pharmacopée des Kallawayas, le célèbre peuple de guérisseurs itinérants amérindiens à qui l’on doit la découverte de cette “écorce divine”. Sa décoction aux agréables saveurs vanillées et légèrement boisées se consomme idéalement lors des changements de saison. Elle est reconnue pour renforcer le système immunitaire, améliorer la circulation sanguine et pour ses effets drainants et antioxydants.</v>
          </cell>
          <cell r="W351"/>
          <cell r="X351" t="str">
            <v>Le lapacho est au centre de la pharmacopée des Kallawayas, célèbre peuple de guérisseurs amérindiens. Sa décoction aux saveurs vanillées et légèrement boisées est reconnue pour renforcer le système immunitaire, améliorer la circulation sanguine et pour ses effets drainants et antioxydants.</v>
          </cell>
          <cell r="Y351"/>
          <cell r="Z351" t="str">
            <v>Ingrédient : lapacho* (Tabebuia impetiginosa). *Issu de l'agriculture biologique.</v>
          </cell>
          <cell r="AA351" t="str">
            <v>Consommation journalière conseillée : 4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351" t="str">
            <v>/</v>
          </cell>
          <cell r="AC351">
            <v>250</v>
          </cell>
          <cell r="AD351" t="str">
            <v>15</v>
          </cell>
          <cell r="AE351">
            <v>95</v>
          </cell>
          <cell r="AF351">
            <v>4</v>
          </cell>
          <cell r="AG351">
            <v>63</v>
          </cell>
          <cell r="AH351">
            <v>3582812410040</v>
          </cell>
          <cell r="AI351" t="str">
            <v>/</v>
          </cell>
          <cell r="AJ351" t="str">
            <v>ETLN1004V5</v>
          </cell>
          <cell r="AK351" t="str">
            <v>ETLN1004V5</v>
          </cell>
          <cell r="AL351" t="str">
            <v>ETCLN1004V5</v>
          </cell>
          <cell r="AM351" t="str">
            <v>Consortium des producteurs Sateré Mawé</v>
          </cell>
        </row>
        <row r="352">
          <cell r="A352" t="str">
            <v>TL1002</v>
          </cell>
          <cell r="B352"/>
          <cell r="C352" t="str">
            <v>X PETITE ETIQUETTE FORMAT GRAND CLASSIQUE + CONTRE ETIQUETTE</v>
          </cell>
          <cell r="D352" t="str">
            <v>X</v>
          </cell>
          <cell r="E352" t="str">
            <v>x</v>
          </cell>
          <cell r="F352" t="str">
            <v>GRAI</v>
          </cell>
          <cell r="G352">
            <v>45383</v>
          </cell>
          <cell r="H352" t="str">
            <v>LES BIENFAITRICES</v>
          </cell>
          <cell r="I352" t="str">
            <v>LES INFUSIONS DE PLANTES</v>
          </cell>
          <cell r="J352" t="str">
            <v>Lapacho nature</v>
          </cell>
          <cell r="K352" t="str">
            <v>Antioxydant &amp; Défenses immunitaires</v>
          </cell>
          <cell r="L352" t="str">
            <v>Infusion nature</v>
          </cell>
          <cell r="M352" t="str">
            <v>Brésil</v>
          </cell>
          <cell r="N352" t="str">
            <v>AB</v>
          </cell>
          <cell r="O352" t="str">
            <v>/</v>
          </cell>
          <cell r="P352" t="str">
            <v>/</v>
          </cell>
          <cell r="Q352" t="str">
            <v>/</v>
          </cell>
          <cell r="R352" t="str">
            <v>/</v>
          </cell>
          <cell r="S352" t="str">
            <v>/</v>
          </cell>
          <cell r="T352" t="str">
            <v>Agriculture non UE</v>
          </cell>
          <cell r="U352"/>
          <cell r="V352" t="str">
            <v>L’aubier du lapacho est au centre de la pharmacopée des Kallawayas, le célèbre peuple de guérisseurs itinérants amérindiens à qui l’on doit la découverte de cette “écorce divine”. Sa décoction aux agréables saveurs vanillées et légèrement boisées se consomme idéalement lors des changements de saison. Elle est reconnue pour renforcer le système immunitaire, améliorer la circulation sanguine et pour ses effets drainants et antioxydants.</v>
          </cell>
          <cell r="W352"/>
          <cell r="X352" t="str">
            <v>Le lapacho est au centre de la pharmacopée des Kallawayas, célèbre peuple de guérisseurs amérindiens. Sa décoction aux saveurs vanillées et légèrement boisées est reconnue pour renforcer le système immunitaire, améliorer la circulation sanguine et pour ses effets drainants et antioxydants.</v>
          </cell>
          <cell r="Y352"/>
          <cell r="Z352" t="str">
            <v>Ingrédient : lapacho* (Tabebuia impetiginosa). *Issu de l'agriculture biologique.</v>
          </cell>
          <cell r="AA352" t="str">
            <v>Consommation journalière conseillée : 4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352" t="str">
            <v>/</v>
          </cell>
          <cell r="AC352">
            <v>100</v>
          </cell>
          <cell r="AD352" t="str">
            <v>15</v>
          </cell>
          <cell r="AE352">
            <v>95</v>
          </cell>
          <cell r="AF352">
            <v>4</v>
          </cell>
          <cell r="AG352">
            <v>25</v>
          </cell>
          <cell r="AH352">
            <v>3582812410026</v>
          </cell>
          <cell r="AI352" t="str">
            <v>/</v>
          </cell>
          <cell r="AJ352" t="str">
            <v>ETLN100V5</v>
          </cell>
          <cell r="AK352" t="str">
            <v>ETLN100V5</v>
          </cell>
          <cell r="AL352" t="str">
            <v>ETCLN1002V5</v>
          </cell>
          <cell r="AM352" t="str">
            <v>Consortium des producteurs Sateré Mawé</v>
          </cell>
        </row>
        <row r="353">
          <cell r="A353" t="str">
            <v>TA6261</v>
          </cell>
          <cell r="B353"/>
          <cell r="C353"/>
          <cell r="D353"/>
          <cell r="E353"/>
          <cell r="F353"/>
          <cell r="G353"/>
          <cell r="H353" t="str">
            <v>THE TRANSPORTE A LA VOILE</v>
          </cell>
          <cell r="I353"/>
          <cell r="J353" t="str">
            <v>Le souffle des mers</v>
          </cell>
          <cell r="K353" t="str">
            <v>passion - grenade - cardamome</v>
          </cell>
          <cell r="L353" t="str">
            <v>thé vert aromatisé</v>
          </cell>
          <cell r="M353" t="str">
            <v>Vietnam</v>
          </cell>
          <cell r="N353" t="str">
            <v>AB</v>
          </cell>
          <cell r="O353" t="str">
            <v>WFTO</v>
          </cell>
          <cell r="P353" t="str">
            <v>/</v>
          </cell>
          <cell r="Q353" t="str">
            <v>/</v>
          </cell>
          <cell r="R353" t="str">
            <v>/</v>
          </cell>
          <cell r="S353" t="str">
            <v>/</v>
          </cell>
          <cell r="T353" t="str">
            <v>Agriculture UE/non UE</v>
          </cell>
          <cell r="U353" t="str">
            <v>Anemos</v>
          </cell>
          <cell r="V353" t="str">
            <v>/</v>
          </cell>
          <cell r="W353"/>
          <cell r="X353" t="str">
            <v>Cette recette à base d’un thé vert venu à la voile du Vietnam porte en elle le souffle inspirant des mers. Tel un voyage empreint d’exotisme, sa dégustation est bercée par des saveurs intensément fruitées de grenade et de fruit de la passion sur un fond délicieusement épicé de cardamome.</v>
          </cell>
          <cell r="Y353"/>
          <cell r="Z353" t="str">
            <v>Ingrédients : thé vert*, écorces de grenade* 20%, arômes naturels de (grenade* 6%, fruit de la passion* 4%), cardamome* 5%, lemongrass*, passiflore* 3%. *Issu de l’agriculture biologique.</v>
          </cell>
          <cell r="AA353"/>
          <cell r="AB353" t="str">
            <v>Membre certifié World Fair Trade Organization, Les Jardins de Gaïa s’engagent pour un commerce plus juste et répondent aux exigences du commerce équitable. Pour en savoir plus : www.wfto.com.</v>
          </cell>
          <cell r="AC353">
            <v>1.5</v>
          </cell>
          <cell r="AD353" t="str">
            <v>3</v>
          </cell>
          <cell r="AE353">
            <v>85</v>
          </cell>
          <cell r="AF353">
            <v>2</v>
          </cell>
          <cell r="AG353">
            <v>750</v>
          </cell>
          <cell r="AH353">
            <v>3582810362617</v>
          </cell>
          <cell r="AI353"/>
          <cell r="AJ353"/>
          <cell r="AK353"/>
          <cell r="AL353"/>
          <cell r="AM353" t="str">
            <v xml:space="preserve">Ecolink </v>
          </cell>
        </row>
        <row r="354">
          <cell r="A354" t="str">
            <v>TA6262</v>
          </cell>
          <cell r="B354"/>
          <cell r="C354"/>
          <cell r="D354"/>
          <cell r="E354"/>
          <cell r="F354"/>
          <cell r="G354"/>
          <cell r="H354" t="str">
            <v>THE TRANSPORTE A LA VOILE</v>
          </cell>
          <cell r="I354"/>
          <cell r="J354" t="str">
            <v>Le souffle des mers</v>
          </cell>
          <cell r="K354" t="str">
            <v>passion - grenade - cardamome</v>
          </cell>
          <cell r="L354" t="str">
            <v>thé vert aromatisé</v>
          </cell>
          <cell r="M354" t="str">
            <v>Vietnam</v>
          </cell>
          <cell r="N354" t="str">
            <v>AB</v>
          </cell>
          <cell r="O354" t="str">
            <v>WFTO</v>
          </cell>
          <cell r="P354" t="str">
            <v>/</v>
          </cell>
          <cell r="Q354" t="str">
            <v>/</v>
          </cell>
          <cell r="R354" t="str">
            <v>/</v>
          </cell>
          <cell r="S354" t="str">
            <v>/</v>
          </cell>
          <cell r="T354" t="str">
            <v>Agriculture UE/non UE</v>
          </cell>
          <cell r="U354" t="str">
            <v>Anemos</v>
          </cell>
          <cell r="V354" t="str">
            <v>/</v>
          </cell>
          <cell r="W354"/>
          <cell r="X354" t="str">
            <v>Cette recette à base d’un thé vert venu à la voile du Vietnam porte en elle le souffle inspirant des mers. Tel un voyage empreint d’exotisme, sa dégustation est bercée par des saveurs intensément fruitées de grenade et de fruit de la passion sur un fond délicieusement épicé de cardamome.</v>
          </cell>
          <cell r="Y354"/>
          <cell r="Z354" t="str">
            <v>Ingrédients : thé vert*, écorces de grenade* 20%, arômes naturels de (grenade* 6%, fruit de la passion* 4%), cardamome* 5%, lemongrass*, passiflore* 3%. *Issu de l’agriculture biologique.</v>
          </cell>
          <cell r="AA354"/>
          <cell r="AB354" t="str">
            <v>Membre certifié World Fair Trade Organization, Les Jardins de Gaïa s’engagent pour un commerce plus juste et répondent aux exigences du commerce équitable. Pour en savoir plus : www.wfto.com.</v>
          </cell>
          <cell r="AC354">
            <v>80</v>
          </cell>
          <cell r="AD354" t="str">
            <v>3</v>
          </cell>
          <cell r="AE354">
            <v>85</v>
          </cell>
          <cell r="AF354">
            <v>2</v>
          </cell>
          <cell r="AG354">
            <v>40</v>
          </cell>
          <cell r="AH354">
            <v>3582810362624</v>
          </cell>
          <cell r="AI354"/>
          <cell r="AJ354"/>
          <cell r="AK354" t="str">
            <v>ETVA626V5</v>
          </cell>
          <cell r="AL354" t="str">
            <v>ETCVA6622V5</v>
          </cell>
          <cell r="AM354" t="str">
            <v xml:space="preserve">Ecolink </v>
          </cell>
        </row>
        <row r="355">
          <cell r="A355" t="str">
            <v>TN5511</v>
          </cell>
          <cell r="B355"/>
          <cell r="C355"/>
          <cell r="D355"/>
          <cell r="E355"/>
          <cell r="F355"/>
          <cell r="G355"/>
          <cell r="H355" t="str">
            <v>THE TRANSPORTE A LA VOILE</v>
          </cell>
          <cell r="I355"/>
          <cell r="J355" t="str">
            <v>La voie de l'eau</v>
          </cell>
          <cell r="K355" t="str">
            <v>/</v>
          </cell>
          <cell r="L355" t="str">
            <v>Thé noir d'origine</v>
          </cell>
          <cell r="M355" t="str">
            <v>Vietnam</v>
          </cell>
          <cell r="N355" t="str">
            <v>AB</v>
          </cell>
          <cell r="O355" t="str">
            <v>WFTO</v>
          </cell>
          <cell r="P355" t="str">
            <v>/</v>
          </cell>
          <cell r="Q355" t="str">
            <v>/</v>
          </cell>
          <cell r="R355" t="str">
            <v>/</v>
          </cell>
          <cell r="S355" t="str">
            <v>/</v>
          </cell>
          <cell r="T355" t="str">
            <v>Agriculture non UE</v>
          </cell>
          <cell r="U355" t="str">
            <v>Anemos</v>
          </cell>
          <cell r="V355" t="str">
            <v>/</v>
          </cell>
          <cell r="W355"/>
          <cell r="X355" t="str">
            <v>Venu à la voile depuis son Vietnam natal, ce thé noir a suivi la voie de l’eau qui préfigure un nouvel avenir. A la faveur du vent et de son énergie inépuisable, nous pouvons savourer en toute quiétude un thé de petits producteurs aux agréables senteurs boisées et aux saveurs maltées pleines de douceur.</v>
          </cell>
          <cell r="Y355"/>
          <cell r="Z355" t="str">
            <v>Ingrédient : thé noir*. *Issu de l’agriculture biologique.</v>
          </cell>
          <cell r="AA355"/>
          <cell r="AB355" t="str">
            <v>Membre certifié World Fair Trade Organization, Les Jardins de Gaïa s’engagent pour un commerce plus juste et répondent aux exigences du commerce équitable. Pour en savoir plus : www.wfto.com.</v>
          </cell>
          <cell r="AC355">
            <v>1.5</v>
          </cell>
          <cell r="AD355" t="str">
            <v>3</v>
          </cell>
          <cell r="AE355">
            <v>95</v>
          </cell>
          <cell r="AF355">
            <v>2</v>
          </cell>
          <cell r="AG355">
            <v>750</v>
          </cell>
          <cell r="AH355">
            <v>3582810255117</v>
          </cell>
          <cell r="AI355"/>
          <cell r="AJ355"/>
          <cell r="AK355"/>
          <cell r="AL355"/>
          <cell r="AM355" t="str">
            <v xml:space="preserve">Ecolink </v>
          </cell>
        </row>
        <row r="356">
          <cell r="A356" t="str">
            <v>TN5512</v>
          </cell>
          <cell r="B356"/>
          <cell r="C356"/>
          <cell r="D356"/>
          <cell r="E356"/>
          <cell r="F356"/>
          <cell r="G356"/>
          <cell r="H356" t="str">
            <v>THE TRANSPORTE A LA VOILE</v>
          </cell>
          <cell r="I356"/>
          <cell r="J356" t="str">
            <v>La voie de l'eau</v>
          </cell>
          <cell r="K356" t="str">
            <v>/</v>
          </cell>
          <cell r="L356" t="str">
            <v>Thé noir d'origine</v>
          </cell>
          <cell r="M356" t="str">
            <v>Vietnam</v>
          </cell>
          <cell r="N356" t="str">
            <v>AB</v>
          </cell>
          <cell r="O356" t="str">
            <v>WFTO</v>
          </cell>
          <cell r="P356" t="str">
            <v>/</v>
          </cell>
          <cell r="Q356" t="str">
            <v>/</v>
          </cell>
          <cell r="R356" t="str">
            <v>/</v>
          </cell>
          <cell r="S356" t="str">
            <v>/</v>
          </cell>
          <cell r="T356" t="str">
            <v>Agriculture non UE</v>
          </cell>
          <cell r="U356" t="str">
            <v>Anemos</v>
          </cell>
          <cell r="V356" t="str">
            <v>/</v>
          </cell>
          <cell r="W356"/>
          <cell r="X356" t="str">
            <v>Venu à la voile depuis son Vietnam natal, ce thé noir a suivi la voie de l’eau qui préfigure un nouvel avenir. A la faveur du vent et de son énergie inépuisable, nous pouvons savourer en toute quiétude un thé de petits producteurs aux agréables senteurs boisées et aux saveurs maltées pleines de douceur.</v>
          </cell>
          <cell r="Y356"/>
          <cell r="Z356" t="str">
            <v>Ingrédient : thé noir*. *Issu de l’agriculture biologique.</v>
          </cell>
          <cell r="AA356"/>
          <cell r="AB356" t="str">
            <v>Membre certifié World Fair Trade Organization, Les Jardins de Gaïa s’engagent pour un commerce plus juste et répondent aux exigences du commerce équitable. Pour en savoir plus : www.wfto.com.</v>
          </cell>
          <cell r="AC356">
            <v>100</v>
          </cell>
          <cell r="AD356" t="str">
            <v>3</v>
          </cell>
          <cell r="AE356">
            <v>95</v>
          </cell>
          <cell r="AF356">
            <v>2</v>
          </cell>
          <cell r="AG356">
            <v>50</v>
          </cell>
          <cell r="AH356">
            <v>3582810255124</v>
          </cell>
          <cell r="AI356"/>
          <cell r="AJ356"/>
          <cell r="AK356" t="str">
            <v>ETNN551V5</v>
          </cell>
          <cell r="AL356" t="str">
            <v>ETCNN5512V5</v>
          </cell>
          <cell r="AM356" t="str">
            <v xml:space="preserve">Ecolink </v>
          </cell>
        </row>
        <row r="357">
          <cell r="A357" t="str">
            <v>TA6791</v>
          </cell>
          <cell r="B357"/>
          <cell r="C357" t="str">
            <v>X</v>
          </cell>
          <cell r="D357"/>
          <cell r="E357"/>
          <cell r="F357"/>
          <cell r="G357"/>
          <cell r="H357" t="str">
            <v>LES GRANDS CLASSIQUES</v>
          </cell>
          <cell r="I357"/>
          <cell r="J357" t="str">
            <v>Ambiance littorale</v>
          </cell>
          <cell r="K357" t="str">
            <v>Algues - saveur citron vert</v>
          </cell>
          <cell r="L357" t="str">
            <v>Thé vert aromatisé</v>
          </cell>
          <cell r="M357" t="str">
            <v>Inde - Chine</v>
          </cell>
          <cell r="N357" t="str">
            <v>AB</v>
          </cell>
          <cell r="O357" t="str">
            <v>WFTO</v>
          </cell>
          <cell r="P357" t="str">
            <v>/</v>
          </cell>
          <cell r="Q357" t="str">
            <v>/</v>
          </cell>
          <cell r="R357" t="str">
            <v>/</v>
          </cell>
          <cell r="S357" t="str">
            <v>/</v>
          </cell>
          <cell r="T357" t="str">
            <v>Agriculture UE/non UE</v>
          </cell>
          <cell r="U357"/>
          <cell r="V357" t="str">
            <v xml:space="preserve">Un brin d’air marin pour un instant rafraîchissant. Sur sa base de thé vert, cette recette libère un mariage de saveurs iodées et légèrement citronnées particulièrement agréable en bouche. Un irrésistible appel du large… </v>
          </cell>
          <cell r="W357" t="str">
            <v>S14</v>
          </cell>
          <cell r="X357" t="str">
            <v>Sur sa base de thé vert, cette recette originale met en valeur la rencontre harmonieuse de saveurs iodées d’algues avec des notes zestées et lumineuses de citron. Agréable par son équilibre en bouche, elle évoque l’ambiance du littoral d’une manière particulièrement rafraîchissante.</v>
          </cell>
          <cell r="Y357"/>
          <cell r="Z357" t="str">
            <v>Ingrédients : thé vert*, arôme naturel de citron vert* 7%, mélange d'algues (dulce*, nori*, laitue de mer*) 6%, ginseng blanc*. *Issu de l'agriculture biologique.</v>
          </cell>
          <cell r="AA357" t="str">
            <v>/</v>
          </cell>
          <cell r="AB357" t="str">
            <v>Membre certifié World Fair Trade Organization, Les Jardins de Gaïa s’engagent pour un commerce plus juste et répondent aux exigences du commerce équitable. Pour en savoir plus : www.wfto.com.</v>
          </cell>
          <cell r="AC357">
            <v>1.5</v>
          </cell>
          <cell r="AD357" t="str">
            <v>3</v>
          </cell>
          <cell r="AE357">
            <v>75</v>
          </cell>
          <cell r="AF357">
            <v>2</v>
          </cell>
          <cell r="AG357">
            <v>750</v>
          </cell>
          <cell r="AH357">
            <v>3582810867914</v>
          </cell>
          <cell r="AI357" t="str">
            <v>/</v>
          </cell>
          <cell r="AJ357" t="str">
            <v>INTERNE</v>
          </cell>
          <cell r="AK357" t="str">
            <v>INTERNE</v>
          </cell>
          <cell r="AL357" t="str">
            <v>/</v>
          </cell>
          <cell r="AM357" t="str">
            <v>Création maison</v>
          </cell>
        </row>
        <row r="358">
          <cell r="A358" t="str">
            <v>TF1221</v>
          </cell>
          <cell r="B358"/>
          <cell r="C358"/>
          <cell r="D358"/>
          <cell r="E358"/>
          <cell r="F358"/>
          <cell r="G358"/>
          <cell r="H358" t="str">
            <v>LES BIENFAITRICES</v>
          </cell>
          <cell r="I358"/>
          <cell r="J358" t="str">
            <v>Le fruit qui rougit</v>
          </cell>
          <cell r="K358" t="str">
            <v>Drainant
Hibiscus, rooibos, saveurs myrtille et fraise</v>
          </cell>
          <cell r="L358" t="str">
            <v>Infusion de fruits aromatisée</v>
          </cell>
          <cell r="M358" t="str">
            <v>?</v>
          </cell>
          <cell r="N358" t="str">
            <v>AB</v>
          </cell>
          <cell r="O358" t="str">
            <v>/</v>
          </cell>
          <cell r="P358" t="str">
            <v>/</v>
          </cell>
          <cell r="Q358" t="str">
            <v>/</v>
          </cell>
          <cell r="R358" t="str">
            <v>/</v>
          </cell>
          <cell r="S358" t="str">
            <v>/</v>
          </cell>
          <cell r="T358" t="str">
            <v>Agriculture UE/non UE</v>
          </cell>
          <cell r="U358"/>
          <cell r="V358" t="str">
            <v>Dans l’harmonie des fruits rouges et des fleurs d’hibiscus, aux saveurs pétillantes et légèrement acidulées, vient s’épanouir la douceur fruitée et sucrée du rooibos, de la pomme et de la réglisse... Cette création aux vertus drainantes est destinée à faire rougir de plaisir, petits et grands gourmands.</v>
          </cell>
          <cell r="W358" t="str">
            <v>S13</v>
          </cell>
          <cell r="X358" t="str">
            <v>Le mariage des fruits rouges et des fleurs d’hibiscus, aux notes légèrement acidulées et la douceur fruitée et sucrée du rooibos, de la pomme et de la réglisse font tout le charme de cette infusion... Une recette gourmande aux vertus drainantes, destinée à faire rougir de plaisir…</v>
          </cell>
          <cell r="Y358"/>
          <cell r="Z358" t="str">
            <v>Ingrédients : rooibos* 27%, morceaux de pomme*, hibiscus* 18%, arômes naturels de (myrtille* 7%, fraise* 3%, framboise*, mûre*, cassis*), aronia*, écorces d’églantines*, réglisse*, morceaux de fraise* 2%, baies de sureau*, fleurs de sureau*. *Issu de l’agriculture biologique. Contient de la réglisse, les personnes souffrant d'hypertension doivent éviter toute consommation excessive.</v>
          </cell>
          <cell r="AA358"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358" t="str">
            <v>/</v>
          </cell>
          <cell r="AC358">
            <v>1.5</v>
          </cell>
          <cell r="AD358" t="str">
            <v>5-10</v>
          </cell>
          <cell r="AE358">
            <v>95</v>
          </cell>
          <cell r="AF358">
            <v>2</v>
          </cell>
          <cell r="AG358">
            <v>750</v>
          </cell>
          <cell r="AH358">
            <v>3582810112212</v>
          </cell>
          <cell r="AI358" t="str">
            <v>/</v>
          </cell>
          <cell r="AJ358" t="str">
            <v>INTERNE</v>
          </cell>
          <cell r="AK358" t="str">
            <v>INTERNE</v>
          </cell>
          <cell r="AL358" t="str">
            <v>/</v>
          </cell>
          <cell r="AM358" t="str">
            <v>Création maison</v>
          </cell>
        </row>
        <row r="359">
          <cell r="A359" t="str">
            <v>TF1222</v>
          </cell>
          <cell r="B359"/>
          <cell r="C359" t="str">
            <v>X PETITE ETIQUETTE FORMAT GRAND CLASSIQUE + CONTRE ETIQUETTE</v>
          </cell>
          <cell r="D359"/>
          <cell r="E359"/>
          <cell r="F359" t="str">
            <v>GRAI</v>
          </cell>
          <cell r="G359">
            <v>45408</v>
          </cell>
          <cell r="H359" t="str">
            <v>LES BIENFAITRICES</v>
          </cell>
          <cell r="I359"/>
          <cell r="J359" t="str">
            <v>Le fruit qui rougit</v>
          </cell>
          <cell r="K359" t="str">
            <v>Drainant
Hibiscus, rooibos, saveurs myrtille et fraise</v>
          </cell>
          <cell r="L359" t="str">
            <v>Infusion de fruits aromatisée</v>
          </cell>
          <cell r="M359" t="str">
            <v>?</v>
          </cell>
          <cell r="N359" t="str">
            <v>AB</v>
          </cell>
          <cell r="O359" t="str">
            <v>/</v>
          </cell>
          <cell r="P359" t="str">
            <v>/</v>
          </cell>
          <cell r="Q359" t="str">
            <v>/</v>
          </cell>
          <cell r="R359" t="str">
            <v>/</v>
          </cell>
          <cell r="S359" t="str">
            <v>/</v>
          </cell>
          <cell r="T359" t="str">
            <v>Agriculture UE/non UE</v>
          </cell>
          <cell r="U359"/>
          <cell r="V359" t="str">
            <v>Dans l’harmonie des fruits rouges et des fleurs d’hibiscus, aux saveurs pétillantes et légèrement acidulées, vient s’épanouir la douceur fruitée et sucrée du rooibos, de la pomme et de la réglisse... Cette création aux vertus drainantes est destinée à faire rougir de plaisir, petits et grands gourmands.</v>
          </cell>
          <cell r="W359" t="str">
            <v>S13</v>
          </cell>
          <cell r="X359" t="str">
            <v>Le mariage des fruits rouges et des fleurs d’hibiscus, aux notes légèrement acidulées et la douceur fruitée et sucrée du rooibos, de la pomme et de la réglisse font tout le charme de cette infusion... Une recette gourmande aux vertus drainantes, destinée à faire rougir de plaisir…</v>
          </cell>
          <cell r="Y359"/>
          <cell r="Z359" t="str">
            <v>Ingrédients : rooibos* 27%, morceaux de pomme*, hibiscus* 18%, arômes naturels de (myrtille* 7%, fraise* 3%, framboise*, mûre*, cassis*), aronia*, écorces d’églantines*, réglisse*, morceaux de fraise* 2%, baies de sureau*, fleurs de sureau*. *Issu de l’agriculture biologique. Contient de la réglisse, les personnes souffrant d'hypertension doivent éviter toute consommation excessive.</v>
          </cell>
          <cell r="AA359"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359" t="str">
            <v>/</v>
          </cell>
          <cell r="AC359">
            <v>100</v>
          </cell>
          <cell r="AD359" t="str">
            <v>5-10</v>
          </cell>
          <cell r="AE359">
            <v>95</v>
          </cell>
          <cell r="AF359">
            <v>2</v>
          </cell>
          <cell r="AG359">
            <v>50</v>
          </cell>
          <cell r="AH359">
            <v>3582810112229</v>
          </cell>
          <cell r="AI359" t="str">
            <v>/</v>
          </cell>
          <cell r="AJ359" t="str">
            <v>ETFA122V5</v>
          </cell>
          <cell r="AK359" t="str">
            <v>ETFA122V5</v>
          </cell>
          <cell r="AL359" t="str">
            <v>ETCFA1222V5</v>
          </cell>
          <cell r="AM359" t="str">
            <v>Création maison</v>
          </cell>
        </row>
        <row r="360">
          <cell r="A360" t="str">
            <v>TA6181</v>
          </cell>
          <cell r="B360"/>
          <cell r="C360"/>
          <cell r="D360"/>
          <cell r="E360"/>
          <cell r="F360"/>
          <cell r="G360"/>
          <cell r="H360" t="str">
            <v>LES ENGAGÉS</v>
          </cell>
          <cell r="I360" t="str">
            <v>AGIR POUR LA NATURE</v>
          </cell>
          <cell r="J360" t="str">
            <v>Le joueur de flûte</v>
          </cell>
          <cell r="K360" t="str">
            <v>Saveurs bergamote - vanille</v>
          </cell>
          <cell r="L360" t="str">
            <v>Thé vert aromatisé</v>
          </cell>
          <cell r="M360" t="str">
            <v>Vietnam</v>
          </cell>
          <cell r="N360" t="str">
            <v>AB</v>
          </cell>
          <cell r="O360" t="str">
            <v>WFTO</v>
          </cell>
          <cell r="P360" t="str">
            <v>/</v>
          </cell>
          <cell r="Q360" t="str">
            <v>WT</v>
          </cell>
          <cell r="R360" t="str">
            <v>/</v>
          </cell>
          <cell r="S360" t="str">
            <v>/</v>
          </cell>
          <cell r="T360" t="str">
            <v>Agriculture UE/non UE</v>
          </cell>
          <cell r="U360"/>
          <cell r="V360" t="str">
            <v>Dégradé de feuilles vertes issues des théiers anciens vietnamiens pour une infusion au parfum délicieux. L’acidulé de la bergamote est arrondi par la vanille puis par la lavande discrètement suggérée. Frais souvenir d’été, rythmé par la flûte de Kokopelli, musicien des légendes amérindiennes. Très agréable en journée.</v>
          </cell>
          <cell r="W360" t="str">
            <v>S24</v>
          </cell>
          <cell r="X360" t="str">
            <v>Les accords harmonieux de cette recette à base de thé vert issu de théiers anciens du Vietnam donnent une irrésistible envie de suivre les facéties de Kokopelli, le charmant semeur joueur de flûte amérindien. L’acidulé de la bergamote est délicieusement arrondie par la vanille. Une fête pour les sens !</v>
          </cell>
          <cell r="Y360" t="str">
            <v>Depuis 1999, l'association Kokopelli milite pour la libération des semences et contre la brevetabilité du vivant. www.kokopelli-semences.fr</v>
          </cell>
          <cell r="Z360" t="str">
            <v>Ingrédients : thé vert*, extrait de vanille* 2%, pétales de fleurs (souci*, bleuet*, lavande*), huile essentielle de bergamote* 1%. *Issu de l'agriculture biologique.</v>
          </cell>
          <cell r="AA360" t="str">
            <v>/</v>
          </cell>
          <cell r="AB360" t="str">
            <v>Membre certifié World Fair Trade Organization, Les Jardins de Gaïa s’engagent pour un commerce plus juste et répondent aux exigences du commerce équitable. Pour en savoir plus : www.wfto.com.</v>
          </cell>
          <cell r="AC360">
            <v>1.5</v>
          </cell>
          <cell r="AD360" t="str">
            <v>3</v>
          </cell>
          <cell r="AE360">
            <v>80</v>
          </cell>
          <cell r="AF360">
            <v>2</v>
          </cell>
          <cell r="AG360">
            <v>750</v>
          </cell>
          <cell r="AH360">
            <v>3582810361818</v>
          </cell>
          <cell r="AI360" t="str">
            <v>/</v>
          </cell>
          <cell r="AJ360" t="str">
            <v>INTERNE</v>
          </cell>
          <cell r="AK360" t="str">
            <v>INTERNE</v>
          </cell>
          <cell r="AL360" t="str">
            <v>/</v>
          </cell>
          <cell r="AM360" t="str">
            <v>Création maison</v>
          </cell>
        </row>
        <row r="361">
          <cell r="A361" t="str">
            <v>TA6182</v>
          </cell>
          <cell r="B361"/>
          <cell r="C361"/>
          <cell r="D361"/>
          <cell r="E361"/>
          <cell r="F361"/>
          <cell r="G361"/>
          <cell r="H361" t="str">
            <v>LES ENGAGÉS</v>
          </cell>
          <cell r="I361" t="str">
            <v>AGIR POUR LA NATURE</v>
          </cell>
          <cell r="J361" t="str">
            <v>Le joueur de flûte</v>
          </cell>
          <cell r="K361" t="str">
            <v>Saveurs bergamote - vanille</v>
          </cell>
          <cell r="L361" t="str">
            <v>Thé vert aromatisé</v>
          </cell>
          <cell r="M361" t="str">
            <v>Vietnam</v>
          </cell>
          <cell r="N361" t="str">
            <v>AB</v>
          </cell>
          <cell r="O361" t="str">
            <v>WFTO</v>
          </cell>
          <cell r="P361" t="str">
            <v>/</v>
          </cell>
          <cell r="Q361" t="str">
            <v>WT</v>
          </cell>
          <cell r="R361" t="str">
            <v>/</v>
          </cell>
          <cell r="S361" t="str">
            <v>/</v>
          </cell>
          <cell r="T361" t="str">
            <v>Agriculture UE/non UE</v>
          </cell>
          <cell r="U361"/>
          <cell r="V361" t="str">
            <v>Dégradé de feuilles vertes issues des théiers anciens vietnamiens pour une infusion au parfum délicieux. L’acidulé de la bergamote est arrondi par la vanille puis par la lavande discrètement suggérée. Frais souvenir d’été, rythmé par la flûte de Kokopelli, musicien des légendes amérindiennes. Très agréable en journée.</v>
          </cell>
          <cell r="W361" t="str">
            <v>S24</v>
          </cell>
          <cell r="X361" t="str">
            <v>Les accords harmonieux de cette recette à base de thé vert issu de théiers anciens du Vietnam donnent une irrésistible envie de suivre les facéties de Kokopelli, le charmant semeur joueur de flûte amérindien. L’acidulé de la bergamote est délicieusement arrondie par la vanille. Une fête pour les sens !</v>
          </cell>
          <cell r="Y361" t="str">
            <v>Depuis 1999, l'association Kokopelli milite pour la libération des semences et contre la brevetabilité du vivant. www.kokopelli-semences.fr</v>
          </cell>
          <cell r="Z361" t="str">
            <v>Ingrédients : thé vert*, extrait de vanille* 2%, pétales de fleurs (souci*, bleuet*, lavande*), huile essentielle de bergamote* 1%. *Issu de l'agriculture biologique.</v>
          </cell>
          <cell r="AA361" t="str">
            <v>/</v>
          </cell>
          <cell r="AB361" t="str">
            <v>Membre certifié World Fair Trade Organization, Les Jardins de Gaïa s’engagent pour un commerce plus juste et répondent aux exigences du commerce équitable. Pour en savoir plus : www.wfto.com.</v>
          </cell>
          <cell r="AC361">
            <v>100</v>
          </cell>
          <cell r="AD361" t="str">
            <v>3</v>
          </cell>
          <cell r="AE361">
            <v>80</v>
          </cell>
          <cell r="AF361">
            <v>2</v>
          </cell>
          <cell r="AG361">
            <v>50</v>
          </cell>
          <cell r="AH361">
            <v>3582810361825</v>
          </cell>
          <cell r="AI361" t="str">
            <v>/</v>
          </cell>
          <cell r="AJ361" t="str">
            <v>ETVA618V5</v>
          </cell>
          <cell r="AK361" t="str">
            <v>ETVA618V5</v>
          </cell>
          <cell r="AL361" t="str">
            <v>ETCVA6182V5</v>
          </cell>
          <cell r="AM361" t="str">
            <v>Création maison</v>
          </cell>
        </row>
        <row r="362">
          <cell r="A362" t="str">
            <v>TN2291</v>
          </cell>
          <cell r="B362"/>
          <cell r="C362" t="str">
            <v>X</v>
          </cell>
          <cell r="D362"/>
          <cell r="E362"/>
          <cell r="F362"/>
          <cell r="G362"/>
          <cell r="H362" t="str">
            <v>LES GRANDS CLASSIQUES</v>
          </cell>
          <cell r="I362"/>
          <cell r="J362" t="str">
            <v>Le jour se lève</v>
          </cell>
          <cell r="K362" t="str">
            <v>FTGBOP1</v>
          </cell>
          <cell r="L362" t="str">
            <v>Thé noir d'origine</v>
          </cell>
          <cell r="M362" t="str">
            <v>Inde - Assam</v>
          </cell>
          <cell r="N362" t="str">
            <v>AB</v>
          </cell>
          <cell r="O362" t="str">
            <v>WFTO</v>
          </cell>
          <cell r="P362" t="str">
            <v>/</v>
          </cell>
          <cell r="Q362" t="str">
            <v>/</v>
          </cell>
          <cell r="R362" t="str">
            <v>/</v>
          </cell>
          <cell r="S362" t="str">
            <v>/</v>
          </cell>
          <cell r="T362" t="str">
            <v>Agriculture Inde</v>
          </cell>
          <cell r="U362"/>
          <cell r="V362" t="str">
            <v>Produit dans le jardin de Chardwar en Assam, ce thé, à l'oxydation particulièrement homogène, étonne d'emblée par sa richesse aromatique tout autant que par sa douceur. Sa belle liqueur, d'un orange intense, développe sur un arrière-plan malté et légèrement boisé de magnifiques saveurs de confiserie, évoquant tour à tour la guimauve, l'abricot et les raisins secs. Idéal pour un petit-déjeuner gourmand !</v>
          </cell>
          <cell r="W362" t="str">
            <v>S15</v>
          </cell>
          <cell r="X362" t="str">
            <v>Ce thé noir étonne par sa richesse aromatique et sa douceur. Sa belle liqueur, d'un orange intense, développe sur un arrière-plan malté et légèrement boisé de magnifiques saveurs de confiserie, évoquant tour à tour la guimauve, l'abricot et les raisins secs. Idéal pour un lever du jour gourmand !</v>
          </cell>
          <cell r="Y362"/>
          <cell r="Z362" t="str">
            <v>Ingrédient : thé noir*. *Issu de l'agriculture biologique.</v>
          </cell>
          <cell r="AA362" t="str">
            <v>/</v>
          </cell>
          <cell r="AB362" t="str">
            <v>Membre certifié World Fair Trade Organization, Les Jardins de Gaïa s’engagent pour un commerce plus juste et répondent aux exigences du commerce équitable. Pour en savoir plus : www.wfto.com.</v>
          </cell>
          <cell r="AC362">
            <v>1.5</v>
          </cell>
          <cell r="AD362" t="str">
            <v>3</v>
          </cell>
          <cell r="AE362">
            <v>95</v>
          </cell>
          <cell r="AF362">
            <v>2</v>
          </cell>
          <cell r="AG362">
            <v>750</v>
          </cell>
          <cell r="AH362">
            <v>3582810222911</v>
          </cell>
          <cell r="AI362" t="str">
            <v>/</v>
          </cell>
          <cell r="AJ362" t="str">
            <v>INTERNE</v>
          </cell>
          <cell r="AK362" t="str">
            <v>INTERNE</v>
          </cell>
          <cell r="AL362" t="str">
            <v>/</v>
          </cell>
          <cell r="AM362" t="str">
            <v>Chardwar Tea Estate</v>
          </cell>
        </row>
        <row r="363">
          <cell r="A363" t="str">
            <v>TN2292</v>
          </cell>
          <cell r="B363"/>
          <cell r="C363" t="str">
            <v>X</v>
          </cell>
          <cell r="D363" t="str">
            <v>X</v>
          </cell>
          <cell r="E363" t="str">
            <v>X</v>
          </cell>
          <cell r="F363" t="str">
            <v>BRODART</v>
          </cell>
          <cell r="G363"/>
          <cell r="H363" t="str">
            <v>LES GRANDS CLASSIQUES</v>
          </cell>
          <cell r="I363"/>
          <cell r="J363" t="str">
            <v>Le jour se lève</v>
          </cell>
          <cell r="K363" t="str">
            <v>FTGBOP1</v>
          </cell>
          <cell r="L363" t="str">
            <v>Thé noir d'origine</v>
          </cell>
          <cell r="M363" t="str">
            <v>Inde - Assam</v>
          </cell>
          <cell r="N363" t="str">
            <v>AB</v>
          </cell>
          <cell r="O363" t="str">
            <v>WFTO</v>
          </cell>
          <cell r="P363" t="str">
            <v>/</v>
          </cell>
          <cell r="Q363" t="str">
            <v>/</v>
          </cell>
          <cell r="R363" t="str">
            <v>/</v>
          </cell>
          <cell r="S363" t="str">
            <v>/</v>
          </cell>
          <cell r="T363" t="str">
            <v>Agriculture Inde</v>
          </cell>
          <cell r="U363"/>
          <cell r="V363" t="str">
            <v>Produit dans le jardin de Chardwar en Assam, ce thé, à l'oxydation particulièrement homogène, étonne d'emblée par sa richesse aromatique tout autant que par sa douceur. Sa belle liqueur, d'un orange intense, développe sur un arrière-plan malté et légèrement boisé de magnifiques saveurs de confiserie, évoquant tour à tour la guimauve, l'abricot et les raisins secs. Idéal pour un petit-déjeuner gourmand !</v>
          </cell>
          <cell r="W363" t="str">
            <v>S15</v>
          </cell>
          <cell r="X363" t="str">
            <v>Ce thé noir étonne par sa richesse aromatique et sa douceur. Sa belle liqueur, d'un orange intense, développe sur un arrière-plan malté et légèrement boisé de magnifiques saveurs de confiserie, évoquant tour à tour la guimauve, l'abricot et les raisins secs. Idéal pour un lever du jour gourmand !</v>
          </cell>
          <cell r="Y363"/>
          <cell r="Z363" t="str">
            <v>Ingrédient : thé noir*. *Issu de l'agriculture biologique.</v>
          </cell>
          <cell r="AA363" t="str">
            <v>/</v>
          </cell>
          <cell r="AB363" t="str">
            <v>Membre certifié World Fair Trade Organization, Les Jardins de Gaïa s’engagent pour un commerce plus juste et répondent aux exigences du commerce équitable. Pour en savoir plus : www.wfto.com.</v>
          </cell>
          <cell r="AC363">
            <v>100</v>
          </cell>
          <cell r="AD363" t="str">
            <v>3</v>
          </cell>
          <cell r="AE363">
            <v>95</v>
          </cell>
          <cell r="AF363">
            <v>2</v>
          </cell>
          <cell r="AG363">
            <v>50</v>
          </cell>
          <cell r="AH363">
            <v>3582810222928</v>
          </cell>
          <cell r="AI363" t="str">
            <v>/</v>
          </cell>
          <cell r="AJ363" t="str">
            <v>ETNN229</v>
          </cell>
          <cell r="AK363" t="str">
            <v>ETNN229V5</v>
          </cell>
          <cell r="AL363" t="str">
            <v>ETCNN2292V5</v>
          </cell>
          <cell r="AM363" t="str">
            <v>Chardwar Tea Estate</v>
          </cell>
        </row>
        <row r="364">
          <cell r="A364" t="str">
            <v>TA9021</v>
          </cell>
          <cell r="B364"/>
          <cell r="C364"/>
          <cell r="D364"/>
          <cell r="E364"/>
          <cell r="F364"/>
          <cell r="G364"/>
          <cell r="H364" t="str">
            <v>LES GRANDS CLASSIQUES</v>
          </cell>
          <cell r="I364"/>
          <cell r="J364" t="str">
            <v>Le pouvoir des fleurs</v>
          </cell>
          <cell r="K364" t="str">
            <v>Framboise - Saveur vanille</v>
          </cell>
          <cell r="L364" t="str">
            <v>Mélange de thés aromatisé</v>
          </cell>
          <cell r="M364" t="str">
            <v>Chine</v>
          </cell>
          <cell r="N364" t="str">
            <v>AB</v>
          </cell>
          <cell r="O364" t="str">
            <v>WFTO</v>
          </cell>
          <cell r="P364" t="str">
            <v>/</v>
          </cell>
          <cell r="Q364" t="str">
            <v>/</v>
          </cell>
          <cell r="R364" t="str">
            <v>/</v>
          </cell>
          <cell r="S364" t="str">
            <v>/</v>
          </cell>
          <cell r="T364" t="str">
            <v>Agriculture UE/non UE</v>
          </cell>
          <cell r="U364"/>
          <cell r="V364" t="str">
            <v>Douce harmonie de couleurs et de parfums, ce thé aux accords printaniers associe les notes rondes et boisées du thé wulong aux notes fraîches et zestées du thé vert. Le tout, judicieusement mêlé aux notes sucrées du sureau et de la framboise, nous donne une boisson ravissante, délicieusement dans l'air du temps…</v>
          </cell>
          <cell r="W364"/>
          <cell r="X364" t="str">
            <v xml:space="preserve">Né de la rencontre originale des notes boisées d’un thé wulong, de la fraîcheur d’un thé vert et des saveurs florales et fruitées du sureau et de la framboise, cette recette est une ode au printemps et au pouvoir réjouissant des fleurs. Savourez cette ravissante boisson qui évoque toute la magie d’une saison. </v>
          </cell>
          <cell r="Y364"/>
          <cell r="Z364" t="str">
            <v>Ingrédients : thé wulong*, thé vert*, arômes naturels de (framboise* 3%, fleur de sureau*), extrait de vanille* 3%, pétales de fleurs (souci*, rose*), morceaux de framboise* 1%, feuilles et fleurs de mauve*, fleurs de sureau*. *Issu de l'agriculture biologique.</v>
          </cell>
          <cell r="AA364" t="str">
            <v>/</v>
          </cell>
          <cell r="AB364" t="str">
            <v>Membre certifié World Fair Trade Organization, Les Jardins de Gaïa s’engagent pour un commerce plus juste et répondent aux exigences du commerce équitable. Pour en savoir plus : www.wfto.com.</v>
          </cell>
          <cell r="AC364">
            <v>1.5</v>
          </cell>
          <cell r="AD364" t="str">
            <v>4-5</v>
          </cell>
          <cell r="AE364">
            <v>95</v>
          </cell>
          <cell r="AF364">
            <v>2</v>
          </cell>
          <cell r="AG364">
            <v>750</v>
          </cell>
          <cell r="AH364">
            <v>3582810790212</v>
          </cell>
          <cell r="AI364" t="str">
            <v>/</v>
          </cell>
          <cell r="AJ364" t="str">
            <v>INTERNE</v>
          </cell>
          <cell r="AK364" t="str">
            <v>INTERNE</v>
          </cell>
          <cell r="AL364" t="str">
            <v>/</v>
          </cell>
          <cell r="AM364" t="str">
            <v>Création maison</v>
          </cell>
        </row>
        <row r="365">
          <cell r="A365" t="str">
            <v>TA9026</v>
          </cell>
          <cell r="B365"/>
          <cell r="C365" t="str">
            <v>X</v>
          </cell>
          <cell r="D365" t="str">
            <v>X</v>
          </cell>
          <cell r="E365" t="str">
            <v>X</v>
          </cell>
          <cell r="F365" t="str">
            <v>GRAI</v>
          </cell>
          <cell r="G365">
            <v>45383</v>
          </cell>
          <cell r="H365" t="str">
            <v>LES GRANDS CLASSIQUES</v>
          </cell>
          <cell r="I365"/>
          <cell r="J365" t="str">
            <v>Le pouvoir des fleurs</v>
          </cell>
          <cell r="K365" t="str">
            <v>Framboise - Saveur vanille</v>
          </cell>
          <cell r="L365" t="str">
            <v>Mélange de thés aromatisé</v>
          </cell>
          <cell r="M365" t="str">
            <v xml:space="preserve">Chine </v>
          </cell>
          <cell r="N365" t="str">
            <v>AB</v>
          </cell>
          <cell r="O365" t="str">
            <v>WFTO</v>
          </cell>
          <cell r="P365" t="str">
            <v>/</v>
          </cell>
          <cell r="Q365" t="str">
            <v>/</v>
          </cell>
          <cell r="R365" t="str">
            <v>/</v>
          </cell>
          <cell r="S365" t="str">
            <v>/</v>
          </cell>
          <cell r="T365" t="str">
            <v>Agriculture UE/non UE</v>
          </cell>
          <cell r="U365"/>
          <cell r="V365" t="str">
            <v>Douce harmonie de couleurs et de parfums, ce thé aux accords printaniers associe les notes rondes et boisées du thé wulong aux notes fraîches et zestées du thé vert. Le tout, judicieusement mêlé aux notes sucrées du sureau et de la framboise, nous donne une boisson ravissante, délicieusement dans l'air du temps…</v>
          </cell>
          <cell r="W365"/>
          <cell r="X365" t="str">
            <v xml:space="preserve">Né de la rencontre originale des notes boisées d’un thé wulong, de la fraîcheur d’un thé vert et des saveurs florales et fruitées du sureau et de la framboise, cette recette est une ode au printemps et au pouvoir réjouissant des fleurs. Savourez cette ravissante boisson qui évoque toute la magie d’une saison. </v>
          </cell>
          <cell r="Y365"/>
          <cell r="Z365" t="str">
            <v>Ingrédients : thé wulong*, thé vert*, arômes naturels de (framboise* 3%, fleur de sureau*), extrait de vanille* 3%, pétales de fleurs (souci*, rose*), morceaux de framboise* 1%, feuilles et fleurs de mauve*, fleurs de sureau*. *Issu de l'agriculture biologique.</v>
          </cell>
          <cell r="AA365" t="str">
            <v>/</v>
          </cell>
          <cell r="AB365" t="str">
            <v>Membre certifié World Fair Trade Organization, Les Jardins de Gaïa s’engagent pour un commerce plus juste et répondent aux exigences du commerce équitable. Pour en savoir plus : www.wfto.com.</v>
          </cell>
          <cell r="AC365">
            <v>50</v>
          </cell>
          <cell r="AD365" t="str">
            <v>4-5</v>
          </cell>
          <cell r="AE365">
            <v>95</v>
          </cell>
          <cell r="AF365">
            <v>2</v>
          </cell>
          <cell r="AG365">
            <v>25</v>
          </cell>
          <cell r="AH365">
            <v>3582810790267</v>
          </cell>
          <cell r="AI365" t="str">
            <v>/</v>
          </cell>
          <cell r="AJ365" t="str">
            <v>ETOA902V5</v>
          </cell>
          <cell r="AK365" t="str">
            <v>ETOA902V5</v>
          </cell>
          <cell r="AL365" t="str">
            <v>ETCOA9026V5</v>
          </cell>
          <cell r="AM365" t="str">
            <v>Création maison</v>
          </cell>
        </row>
        <row r="366">
          <cell r="A366" t="str">
            <v>TU9026</v>
          </cell>
          <cell r="B366"/>
          <cell r="C366"/>
          <cell r="D366"/>
          <cell r="E366"/>
          <cell r="F366"/>
          <cell r="G366"/>
          <cell r="H366" t="str">
            <v>LES GRANDS CLASSIQUES</v>
          </cell>
          <cell r="I366"/>
          <cell r="J366" t="str">
            <v>Le pouvoir des fleurs</v>
          </cell>
          <cell r="K366" t="str">
            <v>Framboise - Saveur vanille</v>
          </cell>
          <cell r="L366" t="str">
            <v>Mélange de thés aromatisé</v>
          </cell>
          <cell r="M366" t="str">
            <v xml:space="preserve">Chine </v>
          </cell>
          <cell r="N366" t="str">
            <v>AB</v>
          </cell>
          <cell r="O366" t="str">
            <v>WFTO</v>
          </cell>
          <cell r="P366" t="str">
            <v>/</v>
          </cell>
          <cell r="Q366" t="str">
            <v>/</v>
          </cell>
          <cell r="R366" t="str">
            <v>/</v>
          </cell>
          <cell r="S366" t="str">
            <v>/</v>
          </cell>
          <cell r="T366" t="str">
            <v>Agriculture UE/non UE</v>
          </cell>
          <cell r="U366"/>
          <cell r="V366" t="str">
            <v>Douce harmonie de couleurs et de parfums, ce thé aux accords printaniers associe les notes rondes et boisées du thé wulong aux notes fraîches et zestées du thé vert. Le tout, judicieusement mêlé aux notes sucrées du sureau et de la framboise, nous donne une boisson ravissante, délicieusement dans l'air du temps…</v>
          </cell>
          <cell r="W366"/>
          <cell r="X366" t="str">
            <v xml:space="preserve">Né de la rencontre originale des notes boisées d’un thé wulong, de la fraîcheur d’un thé vert et des saveurs florales et fruitées du sureau et de la framboise, cette recette est une ode au printemps et au pouvoir réjouissant des fleurs. Savourez cette ravissante boisson qui évoque toute la magie d’une saison. </v>
          </cell>
          <cell r="Y366"/>
          <cell r="Z366" t="str">
            <v>Ingrédients : thé wulong*, thé vert*, arômes naturels de (framboise* 3%, fleur de sureau*), extrait de vanille* 3%, pétales de fleurs (souci*, rose*), morceaux de framboise* 1%, feuilles et fleurs de mauve*, fleurs de sureau*. *Issu de l'agriculture biologique.</v>
          </cell>
          <cell r="AA366" t="str">
            <v>/</v>
          </cell>
          <cell r="AB366" t="str">
            <v>Membre certifié World Fair Trade Organization, Les Jardins de Gaïa s’engagent pour un commerce plus juste et répondent aux exigences du commerce équitable. Pour en savoir plus : www.wfto.com.</v>
          </cell>
          <cell r="AC366">
            <v>50</v>
          </cell>
          <cell r="AD366" t="str">
            <v>4-5</v>
          </cell>
          <cell r="AE366">
            <v>95</v>
          </cell>
          <cell r="AF366">
            <v>2</v>
          </cell>
          <cell r="AG366">
            <v>25</v>
          </cell>
          <cell r="AH366">
            <v>3582815590268</v>
          </cell>
          <cell r="AI366" t="str">
            <v>/</v>
          </cell>
          <cell r="AJ366" t="str">
            <v>ETTUTO9026V5</v>
          </cell>
          <cell r="AK366" t="str">
            <v>ETTUTO9026V5</v>
          </cell>
          <cell r="AL366" t="str">
            <v>/</v>
          </cell>
          <cell r="AM366" t="str">
            <v>Création maison</v>
          </cell>
        </row>
        <row r="367">
          <cell r="A367" t="str">
            <v>TV7941</v>
          </cell>
          <cell r="B367"/>
          <cell r="C367" t="str">
            <v>X</v>
          </cell>
          <cell r="D367"/>
          <cell r="E367"/>
          <cell r="F367"/>
          <cell r="G367"/>
          <cell r="H367" t="str">
            <v>LES GRANDS CLASSIQUES</v>
          </cell>
          <cell r="I367"/>
          <cell r="J367" t="str">
            <v>Le rêve de Pema</v>
          </cell>
          <cell r="K367" t="str">
            <v>/</v>
          </cell>
          <cell r="L367" t="str">
            <v>Thé vert d'origine</v>
          </cell>
          <cell r="M367" t="str">
            <v>Népal - Panchthar</v>
          </cell>
          <cell r="N367" t="str">
            <v>AB</v>
          </cell>
          <cell r="O367" t="str">
            <v>WFTO</v>
          </cell>
          <cell r="P367" t="str">
            <v>/</v>
          </cell>
          <cell r="Q367" t="str">
            <v>/</v>
          </cell>
          <cell r="R367" t="str">
            <v>/</v>
          </cell>
          <cell r="S367" t="str">
            <v>/</v>
          </cell>
          <cell r="T367" t="str">
            <v>Agriculture Népal</v>
          </cell>
          <cell r="U367"/>
          <cell r="V367" t="str">
            <v>Plus près du ciel, les thés sont comme les songes, ils prennent des couleurs différentes… Issu de petites parcelles d’altitude entourées d’une riche et belle diversité de plantes, ce thé vert semble s’en être imprégné. Ses petites feuilles d’un beau dégradé de vert donnent une liqueur dorée aux notes végétales, légèrement acidulées et épicées. Une tasse riche, surprenante et dépaysante.</v>
          </cell>
          <cell r="W367" t="str">
            <v>S15</v>
          </cell>
          <cell r="X367" t="str">
            <v>Ce thé vert népalais est né dans de petites parcelles d’altitude entourées d’une riche et belle diversité de plantes, dont il semble s’être imprégné. Ses petites feuilles offrent une liqueur dorée aux notes végétales, légèrement acidulées et épicées dont le côté aérien invite à une douce rêverie.</v>
          </cell>
          <cell r="Y367"/>
          <cell r="Z367" t="str">
            <v>Ingrédient : thé vert*. *Issu de l'agriculture biologique.</v>
          </cell>
          <cell r="AA367" t="str">
            <v>/</v>
          </cell>
          <cell r="AB367" t="str">
            <v>Membre certifié World Fair Trade Organization, Les Jardins de Gaïa s’engagent pour un commerce plus juste et répondent aux exigences du commerce équitable. Pour en savoir plus : www.wfto.com.</v>
          </cell>
          <cell r="AC367">
            <v>1.5</v>
          </cell>
          <cell r="AD367" t="str">
            <v>3</v>
          </cell>
          <cell r="AE367">
            <v>80</v>
          </cell>
          <cell r="AF367">
            <v>2</v>
          </cell>
          <cell r="AG367">
            <v>750</v>
          </cell>
          <cell r="AH367">
            <v>3582810379417</v>
          </cell>
          <cell r="AI367" t="str">
            <v>/</v>
          </cell>
          <cell r="AJ367" t="str">
            <v>INTERNE</v>
          </cell>
          <cell r="AK367" t="str">
            <v>INTERNE</v>
          </cell>
          <cell r="AL367" t="str">
            <v>/</v>
          </cell>
          <cell r="AM367" t="str">
            <v>Kanchanjangha Tea Estate</v>
          </cell>
        </row>
        <row r="368">
          <cell r="A368" t="str">
            <v>TV7942</v>
          </cell>
          <cell r="B368"/>
          <cell r="C368" t="str">
            <v>X</v>
          </cell>
          <cell r="D368" t="str">
            <v>X</v>
          </cell>
          <cell r="E368" t="str">
            <v>X</v>
          </cell>
          <cell r="F368" t="str">
            <v>BRODART</v>
          </cell>
          <cell r="G368"/>
          <cell r="H368" t="str">
            <v>LES GRANDS CLASSIQUES</v>
          </cell>
          <cell r="I368"/>
          <cell r="J368" t="str">
            <v>Le rêve de Pema</v>
          </cell>
          <cell r="K368" t="str">
            <v>/</v>
          </cell>
          <cell r="L368" t="str">
            <v>Thé vert d'origine</v>
          </cell>
          <cell r="M368" t="str">
            <v>Népal - Panchthar</v>
          </cell>
          <cell r="N368" t="str">
            <v>AB</v>
          </cell>
          <cell r="O368" t="str">
            <v>WFTO</v>
          </cell>
          <cell r="P368" t="str">
            <v>/</v>
          </cell>
          <cell r="Q368" t="str">
            <v>/</v>
          </cell>
          <cell r="R368" t="str">
            <v>/</v>
          </cell>
          <cell r="S368" t="str">
            <v>/</v>
          </cell>
          <cell r="T368" t="str">
            <v>Agriculture Népal</v>
          </cell>
          <cell r="U368"/>
          <cell r="V368" t="str">
            <v>Plus près du ciel, les thés sont comme les songes, ils prennent des couleurs différentes… Issu de petites parcelles d’altitude entourées d’une riche et belle diversité de plantes, ce thé vert semble s’en être imprégné. Ses petites feuilles d’un beau dégradé de vert donnent une liqueur dorée aux notes végétales, légèrement acidulées et épicées. Une tasse riche, surprenante et dépaysante.</v>
          </cell>
          <cell r="W368" t="str">
            <v>S15</v>
          </cell>
          <cell r="X368" t="str">
            <v>Ce thé vert népalais est né dans de petites parcelles d’altitude entourées d’une riche et belle diversité de plantes, dont il semble s’être imprégné. Ses petites feuilles offrent une liqueur dorée aux notes végétales, légèrement acidulées et épicées dont le côté aérien invite à une douce rêverie.</v>
          </cell>
          <cell r="Y368"/>
          <cell r="Z368" t="str">
            <v>Ingrédient : thé vert*. *Issu de l'agriculture biologique.</v>
          </cell>
          <cell r="AA368" t="str">
            <v>/</v>
          </cell>
          <cell r="AB368" t="str">
            <v>Membre certifié World Fair Trade Organization, Les Jardins de Gaïa s’engagent pour un commerce plus juste et répondent aux exigences du commerce équitable. Pour en savoir plus : www.wfto.com.</v>
          </cell>
          <cell r="AC368">
            <v>100</v>
          </cell>
          <cell r="AD368" t="str">
            <v>3</v>
          </cell>
          <cell r="AE368">
            <v>80</v>
          </cell>
          <cell r="AF368">
            <v>2</v>
          </cell>
          <cell r="AG368">
            <v>50</v>
          </cell>
          <cell r="AH368">
            <v>3582810379424</v>
          </cell>
          <cell r="AI368" t="str">
            <v>/</v>
          </cell>
          <cell r="AJ368" t="str">
            <v>ETVN794</v>
          </cell>
          <cell r="AK368" t="str">
            <v>ETVN794V5</v>
          </cell>
          <cell r="AL368" t="str">
            <v>ETCVN7942V5</v>
          </cell>
          <cell r="AM368" t="str">
            <v>Kanchanjangha Tea Estate</v>
          </cell>
        </row>
        <row r="369">
          <cell r="A369" t="str">
            <v>TH4401</v>
          </cell>
          <cell r="B369"/>
          <cell r="C369"/>
          <cell r="D369"/>
          <cell r="E369"/>
          <cell r="F369"/>
          <cell r="G369"/>
          <cell r="H369" t="str">
            <v>LES BIENFAITRICES</v>
          </cell>
          <cell r="I369" t="str">
            <v>LES INFUSIONS DE PLANTES</v>
          </cell>
          <cell r="J369" t="str">
            <v>Le secret de miss bikini</v>
          </cell>
          <cell r="K369" t="str">
            <v>Digestion
Saveur vanille
Cannelle - Coriandre - Mélisse - Fenouil</v>
          </cell>
          <cell r="L369" t="str">
            <v>Infusion de plantes</v>
          </cell>
          <cell r="M369" t="str">
            <v>/</v>
          </cell>
          <cell r="N369" t="str">
            <v>AB</v>
          </cell>
          <cell r="O369" t="str">
            <v>/</v>
          </cell>
          <cell r="P369" t="str">
            <v>/</v>
          </cell>
          <cell r="Q369" t="str">
            <v>/</v>
          </cell>
          <cell r="R369" t="str">
            <v>/</v>
          </cell>
          <cell r="S369" t="str">
            <v>/</v>
          </cell>
          <cell r="T369" t="str">
            <v>AT-BIO-301
Agriculture UE/non UE</v>
          </cell>
          <cell r="U369"/>
          <cell r="V369" t="str">
            <v>Conjuguez saveurs et bien-être ! Fruitée et épicée, cette tisane aux arômes épanouis séduit les papilles autant qu’elle améliore la digestion. Idéale en fin de repas pour se sentir légère et belle à croquer !</v>
          </cell>
          <cell r="W369" t="str">
            <v>S12</v>
          </cell>
          <cell r="X369" t="str">
            <v>Conjuguez saveurs et bien-être avec cette tisane colorée ! Fruitée et épicée, elle séduit immédiatement les papilles autant qu’elle améliore la digestion. Idéale en fin de repas pour se sentir légère et belle à croquer !</v>
          </cell>
          <cell r="Y369"/>
          <cell r="Z369" t="str">
            <v xml:space="preserve">Ingrédients : écorces d’orange* (Citrus sinensis), cannelle de Ceylan* 18% (Cinnamomum zeylanicum), coriandre* 18% (Coriandrum sativum), mélisse* 12% (Melissa officinalis), gingembre* (Zingiber officinale), fenouil* 12% (Foeniculum vulgare), armoise* (Artemisia vulgaris), boutons de rose* (Rosa damascena), extrait de vanille* 0,5%. *Issu de l’agriculture biologique. </v>
          </cell>
          <cell r="AA369"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369" t="str">
            <v>/</v>
          </cell>
          <cell r="AC369">
            <v>350</v>
          </cell>
          <cell r="AD369" t="str">
            <v>5-10</v>
          </cell>
          <cell r="AE369">
            <v>95</v>
          </cell>
          <cell r="AF369">
            <v>2</v>
          </cell>
          <cell r="AG369">
            <v>375</v>
          </cell>
          <cell r="AH369">
            <v>3582811044017</v>
          </cell>
          <cell r="AI369" t="str">
            <v>/</v>
          </cell>
          <cell r="AJ369" t="str">
            <v>INTERNE</v>
          </cell>
          <cell r="AK369" t="str">
            <v>INTERNE</v>
          </cell>
          <cell r="AL369" t="str">
            <v>/</v>
          </cell>
          <cell r="AM369" t="str">
            <v>Sonnentor</v>
          </cell>
        </row>
        <row r="370">
          <cell r="A370" t="str">
            <v>TH440</v>
          </cell>
          <cell r="B370"/>
          <cell r="C370" t="str">
            <v>X</v>
          </cell>
          <cell r="D370" t="str">
            <v>X</v>
          </cell>
          <cell r="E370"/>
          <cell r="F370" t="str">
            <v>GRAI</v>
          </cell>
          <cell r="G370">
            <v>45408</v>
          </cell>
          <cell r="H370" t="str">
            <v>LES BIENFAITRICES</v>
          </cell>
          <cell r="I370" t="str">
            <v>LES INFUSIONS DE PLANTES</v>
          </cell>
          <cell r="J370" t="str">
            <v>Le secret de miss bikini</v>
          </cell>
          <cell r="K370" t="str">
            <v>Digestion
Saveur vanille
Cannelle - Coriandre - Mélisse - Fenouil</v>
          </cell>
          <cell r="L370" t="str">
            <v>Infusion de plantes</v>
          </cell>
          <cell r="M370" t="str">
            <v>/</v>
          </cell>
          <cell r="N370" t="str">
            <v>AB</v>
          </cell>
          <cell r="O370" t="str">
            <v>/</v>
          </cell>
          <cell r="P370" t="str">
            <v>/</v>
          </cell>
          <cell r="Q370" t="str">
            <v>/</v>
          </cell>
          <cell r="R370" t="str">
            <v>/</v>
          </cell>
          <cell r="S370" t="str">
            <v>/</v>
          </cell>
          <cell r="T370" t="str">
            <v>AT-BIO-301
Agriculture UE/non UE</v>
          </cell>
          <cell r="U370"/>
          <cell r="V370" t="str">
            <v>Conjuguez saveurs et bien-être ! Fruitée et épicée, cette tisane aux arômes épanouis séduit les papilles autant qu’elle améliore la digestion. Idéale en fin de repas pour se sentir légère et belle à croquer !</v>
          </cell>
          <cell r="W370" t="str">
            <v>S12</v>
          </cell>
          <cell r="X370" t="str">
            <v>Conjuguez saveurs et bien-être avec cette tisane colorée ! Fruitée et épicée, elle séduit immédiatement les papilles autant qu’elle améliore la digestion. Idéale en fin de repas pour se sentir légère et belle à croquer !</v>
          </cell>
          <cell r="Y370"/>
          <cell r="Z370" t="str">
            <v xml:space="preserve">Ingrédients : écorces d’orange* (Citrus sinensis), cannelle de Ceylan* 18% (Cinnamomum zeylanicum), coriandre* 18% (Coriandrum sativum), mélisse* 12% (Melissa officinalis), gingembre* (Zingiber officinale), fenouil* 12% (Foeniculum vulgare), armoise* (Artemisia vulgaris), boutons de rose* (Rosa damascena), extrait de vanille* 0,5%. *Issu de l’agriculture biologique. </v>
          </cell>
          <cell r="AA370"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370" t="str">
            <v>/</v>
          </cell>
          <cell r="AC370">
            <v>120</v>
          </cell>
          <cell r="AD370" t="str">
            <v>5-10</v>
          </cell>
          <cell r="AE370">
            <v>95</v>
          </cell>
          <cell r="AF370">
            <v>2</v>
          </cell>
          <cell r="AG370">
            <v>60</v>
          </cell>
          <cell r="AH370">
            <v>3582811004400</v>
          </cell>
          <cell r="AI370" t="str">
            <v>/</v>
          </cell>
          <cell r="AJ370" t="str">
            <v>ETHN4400V5</v>
          </cell>
          <cell r="AK370" t="str">
            <v>ETHN4400V5</v>
          </cell>
          <cell r="AL370" t="str">
            <v>/</v>
          </cell>
          <cell r="AM370" t="str">
            <v>Sonnentor</v>
          </cell>
        </row>
        <row r="371">
          <cell r="A371" t="str">
            <v>TA5021</v>
          </cell>
          <cell r="B371"/>
          <cell r="C371" t="str">
            <v>X</v>
          </cell>
          <cell r="D371"/>
          <cell r="E371"/>
          <cell r="F371"/>
          <cell r="G371"/>
          <cell r="H371" t="str">
            <v>LES GRANDS CLASSIQUES</v>
          </cell>
          <cell r="I371"/>
          <cell r="J371" t="str">
            <v>Le secret des muses</v>
          </cell>
          <cell r="K371" t="str">
            <v>Framboise - Citron</v>
          </cell>
          <cell r="L371" t="str">
            <v>Thé blanc aromatisé</v>
          </cell>
          <cell r="M371" t="str">
            <v>Chine - Fujian
Vietnam - Yen Bai</v>
          </cell>
          <cell r="N371" t="str">
            <v>AB</v>
          </cell>
          <cell r="O371" t="str">
            <v>WFTO</v>
          </cell>
          <cell r="P371" t="str">
            <v>/</v>
          </cell>
          <cell r="Q371" t="str">
            <v>/</v>
          </cell>
          <cell r="R371" t="str">
            <v>/</v>
          </cell>
          <cell r="S371" t="str">
            <v>/</v>
          </cell>
          <cell r="T371" t="str">
            <v>Agriculture UE/non UE</v>
          </cell>
          <cell r="U371"/>
          <cell r="V371" t="str">
            <v>Ces feuilles tendres parsemées de bourgeons argentés, délicatement parfumées de saveurs printanières de framboise et citron, se déploient pour libérer une tasse gourmande et légère. Laissez-vous séduire…</v>
          </cell>
          <cell r="W371" t="str">
            <v>S15</v>
          </cell>
          <cell r="X371" t="str">
            <v>Comme un secret de muses, les feuilles de ce beau thé blanc parfumé se dévoilent à la rencontre d’une eau pure. Elles offrent alors une tasse inspirée aux délicieuses saveurs de framboise et de sureau. Laissez-vous séduire par ce secret gourmand…</v>
          </cell>
          <cell r="Y371"/>
          <cell r="Z371" t="str">
            <v xml:space="preserve">Ingrédients : thé blanc*, arômes naturels de (framboise* 7%, fleur de sureau*), morceaux de framboise* 3%, pétales de fleurs (rose*, mauve*, lavande*, souci*, tournesol*, bleuet*), écorces de citron* 1%, huile essentielle de citron* 0,3%. *Issu de l'agriculture biologique. </v>
          </cell>
          <cell r="AA371" t="str">
            <v>/</v>
          </cell>
          <cell r="AB371" t="str">
            <v>Membre certifié World Fair Trade Organization, Les Jardins de Gaïa s’engagent pour un commerce plus juste et répondent aux exigences du commerce équitable. Pour en savoir plus : www.wfto.com.</v>
          </cell>
          <cell r="AC371">
            <v>1.5</v>
          </cell>
          <cell r="AD371" t="str">
            <v>3-4</v>
          </cell>
          <cell r="AE371">
            <v>85</v>
          </cell>
          <cell r="AF371">
            <v>2</v>
          </cell>
          <cell r="AG371">
            <v>750</v>
          </cell>
          <cell r="AH371">
            <v>3582810650219</v>
          </cell>
          <cell r="AI371" t="str">
            <v>/</v>
          </cell>
          <cell r="AJ371" t="str">
            <v>INTERNE</v>
          </cell>
          <cell r="AK371" t="str">
            <v>INTERNE</v>
          </cell>
          <cell r="AL371" t="str">
            <v>/</v>
          </cell>
          <cell r="AM371" t="str">
            <v>Création maison</v>
          </cell>
        </row>
        <row r="372">
          <cell r="A372" t="str">
            <v>TA5026</v>
          </cell>
          <cell r="B372"/>
          <cell r="C372" t="str">
            <v>X</v>
          </cell>
          <cell r="D372" t="str">
            <v>X</v>
          </cell>
          <cell r="E372" t="str">
            <v>X</v>
          </cell>
          <cell r="F372" t="str">
            <v>BRODART</v>
          </cell>
          <cell r="G372"/>
          <cell r="H372" t="str">
            <v>LES GRANDS CLASSIQUES</v>
          </cell>
          <cell r="I372"/>
          <cell r="J372" t="str">
            <v>Le secret des muses</v>
          </cell>
          <cell r="K372" t="str">
            <v>Framboise - Citron</v>
          </cell>
          <cell r="L372" t="str">
            <v>Thé blanc aromatisé</v>
          </cell>
          <cell r="M372" t="str">
            <v>Chine - Fujian
Vietnam - Yen Bai</v>
          </cell>
          <cell r="N372" t="str">
            <v>AB</v>
          </cell>
          <cell r="O372" t="str">
            <v>WFTO</v>
          </cell>
          <cell r="P372" t="str">
            <v>/</v>
          </cell>
          <cell r="Q372" t="str">
            <v>/</v>
          </cell>
          <cell r="R372" t="str">
            <v>/</v>
          </cell>
          <cell r="S372" t="str">
            <v>/</v>
          </cell>
          <cell r="T372" t="str">
            <v>Agriculture UE/non UE</v>
          </cell>
          <cell r="U372"/>
          <cell r="V372" t="str">
            <v>Ces feuilles tendres parsemées de bourgeons argentés, délicatement parfumées de saveurs printanières de framboise et citron, se déploient pour libérer une tasse gourmande et légère. Laissez-vous séduire…</v>
          </cell>
          <cell r="W372" t="str">
            <v>S15</v>
          </cell>
          <cell r="X372" t="str">
            <v>Comme un secret de muses, les feuilles de ce beau thé blanc parfumé se dévoilent à la rencontre d’une eau pure. Elles offrent alors une tasse inspirée aux délicieuses saveurs de framboise et de sureau. Laissez-vous séduire par ce secret gourmand…</v>
          </cell>
          <cell r="Y372"/>
          <cell r="Z372" t="str">
            <v xml:space="preserve">Ingrédients : thé blanc*, arômes naturels de (framboise* 7%, fleur de sureau*), morceaux de framboise* 3%, pétales de fleurs (rose*, mauve*, lavande*, souci*, tournesol*, bleuet*), écorces de citron* 1%, huile essentielle de citron* 0,3%. *Issu de l'agriculture biologique. </v>
          </cell>
          <cell r="AA372" t="str">
            <v>/</v>
          </cell>
          <cell r="AB372" t="str">
            <v>Membre certifié World Fair Trade Organization, Les Jardins de Gaïa s’engagent pour un commerce plus juste et répondent aux exigences du commerce équitable. Pour en savoir plus : www.wfto.com.</v>
          </cell>
          <cell r="AC372">
            <v>40</v>
          </cell>
          <cell r="AD372" t="str">
            <v>3-4</v>
          </cell>
          <cell r="AE372">
            <v>85</v>
          </cell>
          <cell r="AF372">
            <v>2</v>
          </cell>
          <cell r="AG372">
            <v>20</v>
          </cell>
          <cell r="AH372">
            <v>3582810650264</v>
          </cell>
          <cell r="AI372" t="str">
            <v>/</v>
          </cell>
          <cell r="AJ372" t="str">
            <v>INTERNE</v>
          </cell>
          <cell r="AK372" t="str">
            <v>INTERNE</v>
          </cell>
          <cell r="AL372" t="str">
            <v>ETCBA5026V5</v>
          </cell>
          <cell r="AM372" t="str">
            <v>Création maison</v>
          </cell>
        </row>
        <row r="373">
          <cell r="A373" t="str">
            <v>TA6171</v>
          </cell>
          <cell r="B373"/>
          <cell r="C373"/>
          <cell r="D373"/>
          <cell r="E373"/>
          <cell r="F373"/>
          <cell r="G373"/>
          <cell r="H373" t="str">
            <v>LES ENGAGÉS</v>
          </cell>
          <cell r="I373" t="str">
            <v>AGIR POUR L'EDUCATION</v>
          </cell>
          <cell r="J373" t="str">
            <v>Le Songe du Colibri</v>
          </cell>
          <cell r="K373" t="str">
            <v>Huile essentielle de citron - Basilic</v>
          </cell>
          <cell r="L373" t="str">
            <v>Thé vert aromatisé</v>
          </cell>
          <cell r="M373" t="str">
            <v>Vietnam</v>
          </cell>
          <cell r="N373" t="str">
            <v>AB</v>
          </cell>
          <cell r="O373" t="str">
            <v>WFTO</v>
          </cell>
          <cell r="P373" t="str">
            <v>/</v>
          </cell>
          <cell r="Q373" t="str">
            <v>WT</v>
          </cell>
          <cell r="R373" t="str">
            <v>/</v>
          </cell>
          <cell r="S373" t="str">
            <v>/</v>
          </cell>
          <cell r="T373" t="str">
            <v>Agriculture UE/non UE</v>
          </cell>
          <cell r="U373"/>
          <cell r="V373" t="str">
            <v>Mélange tonique et inattendu. À la fraîcheur du thé vert issu de théiers anciens du Vietnam s’ajoute l’acidulé du citron. Un mariage savoureux auquel l’épicé du basilic vient offrir un coup de peps incomparable. Idéal pour prendre son envol et oser donner vie au songe du colibri.</v>
          </cell>
          <cell r="W373" t="str">
            <v>S24</v>
          </cell>
          <cell r="X373" t="str">
            <v>Cette recette tonique et inattendue associe la fraîcheur du thé vert issu de théiers anciens du Vietnam aux notes fraîches, acidulées et épicées du délicieux duo citron-basilic. Un mariage aux   accords enthousiasmants et savoureux, idéal pour prendre son envol et oser donner vie au songe du colibri.</v>
          </cell>
          <cell r="Y373" t="str">
            <v>Situé en Ardèche, Les Amanins est un centre agroécologique qui propose des activités en lien avec la nature, l’écologie et l’humain. lesamanins.com</v>
          </cell>
          <cell r="Z373" t="str">
            <v xml:space="preserve">Ingrédients : thé vert*, basilic* 12%, pétales de souci*, huile essentielle de citron* 2%. *Issu de l'agriculture biologique. </v>
          </cell>
          <cell r="AA373" t="str">
            <v>/</v>
          </cell>
          <cell r="AB373" t="str">
            <v>Membre certifié World Fair Trade Organization, Les Jardins de Gaïa s’engagent pour un commerce plus juste et répondent aux exigences du commerce équitable. Pour en savoir plus : www.wfto.com.</v>
          </cell>
          <cell r="AC373">
            <v>1.5</v>
          </cell>
          <cell r="AD373" t="str">
            <v>3</v>
          </cell>
          <cell r="AE373">
            <v>80</v>
          </cell>
          <cell r="AF373">
            <v>2</v>
          </cell>
          <cell r="AG373">
            <v>750</v>
          </cell>
          <cell r="AH373">
            <v>3582810361719</v>
          </cell>
          <cell r="AI373" t="str">
            <v>/</v>
          </cell>
          <cell r="AJ373" t="str">
            <v>INTERNE</v>
          </cell>
          <cell r="AK373" t="str">
            <v>INTERNE</v>
          </cell>
          <cell r="AL373" t="str">
            <v>/</v>
          </cell>
          <cell r="AM373" t="str">
            <v>Création maison</v>
          </cell>
        </row>
        <row r="374">
          <cell r="A374" t="str">
            <v>TA6172</v>
          </cell>
          <cell r="B374"/>
          <cell r="C374"/>
          <cell r="D374"/>
          <cell r="E374"/>
          <cell r="F374"/>
          <cell r="G374"/>
          <cell r="H374" t="str">
            <v>LES ENGAGÉS</v>
          </cell>
          <cell r="I374" t="str">
            <v>AGIR POUR L'EDUCATION</v>
          </cell>
          <cell r="J374" t="str">
            <v>Le Songe du Colibri</v>
          </cell>
          <cell r="K374" t="str">
            <v>Huile essentielle de citron - Basilic</v>
          </cell>
          <cell r="L374" t="str">
            <v>Thé vert aromatisé</v>
          </cell>
          <cell r="M374" t="str">
            <v>Vietnam</v>
          </cell>
          <cell r="N374" t="str">
            <v>AB</v>
          </cell>
          <cell r="O374" t="str">
            <v>WFTO</v>
          </cell>
          <cell r="P374" t="str">
            <v>/</v>
          </cell>
          <cell r="Q374" t="str">
            <v>WT</v>
          </cell>
          <cell r="R374" t="str">
            <v>/</v>
          </cell>
          <cell r="S374" t="str">
            <v>/</v>
          </cell>
          <cell r="T374" t="str">
            <v>Agriculture UE/non UE</v>
          </cell>
          <cell r="U374"/>
          <cell r="V374" t="str">
            <v>Mélange tonique et inattendu. À la fraîcheur du thé vert issu de théiers anciens du Vietnam s’ajoute l’acidulé du citron. Un mariage savoureux auquel l’épicé du basilic vient offrir un coup de peps incomparable. Idéal pour prendre son envol et oser donner vie au songe du colibri.</v>
          </cell>
          <cell r="W374" t="str">
            <v>S24</v>
          </cell>
          <cell r="X374" t="str">
            <v>Cette recette tonique et inattendue associe la fraîcheur du thé vert issu de théiers anciens du Vietnam aux notes fraîches, acidulées et épicées du délicieux duo citron-basilic. Un mariage aux   accords enthousiasmants et savoureux, idéal pour prendre son envol et oser donner vie au songe du colibri.</v>
          </cell>
          <cell r="Y374" t="str">
            <v>Situé en Ardèche, Les Amanins est un centre agroécologique qui propose des activités en lien avec la nature, l’écologie et l’humain. lesamanins.com</v>
          </cell>
          <cell r="Z374" t="str">
            <v xml:space="preserve">Ingrédients : thé vert*, basilic* 12%, pétales de souci*, huile essentielle de citron* 2%. *Issu de l'agriculture biologique. </v>
          </cell>
          <cell r="AA374" t="str">
            <v>/</v>
          </cell>
          <cell r="AB374" t="str">
            <v>Membre certifié World Fair Trade Organization, Les Jardins de Gaïa s’engagent pour un commerce plus juste et répondent aux exigences du commerce équitable. Pour en savoir plus : www.wfto.com.</v>
          </cell>
          <cell r="AC374">
            <v>100</v>
          </cell>
          <cell r="AD374" t="str">
            <v>3</v>
          </cell>
          <cell r="AE374">
            <v>80</v>
          </cell>
          <cell r="AF374">
            <v>2</v>
          </cell>
          <cell r="AG374">
            <v>50</v>
          </cell>
          <cell r="AH374">
            <v>3582810361726</v>
          </cell>
          <cell r="AI374" t="str">
            <v>/</v>
          </cell>
          <cell r="AJ374" t="str">
            <v>ETVA617</v>
          </cell>
          <cell r="AK374" t="str">
            <v>ETVA617V5</v>
          </cell>
          <cell r="AL374" t="str">
            <v>ETCVA6172V5</v>
          </cell>
          <cell r="AM374" t="str">
            <v>Création maison</v>
          </cell>
        </row>
        <row r="375">
          <cell r="A375" t="str">
            <v>TJ2011</v>
          </cell>
          <cell r="B375"/>
          <cell r="C375"/>
          <cell r="D375"/>
          <cell r="E375"/>
          <cell r="F375"/>
          <cell r="G375"/>
          <cell r="H375" t="str">
            <v>LES GRANDS CLASSIQUES</v>
          </cell>
          <cell r="I375"/>
          <cell r="J375" t="str">
            <v>Le thé des Samouraïs</v>
          </cell>
          <cell r="K375" t="str">
            <v>Gingembre - Verveine</v>
          </cell>
          <cell r="L375" t="str">
            <v>Thé vert parfumé</v>
          </cell>
          <cell r="M375" t="str">
            <v>Japon - Kagoshima</v>
          </cell>
          <cell r="N375" t="str">
            <v>AB</v>
          </cell>
          <cell r="O375" t="str">
            <v>/</v>
          </cell>
          <cell r="P375" t="str">
            <v>/</v>
          </cell>
          <cell r="Q375" t="str">
            <v>/</v>
          </cell>
          <cell r="R375" t="str">
            <v>/</v>
          </cell>
          <cell r="S375" t="str">
            <v>/</v>
          </cell>
          <cell r="T375" t="str">
            <v>Agriculture non UE</v>
          </cell>
          <cell r="U375"/>
          <cell r="V375" t="str">
            <v>Thé de légende et de tradition. Frais et herbacé, souligné d’une note citronnée légèrement piquante, ce thé vert japonais allie douceur et force. Infusion limpide à la saveur intense, longue en bouche, excellente chaude ou glacée.</v>
          </cell>
          <cell r="W375"/>
          <cell r="X375" t="str">
            <v>Laissez-vous surprendre par ce mariage détonnant du thé vert japonais, du gingembre et de la verveine, inspiré par la fougue des Samouraïs. Ses notes citronnées et légèrement piquantes s'associent à merveille avec les saveurs végétales, fraîches et douces du thé vert étuvé. Délicieux chaud ou glacé !</v>
          </cell>
          <cell r="Y375"/>
          <cell r="Z375" t="str">
            <v>Ingrédients : thé vert japonais*, gingembre* 12%, verveine* 8%. *Issu de l'agriculture biologique.</v>
          </cell>
          <cell r="AA375" t="str">
            <v>/</v>
          </cell>
          <cell r="AB375" t="str">
            <v>/</v>
          </cell>
          <cell r="AC375">
            <v>1.5</v>
          </cell>
          <cell r="AD375" t="str">
            <v>3-4</v>
          </cell>
          <cell r="AE375">
            <v>75</v>
          </cell>
          <cell r="AF375">
            <v>2</v>
          </cell>
          <cell r="AG375">
            <v>750</v>
          </cell>
          <cell r="AH375">
            <v>3582814120114</v>
          </cell>
          <cell r="AI375" t="str">
            <v>/</v>
          </cell>
          <cell r="AJ375" t="str">
            <v>INTERNE</v>
          </cell>
          <cell r="AK375" t="str">
            <v>INTERNE</v>
          </cell>
          <cell r="AL375" t="str">
            <v>/</v>
          </cell>
          <cell r="AM375" t="str">
            <v>Création maison</v>
          </cell>
        </row>
        <row r="376">
          <cell r="A376" t="str">
            <v>TJ2012</v>
          </cell>
          <cell r="B376"/>
          <cell r="C376" t="str">
            <v>X</v>
          </cell>
          <cell r="D376" t="str">
            <v>x</v>
          </cell>
          <cell r="E376" t="str">
            <v>x</v>
          </cell>
          <cell r="F376" t="str">
            <v>GRAI</v>
          </cell>
          <cell r="G376">
            <v>45383</v>
          </cell>
          <cell r="H376" t="str">
            <v>LES GRANDS CLASSIQUES</v>
          </cell>
          <cell r="I376"/>
          <cell r="J376" t="str">
            <v>Le thé des Samouraïs</v>
          </cell>
          <cell r="K376" t="str">
            <v>Gingembre - Verveine</v>
          </cell>
          <cell r="L376" t="str">
            <v>Thé vert parfumé</v>
          </cell>
          <cell r="M376" t="str">
            <v>Japon - Kagoshima</v>
          </cell>
          <cell r="N376" t="str">
            <v>AB</v>
          </cell>
          <cell r="O376" t="str">
            <v>/</v>
          </cell>
          <cell r="P376" t="str">
            <v>/</v>
          </cell>
          <cell r="Q376" t="str">
            <v>/</v>
          </cell>
          <cell r="R376" t="str">
            <v>/</v>
          </cell>
          <cell r="S376" t="str">
            <v>/</v>
          </cell>
          <cell r="T376" t="str">
            <v>Agriculture non UE</v>
          </cell>
          <cell r="U376"/>
          <cell r="V376" t="str">
            <v>Thé de légende et de tradition. Frais et herbacé, souligné d’une note citronnée légèrement piquante, ce thé vert japonais allie douceur et force. Infusion limpide à la saveur intense, longue en bouche, excellente chaude ou glacée.</v>
          </cell>
          <cell r="W376"/>
          <cell r="X376" t="str">
            <v>Laissez-vous surprendre par ce mariage détonnant du thé vert japonais, du gingembre et de la verveine, inspiré par la fougue des Samouraïs. Ses notes citronnées et légèrement piquantes s'associent à merveille avec les saveurs végétales, fraîches et douces du thé vert étuvé. Délicieux chaud ou glacé !</v>
          </cell>
          <cell r="Y376"/>
          <cell r="Z376" t="str">
            <v>Ingrédients : thé vert japonais*, gingembre* 12%, verveine* 8%. *Issu de l'agriculture biologique.</v>
          </cell>
          <cell r="AA376" t="str">
            <v>/</v>
          </cell>
          <cell r="AB376" t="str">
            <v>/</v>
          </cell>
          <cell r="AC376">
            <v>100</v>
          </cell>
          <cell r="AD376" t="str">
            <v>3-4</v>
          </cell>
          <cell r="AE376">
            <v>75</v>
          </cell>
          <cell r="AF376">
            <v>2</v>
          </cell>
          <cell r="AG376">
            <v>50</v>
          </cell>
          <cell r="AH376">
            <v>3582814120121</v>
          </cell>
          <cell r="AI376" t="str">
            <v>/</v>
          </cell>
          <cell r="AJ376" t="str">
            <v>ETVJ201</v>
          </cell>
          <cell r="AK376" t="str">
            <v>ETVJ201V5</v>
          </cell>
          <cell r="AL376" t="str">
            <v>ETCVJ2012V5</v>
          </cell>
          <cell r="AM376" t="str">
            <v>Japon - Kagoshima</v>
          </cell>
        </row>
        <row r="377">
          <cell r="A377" t="str">
            <v>TH2601</v>
          </cell>
          <cell r="B377"/>
          <cell r="C377"/>
          <cell r="D377"/>
          <cell r="E377"/>
          <cell r="F377"/>
          <cell r="G377"/>
          <cell r="H377" t="str">
            <v>LES GRANDS CLASSIQUES</v>
          </cell>
          <cell r="I377" t="str">
            <v>LES INFUSIONS DE PLANTES</v>
          </cell>
          <cell r="J377" t="str">
            <v>Lemongrass</v>
          </cell>
          <cell r="K377" t="str">
            <v>/</v>
          </cell>
          <cell r="L377" t="str">
            <v>Infusion de plante</v>
          </cell>
          <cell r="M377" t="str">
            <v>Sri Lanka</v>
          </cell>
          <cell r="N377" t="str">
            <v>AB</v>
          </cell>
          <cell r="O377" t="str">
            <v>WFTO</v>
          </cell>
          <cell r="P377" t="str">
            <v>D</v>
          </cell>
          <cell r="Q377" t="str">
            <v>/</v>
          </cell>
          <cell r="R377" t="str">
            <v>/</v>
          </cell>
          <cell r="S377" t="str">
            <v>/</v>
          </cell>
          <cell r="T377" t="str">
            <v>Agriculture non UE</v>
          </cell>
          <cell r="U377"/>
          <cell r="V377" t="str">
            <v>Vif et pétillant, le lemongrass, appelé verveine des Indes, est un vrai rayon de soleil ! Son infusion aux saveurs citronnées intenses s'apprécie particulièrement en mode glacé dès que le thermomètre commence à s'affoler. La plus savoureuse manière de se rafraîchir !</v>
          </cell>
          <cell r="W377" t="str">
            <v>S12</v>
          </cell>
          <cell r="X377" t="str">
            <v>Vif et pétillant, le lemongrass aussi appelé verveine des Indes est un vrai rayon de soleil en infusion ! Ses saveurs citronnées intenses empreintes d’un zeste d’exotisme s'apprécient particulièrement en mode glacé dès que le thermomètre commence à s'affoler. Rafraîchissement garanti !</v>
          </cell>
          <cell r="Y377"/>
          <cell r="Z377" t="str">
            <v xml:space="preserve">Ingrédient : lemongrass** (Cymbopogon citratus). **Issu de l'agriculture biologique et biodynamique. demeter est la marque des produits issus de l'agriculture biodynamique certifiée. </v>
          </cell>
          <cell r="AA377" t="str">
            <v>/</v>
          </cell>
          <cell r="AB377" t="str">
            <v>Membre certifié World Fair Trade Organization, Les Jardins de Gaïa s’engagent pour un commerce plus juste et répondent aux exigences du commerce équitable. Pour en savoir plus : www.wfto.com.</v>
          </cell>
          <cell r="AC377">
            <v>1.5</v>
          </cell>
          <cell r="AD377" t="str">
            <v>5-10</v>
          </cell>
          <cell r="AE377">
            <v>95</v>
          </cell>
          <cell r="AF377">
            <v>2</v>
          </cell>
          <cell r="AG377">
            <v>750</v>
          </cell>
          <cell r="AH377">
            <v>3582811026013</v>
          </cell>
          <cell r="AI377" t="str">
            <v>/</v>
          </cell>
          <cell r="AJ377" t="str">
            <v>INTERNE</v>
          </cell>
          <cell r="AK377" t="str">
            <v>INTERNE</v>
          </cell>
          <cell r="AL377" t="str">
            <v>/</v>
          </cell>
          <cell r="AM377" t="str">
            <v>Small Organic Farmers' Association</v>
          </cell>
        </row>
        <row r="378">
          <cell r="A378" t="str">
            <v>TH2602</v>
          </cell>
          <cell r="B378"/>
          <cell r="C378" t="str">
            <v>X</v>
          </cell>
          <cell r="D378" t="str">
            <v>X</v>
          </cell>
          <cell r="E378"/>
          <cell r="F378" t="str">
            <v>GRAI</v>
          </cell>
          <cell r="G378">
            <v>45408</v>
          </cell>
          <cell r="H378" t="str">
            <v>LES GRANDS CLASSIQUES</v>
          </cell>
          <cell r="I378" t="str">
            <v>LES INFUSIONS DE PLANTES</v>
          </cell>
          <cell r="J378" t="str">
            <v>Lemongrass</v>
          </cell>
          <cell r="K378" t="str">
            <v>/</v>
          </cell>
          <cell r="L378" t="str">
            <v>Infusion de plante</v>
          </cell>
          <cell r="M378" t="str">
            <v>Sri Lanka</v>
          </cell>
          <cell r="N378" t="str">
            <v>AB</v>
          </cell>
          <cell r="O378" t="str">
            <v>WFTO</v>
          </cell>
          <cell r="P378" t="str">
            <v>D</v>
          </cell>
          <cell r="Q378" t="str">
            <v>/</v>
          </cell>
          <cell r="R378" t="str">
            <v>/</v>
          </cell>
          <cell r="S378" t="str">
            <v>/</v>
          </cell>
          <cell r="T378" t="str">
            <v>Agriculture non UE</v>
          </cell>
          <cell r="U378"/>
          <cell r="V378" t="str">
            <v>Vif et pétillant, le lemongrass, appelé verveine des Indes, est un vrai rayon de soleil ! Son infusion aux saveurs citronnées intenses s'apprécie particulièrement en mode glacé dès que le thermomètre commence à s'affoler. La plus savoureuse manière de se rafraîchir !</v>
          </cell>
          <cell r="W378" t="str">
            <v>S12</v>
          </cell>
          <cell r="X378" t="str">
            <v>Vif et pétillant, le lemongrass aussi appelé verveine des Indes est un vrai rayon de soleil en infusion ! Ses saveurs citronnées intenses empreintes d’un zeste d’exotisme s'apprécient particulièrement en mode glacé dès que le thermomètre commence à s'affoler. Rafraîchissement garanti !</v>
          </cell>
          <cell r="Y378"/>
          <cell r="Z378" t="str">
            <v xml:space="preserve">Ingrédient : lemongrass** (Cymbopogon citratus). **Issu de l'agriculture biologique et biodynamique. demeter est la marque des produits issus de l'agriculture biodynamique certifiée. </v>
          </cell>
          <cell r="AA378" t="str">
            <v>/</v>
          </cell>
          <cell r="AB378" t="str">
            <v>Membre certifié World Fair Trade Organization, Les Jardins de Gaïa s’engagent pour un commerce plus juste et répondent aux exigences du commerce équitable. Pour en savoir plus : www.wfto.com.</v>
          </cell>
          <cell r="AC378">
            <v>100</v>
          </cell>
          <cell r="AD378" t="str">
            <v>5-10</v>
          </cell>
          <cell r="AE378">
            <v>95</v>
          </cell>
          <cell r="AF378">
            <v>2</v>
          </cell>
          <cell r="AG378">
            <v>50</v>
          </cell>
          <cell r="AH378">
            <v>3582811026020</v>
          </cell>
          <cell r="AI378" t="str">
            <v>/</v>
          </cell>
          <cell r="AJ378" t="str">
            <v>ETHN2600V5</v>
          </cell>
          <cell r="AK378" t="str">
            <v>ETHN2600V5</v>
          </cell>
          <cell r="AL378" t="str">
            <v>/</v>
          </cell>
          <cell r="AM378" t="str">
            <v>Small Organic Farmers' Association</v>
          </cell>
        </row>
        <row r="379">
          <cell r="A379" t="str">
            <v>TM0031</v>
          </cell>
          <cell r="B379"/>
          <cell r="C379"/>
          <cell r="D379"/>
          <cell r="E379"/>
          <cell r="F379"/>
          <cell r="G379"/>
          <cell r="H379" t="str">
            <v>LES ENGAGÉS</v>
          </cell>
          <cell r="I379" t="str">
            <v>AGIR POUR LA NATURE</v>
          </cell>
          <cell r="J379" t="str">
            <v>L'envolée sauvage</v>
          </cell>
          <cell r="K379" t="str">
            <v xml:space="preserve">Eucalyptus - Clous de girofle </v>
          </cell>
          <cell r="L379" t="str">
            <v>Infusion de plantes et épices</v>
          </cell>
          <cell r="M379" t="str">
            <v>Portugal - France - Maroc - Sri Lanka - Turquie - Australie</v>
          </cell>
          <cell r="N379" t="str">
            <v>AB</v>
          </cell>
          <cell r="O379" t="str">
            <v>/</v>
          </cell>
          <cell r="P379" t="str">
            <v>/</v>
          </cell>
          <cell r="Q379" t="str">
            <v>/</v>
          </cell>
          <cell r="R379" t="str">
            <v>/</v>
          </cell>
          <cell r="S379" t="str">
            <v>/</v>
          </cell>
          <cell r="T379" t="str">
            <v>Agriculture UE/non UE</v>
          </cell>
          <cell r="U379"/>
          <cell r="V379" t="str">
            <v>Cette composition à base de plantes, particulièrement harmonieuse, est un hommage à la grâce d’une envolée sauvage. S’ouvrant sur des saveurs de mélisse et de tilleul qui oscillent entre force et douceur, la recette déploie ensuite ses notes épicées, fraîches, camphrées et citronnées d’une très belle complexité. Pour une pause contemplative où le temps suspend son vol…</v>
          </cell>
          <cell r="W379" t="str">
            <v>S24</v>
          </cell>
          <cell r="X379" t="str">
            <v>La grâce d’une envolée sauvage est la source d’inspiration de cette infusion de plantes. Sur des saveurs de mélisse et de tilleul, entre force et douceur, cette recette déploie ses notes épicées, fraîches, camphrées et citronnées. Pour une pause aérienne et contemplative les yeux dans le ciel...</v>
          </cell>
          <cell r="Y379" t="str">
            <v>La Ligue pour la Protection des Oiseaux (LPO) agit depuis 1912 pour la protection des oiseaux et la sauvegarde de la biodiversité. lpo.fr</v>
          </cell>
          <cell r="Z379" t="str">
            <v>Ingrédients : tilleul*, eucalyptus* 22%, morceaux de pomme*, mélisse*, myrte*, reine des prés*, clou de girofle* 4%, pétales de souci*, pétales de bleuet*. *Issu de l’agriculture biologique.</v>
          </cell>
          <cell r="AA379" t="str">
            <v>/</v>
          </cell>
          <cell r="AB379" t="str">
            <v>/</v>
          </cell>
          <cell r="AC379">
            <v>1.5</v>
          </cell>
          <cell r="AD379" t="str">
            <v>5-8</v>
          </cell>
          <cell r="AE379">
            <v>95</v>
          </cell>
          <cell r="AF379">
            <v>2</v>
          </cell>
          <cell r="AG379">
            <v>750</v>
          </cell>
          <cell r="AH379">
            <v>3582811000310</v>
          </cell>
          <cell r="AI379" t="str">
            <v>/</v>
          </cell>
          <cell r="AJ379" t="str">
            <v>INTERNE</v>
          </cell>
          <cell r="AK379" t="str">
            <v>INTERNE</v>
          </cell>
          <cell r="AL379" t="str">
            <v>/</v>
          </cell>
          <cell r="AM379" t="str">
            <v>Création maison</v>
          </cell>
        </row>
        <row r="380">
          <cell r="A380" t="str">
            <v>TM0036</v>
          </cell>
          <cell r="B380"/>
          <cell r="C380"/>
          <cell r="D380"/>
          <cell r="E380"/>
          <cell r="F380"/>
          <cell r="G380"/>
          <cell r="H380" t="str">
            <v>LES ENGAGÉS</v>
          </cell>
          <cell r="I380" t="str">
            <v>AGIR POUR LA NATURE</v>
          </cell>
          <cell r="J380" t="str">
            <v>L'envolée sauvage</v>
          </cell>
          <cell r="K380" t="str">
            <v xml:space="preserve">Eucalyptus - Clous de girofle </v>
          </cell>
          <cell r="L380" t="str">
            <v>Infusion de plantes et épices</v>
          </cell>
          <cell r="M380" t="str">
            <v>Portugal - France - Maroc - Sri Lanka - Turquie - Australie</v>
          </cell>
          <cell r="N380" t="str">
            <v>AB</v>
          </cell>
          <cell r="O380" t="str">
            <v>/</v>
          </cell>
          <cell r="P380" t="str">
            <v>/</v>
          </cell>
          <cell r="Q380" t="str">
            <v>/</v>
          </cell>
          <cell r="R380" t="str">
            <v>/</v>
          </cell>
          <cell r="S380" t="str">
            <v>/</v>
          </cell>
          <cell r="T380" t="str">
            <v>Agriculture UE/non UE</v>
          </cell>
          <cell r="U380"/>
          <cell r="V380" t="str">
            <v>Cette composition à base de plantes, particulièrement harmonieuse, est un hommage à la grâce d’une envolée sauvage. S’ouvrant sur des saveurs de mélisse et de tilleul qui oscillent entre force et douceur, la recette déploie ensuite ses notes épicées, fraîches, camphrées et citronnées d’une très belle complexité. Pour une pause contemplative où le temps suspend son vol…</v>
          </cell>
          <cell r="W380" t="str">
            <v>S24</v>
          </cell>
          <cell r="X380" t="str">
            <v>La grâce d’une envolée sauvage est la source d’inspiration de cette infusion de plantes. Sur des saveurs de mélisse et de tilleul, entre force et douceur, cette recette déploie ses notes épicées, fraîches, camphrées et citronnées. Pour une pause aérienne et contemplative les yeux dans le ciel...</v>
          </cell>
          <cell r="Y380" t="str">
            <v>La Ligue pour la Protection des Oiseaux (LPO) agit depuis 1912 pour la protection des oiseaux et la sauvegarde de la biodiversité. lpo.fr</v>
          </cell>
          <cell r="Z380" t="str">
            <v>Ingrédients : tilleul*, eucalyptus* 22%, morceaux de pomme*, mélisse*, myrte*, reine des prés*, clou de girofle* 4%, pétales de souci*, pétales de bleuet*. *Issu de l’agriculture biologique.</v>
          </cell>
          <cell r="AA380" t="str">
            <v>/</v>
          </cell>
          <cell r="AB380" t="str">
            <v>/</v>
          </cell>
          <cell r="AC380">
            <v>40</v>
          </cell>
          <cell r="AD380" t="str">
            <v>5-8</v>
          </cell>
          <cell r="AE380">
            <v>95</v>
          </cell>
          <cell r="AF380">
            <v>2</v>
          </cell>
          <cell r="AG380">
            <v>20</v>
          </cell>
          <cell r="AH380">
            <v>3582811000365</v>
          </cell>
          <cell r="AI380" t="str">
            <v>/</v>
          </cell>
          <cell r="AJ380" t="str">
            <v>ETTM003</v>
          </cell>
          <cell r="AK380" t="str">
            <v>ETTM003V5</v>
          </cell>
          <cell r="AL380" t="str">
            <v>ETCTM0036V5</v>
          </cell>
          <cell r="AM380" t="str">
            <v>Création maison</v>
          </cell>
        </row>
        <row r="381">
          <cell r="A381" t="str">
            <v>TO3601</v>
          </cell>
          <cell r="B381"/>
          <cell r="C381" t="str">
            <v>X</v>
          </cell>
          <cell r="D381"/>
          <cell r="E381"/>
          <cell r="F381"/>
          <cell r="G381"/>
          <cell r="H381" t="str">
            <v>LES GRANDS CLASSIQUES</v>
          </cell>
          <cell r="I381"/>
          <cell r="J381" t="str">
            <v>Les quatre portes célestes</v>
          </cell>
          <cell r="K381" t="str">
            <v>FTGBOP1</v>
          </cell>
          <cell r="L381" t="str">
            <v>Thé wulong d'origine</v>
          </cell>
          <cell r="M381" t="str">
            <v>Inde - Assam</v>
          </cell>
          <cell r="N381" t="str">
            <v>AB</v>
          </cell>
          <cell r="O381" t="str">
            <v>WFTO</v>
          </cell>
          <cell r="P381" t="str">
            <v>/</v>
          </cell>
          <cell r="Q381" t="str">
            <v>/</v>
          </cell>
          <cell r="R381" t="str">
            <v>/</v>
          </cell>
          <cell r="S381" t="str">
            <v>/</v>
          </cell>
          <cell r="T381" t="str">
            <v>Agriculture Inde</v>
          </cell>
          <cell r="U381"/>
          <cell r="V381" t="str">
            <v>Ce thé semi-oxydé à la liqueur souple et onctueuse offre une déclinaison de saveurs à la fois maltées, boisées et fruitées. On y découvre des notes gourmandes de vanille et de chocolat au lait et exotiques de bois de santal qui mènent à une finale minérale et pyrogénée de toute beauté. Un wulong assamais qui ne peut laisser indifférent !</v>
          </cell>
          <cell r="W381" t="str">
            <v>S15</v>
          </cell>
          <cell r="X381" t="str">
            <v xml:space="preserve">Ce charmant thé wulong indien à la liqueur souple et onctueuse délivre une belle palette de notes maltées, boisées et fruitées. Sa dégustation offre des saveurs gourmandes et exotiques de vanille, de chocolat au lait, de bois de santal et se conclut sur belle finale minérale et pyrogénée. </v>
          </cell>
          <cell r="Y381"/>
          <cell r="Z381" t="str">
            <v>Ingrédient : thé wulong*. *Issu de l'agriculture biologique.</v>
          </cell>
          <cell r="AA381" t="str">
            <v>/</v>
          </cell>
          <cell r="AB381" t="str">
            <v>Membre certifié World Fair Trade Organization, Les Jardins de Gaïa s’engagent pour un commerce plus juste et répondent aux exigences du commerce équitable. Pour en savoir plus : www.wfto.com.</v>
          </cell>
          <cell r="AC381">
            <v>1.5</v>
          </cell>
          <cell r="AD381" t="str">
            <v>3</v>
          </cell>
          <cell r="AE381">
            <v>95</v>
          </cell>
          <cell r="AF381">
            <v>2</v>
          </cell>
          <cell r="AG381">
            <v>750</v>
          </cell>
          <cell r="AH381">
            <v>3582810736012</v>
          </cell>
          <cell r="AI381" t="str">
            <v>/</v>
          </cell>
          <cell r="AJ381" t="str">
            <v>INTERNE</v>
          </cell>
          <cell r="AK381" t="str">
            <v>INTERNE</v>
          </cell>
          <cell r="AL381" t="str">
            <v>/</v>
          </cell>
          <cell r="AM381" t="str">
            <v>Chardwar Tea Estate</v>
          </cell>
        </row>
        <row r="382">
          <cell r="A382" t="str">
            <v>TO3602</v>
          </cell>
          <cell r="B382"/>
          <cell r="C382" t="str">
            <v>X</v>
          </cell>
          <cell r="D382" t="str">
            <v>X</v>
          </cell>
          <cell r="E382" t="str">
            <v>X</v>
          </cell>
          <cell r="F382" t="str">
            <v>BRODART</v>
          </cell>
          <cell r="G382"/>
          <cell r="H382" t="str">
            <v>LES GRANDS CLASSIQUES</v>
          </cell>
          <cell r="I382"/>
          <cell r="J382" t="str">
            <v>Les quatre portes célestes</v>
          </cell>
          <cell r="K382" t="str">
            <v>FTGBOP1</v>
          </cell>
          <cell r="L382" t="str">
            <v>Thé wulong d'origine</v>
          </cell>
          <cell r="M382" t="str">
            <v>Inde - Assam</v>
          </cell>
          <cell r="N382" t="str">
            <v>AB</v>
          </cell>
          <cell r="O382" t="str">
            <v>WFTO</v>
          </cell>
          <cell r="P382" t="str">
            <v>/</v>
          </cell>
          <cell r="Q382" t="str">
            <v>/</v>
          </cell>
          <cell r="R382" t="str">
            <v>/</v>
          </cell>
          <cell r="S382" t="str">
            <v>/</v>
          </cell>
          <cell r="T382" t="str">
            <v>Agriculture Inde</v>
          </cell>
          <cell r="U382"/>
          <cell r="V382" t="str">
            <v>Ce thé semi-oxydé à la liqueur souple et onctueuse offre une déclinaison de saveurs à la fois maltées, boisées et fruitées. On y découvre des notes gourmandes de vanille et de chocolat au lait et exotiques de bois de santal qui mènent à une finale minérale et pyrogénée de toute beauté. Un wulong assamais qui ne peut laisser indifférent !</v>
          </cell>
          <cell r="W382" t="str">
            <v>S15</v>
          </cell>
          <cell r="X382" t="str">
            <v xml:space="preserve">Ce charmant thé wulong indien à la liqueur souple et onctueuse délivre une belle palette de notes maltées, boisées et fruitées. Sa dégustation offre des saveurs gourmandes et exotiques de vanille, de chocolat au lait, de bois de santal et se conclut sur belle finale minérale et pyrogénée. </v>
          </cell>
          <cell r="Y382"/>
          <cell r="Z382" t="str">
            <v>Ingrédient : thé wulong*. *Issu de l'agriculture biologique.</v>
          </cell>
          <cell r="AA382" t="str">
            <v>/</v>
          </cell>
          <cell r="AB382" t="str">
            <v>Membre certifié World Fair Trade Organization, Les Jardins de Gaïa s’engagent pour un commerce plus juste et répondent aux exigences du commerce équitable. Pour en savoir plus : www.wfto.com.</v>
          </cell>
          <cell r="AC382">
            <v>80</v>
          </cell>
          <cell r="AD382" t="str">
            <v>3</v>
          </cell>
          <cell r="AE382">
            <v>95</v>
          </cell>
          <cell r="AF382">
            <v>2</v>
          </cell>
          <cell r="AG382">
            <v>40</v>
          </cell>
          <cell r="AH382">
            <v>3582810736029</v>
          </cell>
          <cell r="AI382" t="str">
            <v>/</v>
          </cell>
          <cell r="AJ382" t="str">
            <v>ETON360</v>
          </cell>
          <cell r="AK382" t="str">
            <v>ETON360V5</v>
          </cell>
          <cell r="AL382" t="str">
            <v>ETCON3602V5</v>
          </cell>
          <cell r="AM382" t="str">
            <v>Chardwar Tea Estate</v>
          </cell>
        </row>
        <row r="383">
          <cell r="A383" t="str">
            <v>TA6901</v>
          </cell>
          <cell r="B383"/>
          <cell r="C383"/>
          <cell r="D383"/>
          <cell r="E383"/>
          <cell r="F383"/>
          <cell r="G383"/>
          <cell r="H383" t="str">
            <v>LES BIENFAITRICES</v>
          </cell>
          <cell r="I383"/>
          <cell r="J383" t="str">
            <v>Lézar'thé</v>
          </cell>
          <cell r="K383" t="str">
            <v>Mélange tonique
Thé vert - Maté</v>
          </cell>
          <cell r="L383" t="str">
            <v>Thé vert aromatisé</v>
          </cell>
          <cell r="M383" t="str">
            <v>Inde - Chine</v>
          </cell>
          <cell r="N383" t="str">
            <v>AB</v>
          </cell>
          <cell r="O383" t="str">
            <v>/</v>
          </cell>
          <cell r="P383" t="str">
            <v>/</v>
          </cell>
          <cell r="Q383" t="str">
            <v>/</v>
          </cell>
          <cell r="R383" t="str">
            <v>/</v>
          </cell>
          <cell r="S383" t="str">
            <v>/</v>
          </cell>
          <cell r="T383" t="str">
            <v>Agriculture UE/non UE</v>
          </cell>
          <cell r="U383"/>
          <cell r="V383" t="str">
            <v>Lézarder le jour et faire la fête jusqu’au bout de la nuit ! À l’image de cet animal, symbole de croissance et d’énergie dans de nombreuses cultures ancestrales, ce mariage de thés verts japonais associé au mélange tonique maté- guarana-gingembre est agréablement fruité et citronné. Pour un coup de boost aussi discret qu’efficace, à déguster chaud ou froid !</v>
          </cell>
          <cell r="W383"/>
          <cell r="X383" t="str">
            <v>Ce mariage de thés verts japonais associé au trio tonique « maté-guarana-gingembre » séduit par ses saveurs fruitées et citronnées et son agréable effet tonique ! À l’image du lézard qui recharge ses batteries au soleil, faites le plein d’énergie à tout moment de la journée !</v>
          </cell>
          <cell r="Y383"/>
          <cell r="Z383" t="str">
            <v>Ingrédients : thé vert* 65%, maté* 11%, lemongrass*, guarana*, gingembre*, verveine*, morceaux de pêche*, arôme naturel de pêche*. *Issu de l'agriculture biologique.</v>
          </cell>
          <cell r="AA383"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383" t="str">
            <v>/</v>
          </cell>
          <cell r="AC383">
            <v>1.5</v>
          </cell>
          <cell r="AD383" t="str">
            <v>3</v>
          </cell>
          <cell r="AE383">
            <v>75</v>
          </cell>
          <cell r="AF383">
            <v>2</v>
          </cell>
          <cell r="AG383">
            <v>750</v>
          </cell>
          <cell r="AH383">
            <v>3582810869017</v>
          </cell>
          <cell r="AI383" t="str">
            <v>/</v>
          </cell>
          <cell r="AJ383" t="str">
            <v>INTERNE</v>
          </cell>
          <cell r="AK383" t="str">
            <v>INTERNE</v>
          </cell>
          <cell r="AL383" t="str">
            <v>/</v>
          </cell>
          <cell r="AM383" t="str">
            <v>Création maison</v>
          </cell>
        </row>
        <row r="384">
          <cell r="A384" t="str">
            <v>TA6902</v>
          </cell>
          <cell r="B384"/>
          <cell r="C384" t="str">
            <v>X</v>
          </cell>
          <cell r="D384" t="str">
            <v>x</v>
          </cell>
          <cell r="E384" t="str">
            <v>x</v>
          </cell>
          <cell r="F384" t="str">
            <v>GRAI</v>
          </cell>
          <cell r="G384">
            <v>45383</v>
          </cell>
          <cell r="H384" t="str">
            <v>LES BIENFAITRICES</v>
          </cell>
          <cell r="I384"/>
          <cell r="J384" t="str">
            <v>Lézar'thé</v>
          </cell>
          <cell r="K384" t="str">
            <v>Mélange tonique
Thé vert - Maté</v>
          </cell>
          <cell r="L384" t="str">
            <v>Thé vert aromatisé</v>
          </cell>
          <cell r="M384" t="str">
            <v>Chine - Japon</v>
          </cell>
          <cell r="N384" t="str">
            <v>AB</v>
          </cell>
          <cell r="O384" t="str">
            <v>/</v>
          </cell>
          <cell r="P384" t="str">
            <v>/</v>
          </cell>
          <cell r="Q384" t="str">
            <v>/</v>
          </cell>
          <cell r="R384" t="str">
            <v>/</v>
          </cell>
          <cell r="S384" t="str">
            <v>/</v>
          </cell>
          <cell r="T384" t="str">
            <v>Agriculture UE/non UE</v>
          </cell>
          <cell r="U384"/>
          <cell r="V384" t="str">
            <v>Lézarder le jour et faire la fête jusqu’au bout de la nuit ! À l’image de cet animal, symbole de croissance et d’énergie dans de nombreuses cultures ancestrales, ce mariage de thés verts japonais associé au mélange tonique maté- guarana-gingembre est agréablement fruité et citronné. Pour un coup de boost aussi discret qu’efficace, à déguster chaud ou froid !</v>
          </cell>
          <cell r="W384"/>
          <cell r="X384" t="str">
            <v>Ce mariage de thés verts japonais associé au trio tonique « maté-guarana-gingembre » séduit par ses saveurs fruitées et citronnées et son agréable effet tonique ! À l’image du lézard qui recharge ses batteries au soleil, faites le plein d’énergie à tout moment de la journée !</v>
          </cell>
          <cell r="Y384"/>
          <cell r="Z384" t="str">
            <v>Ingrédients : thé vert* 65%, maté* 11%, lemongrass*, guarana*, gingembre*, verveine*, morceaux de pêche*, arôme naturel de pêche*. *Issu de l'agriculture biologique.</v>
          </cell>
          <cell r="AA384"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384" t="str">
            <v>/</v>
          </cell>
          <cell r="AC384">
            <v>100</v>
          </cell>
          <cell r="AD384" t="str">
            <v>3</v>
          </cell>
          <cell r="AE384">
            <v>75</v>
          </cell>
          <cell r="AF384">
            <v>2</v>
          </cell>
          <cell r="AG384">
            <v>50</v>
          </cell>
          <cell r="AH384">
            <v>3582810869024</v>
          </cell>
          <cell r="AI384" t="str">
            <v>/</v>
          </cell>
          <cell r="AJ384" t="str">
            <v>ETVA690V5</v>
          </cell>
          <cell r="AK384" t="str">
            <v>ETVA690V5</v>
          </cell>
          <cell r="AL384" t="str">
            <v>ETCVA6902V5</v>
          </cell>
          <cell r="AM384" t="str">
            <v>Guzhang Gaofeng Organic Tea Association + Kagoshima Tea Family</v>
          </cell>
        </row>
        <row r="385">
          <cell r="A385" t="str">
            <v>TN4081</v>
          </cell>
          <cell r="B385"/>
          <cell r="C385" t="str">
            <v>X</v>
          </cell>
          <cell r="D385"/>
          <cell r="E385"/>
          <cell r="F385"/>
          <cell r="G385"/>
          <cell r="H385" t="str">
            <v>LES GRANDS CLASSIQUES</v>
          </cell>
          <cell r="I385"/>
          <cell r="J385" t="str">
            <v xml:space="preserve">Lien Son </v>
          </cell>
          <cell r="K385" t="str">
            <v>FOP</v>
          </cell>
          <cell r="L385" t="str">
            <v>Thé noir d'origine</v>
          </cell>
          <cell r="M385" t="str">
            <v>Vietnam - Yen Bai</v>
          </cell>
          <cell r="N385" t="str">
            <v>AB</v>
          </cell>
          <cell r="O385" t="str">
            <v>WFTO</v>
          </cell>
          <cell r="P385" t="str">
            <v>/</v>
          </cell>
          <cell r="Q385" t="str">
            <v>WT</v>
          </cell>
          <cell r="R385" t="str">
            <v>/</v>
          </cell>
          <cell r="S385" t="str">
            <v>/</v>
          </cell>
          <cell r="T385" t="str">
            <v>Agriculture Vietnam</v>
          </cell>
          <cell r="U385"/>
          <cell r="V385" t="str">
            <v>Originaire d'une forêt ancienne du Vietnam, ce thé est récolté et transformé par les Dao, minorité ethnique. Ses feuilles sombres et torsadées libèrent une liqueur cognac douce et maltée au parfum mêlé de châtaignes grillées et de fleurs. Charnu et riche, ce thé supporte une pointe de lait.</v>
          </cell>
          <cell r="W385" t="str">
            <v>S15</v>
          </cell>
          <cell r="X385" t="str">
            <v>Originaire du Vietnam, ce thé noir issu de théiers anciens est le fruit du travail des membres de la minorité ethnique locale « Dao ». Ses feuilles sombres et torsadées offrent une tasse douce et maltée aux jolies notes de châtaignes grillées et de fleurs. Un régal le matin avec un nuage lait…</v>
          </cell>
          <cell r="Y385"/>
          <cell r="Z385" t="str">
            <v>Ingrédient : thé noir*. *Issu de l'agriculture biologique.</v>
          </cell>
          <cell r="AA385" t="str">
            <v>/</v>
          </cell>
          <cell r="AB385" t="str">
            <v>Membre certifié World Fair Trade Organization, Les Jardins de Gaïa s’engagent pour un commerce plus juste et répondent aux exigences du commerce équitable. Pour en savoir plus : www.wfto.com.</v>
          </cell>
          <cell r="AC385">
            <v>1.5</v>
          </cell>
          <cell r="AD385" t="str">
            <v>3-4</v>
          </cell>
          <cell r="AE385">
            <v>95</v>
          </cell>
          <cell r="AF385">
            <v>2</v>
          </cell>
          <cell r="AG385">
            <v>750</v>
          </cell>
          <cell r="AH385">
            <v>3582810240816</v>
          </cell>
          <cell r="AI385" t="str">
            <v>/</v>
          </cell>
          <cell r="AJ385" t="str">
            <v>INTERNE</v>
          </cell>
          <cell r="AK385" t="str">
            <v>INTERNE</v>
          </cell>
          <cell r="AL385" t="str">
            <v>/</v>
          </cell>
          <cell r="AM385" t="str">
            <v>Van Chan Bio Farmers Club</v>
          </cell>
        </row>
        <row r="386">
          <cell r="A386" t="str">
            <v>TN4082</v>
          </cell>
          <cell r="B386"/>
          <cell r="C386" t="str">
            <v>X</v>
          </cell>
          <cell r="D386" t="str">
            <v>X</v>
          </cell>
          <cell r="E386" t="str">
            <v>X</v>
          </cell>
          <cell r="F386" t="str">
            <v>BRODART</v>
          </cell>
          <cell r="G386"/>
          <cell r="H386" t="str">
            <v>LES GRANDS CLASSIQUES</v>
          </cell>
          <cell r="I386"/>
          <cell r="J386" t="str">
            <v xml:space="preserve">Lien Son </v>
          </cell>
          <cell r="K386" t="str">
            <v>FOP</v>
          </cell>
          <cell r="L386" t="str">
            <v>Thé noir d'origine</v>
          </cell>
          <cell r="M386" t="str">
            <v>Vietnam - Yen Bai</v>
          </cell>
          <cell r="N386" t="str">
            <v>AB</v>
          </cell>
          <cell r="O386" t="str">
            <v>WFTO</v>
          </cell>
          <cell r="P386" t="str">
            <v>/</v>
          </cell>
          <cell r="Q386" t="str">
            <v>WT</v>
          </cell>
          <cell r="R386" t="str">
            <v>/</v>
          </cell>
          <cell r="S386" t="str">
            <v>/</v>
          </cell>
          <cell r="T386" t="str">
            <v>Agriculture Vietnam</v>
          </cell>
          <cell r="U386"/>
          <cell r="V386" t="str">
            <v>Originaire d'une forêt ancienne du Vietnam, ce thé est récolté et transformé par les Dao, minorité ethnique. Ses feuilles sombres et torsadées libèrent une liqueur cognac douce et maltée au parfum mêlé de châtaignes grillées et de fleurs. Charnu et riche, ce thé supporte une pointe de lait.</v>
          </cell>
          <cell r="W386" t="str">
            <v>S15</v>
          </cell>
          <cell r="X386" t="str">
            <v>Originaire du Vietnam, ce thé noir issu de théiers anciens est le fruit du travail des membres de la minorité ethnique locale « Dao ». Ses feuilles sombres et torsadées offrent une tasse douce et maltée aux jolies notes de châtaignes grillées et de fleurs. Un régal le matin avec un nuage lait…</v>
          </cell>
          <cell r="Y386"/>
          <cell r="Z386" t="str">
            <v>Ingrédient : thé noir*. *Issu de l'agriculture biologique.</v>
          </cell>
          <cell r="AA386" t="str">
            <v>/</v>
          </cell>
          <cell r="AB386" t="str">
            <v>Membre certifié World Fair Trade Organization, Les Jardins de Gaïa s’engagent pour un commerce plus juste et répondent aux exigences du commerce équitable. Pour en savoir plus : www.wfto.com.</v>
          </cell>
          <cell r="AC386">
            <v>100</v>
          </cell>
          <cell r="AD386" t="str">
            <v>3-4</v>
          </cell>
          <cell r="AE386">
            <v>95</v>
          </cell>
          <cell r="AF386">
            <v>2</v>
          </cell>
          <cell r="AG386">
            <v>50</v>
          </cell>
          <cell r="AH386">
            <v>3582810240823</v>
          </cell>
          <cell r="AI386" t="str">
            <v>/</v>
          </cell>
          <cell r="AJ386" t="str">
            <v>ETNN408</v>
          </cell>
          <cell r="AK386" t="str">
            <v>ETNN408V5</v>
          </cell>
          <cell r="AL386" t="str">
            <v>ETCNN4082V5</v>
          </cell>
          <cell r="AM386" t="str">
            <v>Van Chan Bio Farmers Club</v>
          </cell>
        </row>
        <row r="387">
          <cell r="A387" t="str">
            <v>TM7371</v>
          </cell>
          <cell r="B387"/>
          <cell r="C387"/>
          <cell r="D387"/>
          <cell r="E387"/>
          <cell r="F387"/>
          <cell r="G387"/>
          <cell r="H387" t="str">
            <v>LES ENGAGÉS</v>
          </cell>
          <cell r="I387" t="str">
            <v>AGIR POUR LA CULTURE</v>
          </cell>
          <cell r="J387" t="str">
            <v>Light my fire</v>
          </cell>
          <cell r="K387" t="str">
            <v>honeybush, fève tonka, piment</v>
          </cell>
          <cell r="L387" t="str">
            <v>Thé noir parfumé</v>
          </cell>
          <cell r="M387" t="str">
            <v>Inde - Kerala</v>
          </cell>
          <cell r="N387" t="str">
            <v>AB</v>
          </cell>
          <cell r="O387" t="str">
            <v>WFTO</v>
          </cell>
          <cell r="P387" t="str">
            <v>/</v>
          </cell>
          <cell r="Q387" t="str">
            <v>/</v>
          </cell>
          <cell r="R387" t="str">
            <v>/</v>
          </cell>
          <cell r="S387" t="str">
            <v>/</v>
          </cell>
          <cell r="T387" t="str">
            <v>Agriculture UE/non UE</v>
          </cell>
          <cell r="U387"/>
          <cell r="V387" t="str">
            <v xml:space="preserve">Mettons "le feu à la nuit" comme le suggère la chanson…  Telle une étincelle, cette recette à base de thé noir délicieusement épicée est une invitation à réveiller toutes les ardeurs qui sommeillent. Laissez-vous porter par ses saveurs gourmandes aux notes miellées, épicées et citronnées qui ouvrent les portes sur des plaisirs insoupçonnés… </v>
          </cell>
          <cell r="W387" t="str">
            <v>S24</v>
          </cell>
          <cell r="X387" t="str">
            <v xml:space="preserve">Telle une irrésistible étincelle, cette recette à base de thé noir délicieusement épicée est une invitation à réveiller toutes les ardeurs qui sommeillent. Laissez-vous porter par ses saveurs gourmandes aux notes miellées, épicées et citronnées qui ouvrent les portes de plaisirs insoupçonnés… </v>
          </cell>
          <cell r="Y387" t="str">
            <v>Be Together Académie, établissement d'enseignement artistique inclusif défend l'inclusion artistique et facilite l’intégration professionnelle des artistes en situation de handicap. be-together.eu</v>
          </cell>
          <cell r="Z387" t="str">
            <v>Ingrédients : thé noir*, honeybush* 16%, gingembre*, fève tonka* 7%, curcuma*, écorces de mandarine*, piment* 4%, baies roses*, pétales de coquelicot*. *Issu de l’agriculture biologique.</v>
          </cell>
          <cell r="AA387" t="str">
            <v>/</v>
          </cell>
          <cell r="AB387" t="str">
            <v>Membre certifié World Fair Trade Organization, Les Jardins de Gaïa s’engagent pour un commerce plus juste et répondent aux exigences du commerce équitable. Pour en savoir plus : www.wfto.com.</v>
          </cell>
          <cell r="AC387">
            <v>1.5</v>
          </cell>
          <cell r="AD387" t="str">
            <v>4</v>
          </cell>
          <cell r="AE387">
            <v>95</v>
          </cell>
          <cell r="AF387">
            <v>2</v>
          </cell>
          <cell r="AG387">
            <v>750</v>
          </cell>
          <cell r="AH387">
            <v>3582810273715</v>
          </cell>
          <cell r="AI387" t="str">
            <v>/</v>
          </cell>
          <cell r="AJ387" t="str">
            <v>INTERNE</v>
          </cell>
          <cell r="AK387" t="str">
            <v>INTERNE</v>
          </cell>
          <cell r="AL387" t="str">
            <v>/</v>
          </cell>
          <cell r="AM387" t="str">
            <v>Création maison</v>
          </cell>
        </row>
        <row r="388">
          <cell r="A388" t="str">
            <v>TM7372</v>
          </cell>
          <cell r="B388"/>
          <cell r="C388"/>
          <cell r="D388"/>
          <cell r="E388"/>
          <cell r="F388"/>
          <cell r="G388"/>
          <cell r="H388" t="str">
            <v>LES ENGAGÉS</v>
          </cell>
          <cell r="I388" t="str">
            <v>AGIR POUR LA CULTURE</v>
          </cell>
          <cell r="J388" t="str">
            <v>Light my fire</v>
          </cell>
          <cell r="K388" t="str">
            <v>honeybush, fève tonka, piment</v>
          </cell>
          <cell r="L388" t="str">
            <v>Thé noir parfumé</v>
          </cell>
          <cell r="M388" t="str">
            <v>Inde - Kerala</v>
          </cell>
          <cell r="N388" t="str">
            <v>AB</v>
          </cell>
          <cell r="O388" t="str">
            <v>WFTO</v>
          </cell>
          <cell r="P388" t="str">
            <v>/</v>
          </cell>
          <cell r="Q388" t="str">
            <v>/</v>
          </cell>
          <cell r="R388" t="str">
            <v>/</v>
          </cell>
          <cell r="S388" t="str">
            <v>/</v>
          </cell>
          <cell r="T388" t="str">
            <v>Agriculture UE/non UE</v>
          </cell>
          <cell r="U388"/>
          <cell r="V388" t="str">
            <v xml:space="preserve">Mettons "le feu à la nuit" comme le suggère la chanson…  Telle une étincelle, cette recette à base de thé noir délicieusement épicée est une invitation à réveiller toutes les ardeurs qui sommeillent. Laissez-vous porter par ses saveurs gourmandes aux notes miellées, épicées et citronnées qui ouvrent les portes sur des plaisirs insoupçonnés… </v>
          </cell>
          <cell r="W388" t="str">
            <v>S24</v>
          </cell>
          <cell r="X388" t="str">
            <v xml:space="preserve">Telle une irrésistible étincelle, cette recette à base de thé noir délicieusement épicée est une invitation à réveiller toutes les ardeurs qui sommeillent. Laissez-vous porter par ses saveurs gourmandes aux notes miellées, épicées et citronnées qui ouvrent les portes de plaisirs insoupçonnés… </v>
          </cell>
          <cell r="Y388" t="str">
            <v>Be Together Académie, établissement d'enseignement artistique inclusif défend l'inclusion artistique et facilite l’intégration professionnelle des artistes en situation de handicap. be-together.eu</v>
          </cell>
          <cell r="Z388" t="str">
            <v>Ingrédients : thé noir*, honeybush* 16%, gingembre*, fève tonka* 7%, curcuma*, écorces de mandarine*, piment* 4%, baies roses*, pétales de coquelicot*. *Issu de l’agriculture biologique.</v>
          </cell>
          <cell r="AA388" t="str">
            <v>/</v>
          </cell>
          <cell r="AB388" t="str">
            <v>Membre certifié World Fair Trade Organization, Les Jardins de Gaïa s’engagent pour un commerce plus juste et répondent aux exigences du commerce équitable. Pour en savoir plus : www.wfto.com.</v>
          </cell>
          <cell r="AC388">
            <v>100</v>
          </cell>
          <cell r="AD388" t="str">
            <v>4</v>
          </cell>
          <cell r="AE388">
            <v>95</v>
          </cell>
          <cell r="AF388">
            <v>2</v>
          </cell>
          <cell r="AG388">
            <v>50</v>
          </cell>
          <cell r="AH388">
            <v>3582810273722</v>
          </cell>
          <cell r="AI388" t="str">
            <v>/</v>
          </cell>
          <cell r="AJ388" t="str">
            <v>ETNM737</v>
          </cell>
          <cell r="AK388" t="str">
            <v>ETNM737V5</v>
          </cell>
          <cell r="AL388" t="str">
            <v>ETCNM7372V5</v>
          </cell>
          <cell r="AM388" t="str">
            <v>Création maison</v>
          </cell>
        </row>
        <row r="389">
          <cell r="A389" t="str">
            <v>TA7461</v>
          </cell>
          <cell r="B389"/>
          <cell r="C389"/>
          <cell r="D389"/>
          <cell r="E389"/>
          <cell r="F389"/>
          <cell r="G389"/>
          <cell r="H389" t="str">
            <v>THE TRANSPORTE A LA VOILE</v>
          </cell>
          <cell r="I389"/>
          <cell r="J389" t="str">
            <v>L'Odyssée</v>
          </cell>
          <cell r="K389" t="str">
            <v>saveur caramel - banane - sarrasin</v>
          </cell>
          <cell r="L389" t="str">
            <v>thé noir aromatisé</v>
          </cell>
          <cell r="M389" t="str">
            <v>Vietnam</v>
          </cell>
          <cell r="N389" t="str">
            <v>AB</v>
          </cell>
          <cell r="O389" t="str">
            <v>WFTO</v>
          </cell>
          <cell r="P389" t="str">
            <v>/</v>
          </cell>
          <cell r="Q389" t="str">
            <v>/</v>
          </cell>
          <cell r="R389" t="str">
            <v>/</v>
          </cell>
          <cell r="S389" t="str">
            <v>/</v>
          </cell>
          <cell r="T389" t="str">
            <v>Agriculture UE/non UE</v>
          </cell>
          <cell r="U389" t="str">
            <v>Anemos</v>
          </cell>
          <cell r="V389" t="str">
            <v>/</v>
          </cell>
          <cell r="W389"/>
          <cell r="X389" t="str">
            <v xml:space="preserve">Au terme de son Odyssée, ce thé noir qui a traversé l’océan s’est paré d’un voile de gourmandise pour mieux nous charmer. Les notes caramélisées du sarrasin grillé harmonieusement mêlées aux saveurs boisées du thé servent de fond aromatique à d’irrésistibles saveurs de bananes compotées. </v>
          </cell>
          <cell r="Y389"/>
          <cell r="Z389" t="str">
            <v>Ingrédients : thé noir*, sarrasin torréfié* 17%, arômes naturels de (banane* 6%, caramel* 3%, vanille*), feuilles de fraisier*, morceaux de banane* 1%. *Issu de l’agriculture biologique.</v>
          </cell>
          <cell r="AA389"/>
          <cell r="AB389" t="str">
            <v>Membre certifié World Fair Trade Organization, Les Jardins de Gaïa s’engagent pour un commerce plus juste et répondent aux exigences du commerce équitable. Pour en savoir plus : www.wfto.com.</v>
          </cell>
          <cell r="AC389">
            <v>1.5</v>
          </cell>
          <cell r="AD389" t="str">
            <v>3-4</v>
          </cell>
          <cell r="AE389">
            <v>95</v>
          </cell>
          <cell r="AF389">
            <v>2</v>
          </cell>
          <cell r="AG389">
            <v>750</v>
          </cell>
          <cell r="AH389">
            <v>3582810274613</v>
          </cell>
          <cell r="AI389"/>
          <cell r="AJ389"/>
          <cell r="AK389"/>
          <cell r="AL389"/>
          <cell r="AM389" t="str">
            <v xml:space="preserve">Ecolink </v>
          </cell>
        </row>
        <row r="390">
          <cell r="A390" t="str">
            <v>TA7462</v>
          </cell>
          <cell r="B390"/>
          <cell r="C390"/>
          <cell r="D390"/>
          <cell r="E390"/>
          <cell r="F390"/>
          <cell r="G390"/>
          <cell r="H390" t="str">
            <v>THE TRANSPORTE A LA VOILE</v>
          </cell>
          <cell r="I390"/>
          <cell r="J390" t="str">
            <v>L'Odyssée</v>
          </cell>
          <cell r="K390" t="str">
            <v>saveur caramel - banane - sarrasin</v>
          </cell>
          <cell r="L390" t="str">
            <v>thé noir aromatisé</v>
          </cell>
          <cell r="M390" t="str">
            <v>Vietnam</v>
          </cell>
          <cell r="N390" t="str">
            <v>AB</v>
          </cell>
          <cell r="O390" t="str">
            <v>WFTO</v>
          </cell>
          <cell r="P390" t="str">
            <v>/</v>
          </cell>
          <cell r="Q390" t="str">
            <v>/</v>
          </cell>
          <cell r="R390" t="str">
            <v>/</v>
          </cell>
          <cell r="S390" t="str">
            <v>/</v>
          </cell>
          <cell r="T390" t="str">
            <v>Agriculture UE/non UE</v>
          </cell>
          <cell r="U390" t="str">
            <v>Anemos</v>
          </cell>
          <cell r="V390" t="str">
            <v>/</v>
          </cell>
          <cell r="W390"/>
          <cell r="X390" t="str">
            <v xml:space="preserve">Au terme de son Odyssée, ce thé noir qui a traversé l’océan s’est paré d’un voile de gourmandise pour mieux nous charmer. Les notes caramélisées du sarrasin grillé harmonieusement mêlées aux saveurs boisées du thé servent de fond aromatique à d’irrésistibles saveurs de bananes compotées. </v>
          </cell>
          <cell r="Y390"/>
          <cell r="Z390" t="str">
            <v>Ingrédients : thé noir*, sarrasin torréfié* 17%, arômes naturels de (banane* 6%, caramel* 3%, vanille*), feuilles de fraisier*, morceaux de banane* 1%. *Issu de l’agriculture biologique.</v>
          </cell>
          <cell r="AA390"/>
          <cell r="AB390" t="str">
            <v>Membre certifié World Fair Trade Organization, Les Jardins de Gaïa s’engagent pour un commerce plus juste et répondent aux exigences du commerce équitable. Pour en savoir plus : www.wfto.com.</v>
          </cell>
          <cell r="AC390">
            <v>80</v>
          </cell>
          <cell r="AD390" t="str">
            <v>3 -4</v>
          </cell>
          <cell r="AE390">
            <v>95</v>
          </cell>
          <cell r="AF390">
            <v>2</v>
          </cell>
          <cell r="AG390">
            <v>40</v>
          </cell>
          <cell r="AH390">
            <v>3582810274620</v>
          </cell>
          <cell r="AI390"/>
          <cell r="AJ390"/>
          <cell r="AK390" t="str">
            <v>ETNA746V5</v>
          </cell>
          <cell r="AL390" t="str">
            <v>ETCNA7462V5</v>
          </cell>
          <cell r="AM390" t="str">
            <v xml:space="preserve">Ecolink </v>
          </cell>
        </row>
        <row r="391">
          <cell r="A391" t="str">
            <v>TV6561</v>
          </cell>
          <cell r="B391"/>
          <cell r="C391"/>
          <cell r="D391"/>
          <cell r="E391"/>
          <cell r="F391"/>
          <cell r="G391"/>
          <cell r="H391" t="str">
            <v>LES GRANDS CLASSIQUES</v>
          </cell>
          <cell r="I391"/>
          <cell r="J391" t="str">
            <v>Long Jing</v>
          </cell>
          <cell r="K391" t="str">
            <v>Puits du dragon</v>
          </cell>
          <cell r="L391" t="str">
            <v>Thé vert d'origine</v>
          </cell>
          <cell r="M391" t="str">
            <v>Chine - Zhejiang</v>
          </cell>
          <cell r="N391" t="str">
            <v>AB</v>
          </cell>
          <cell r="O391" t="str">
            <v>WFTO</v>
          </cell>
          <cell r="P391" t="str">
            <v>/</v>
          </cell>
          <cell r="Q391" t="str">
            <v>/</v>
          </cell>
          <cell r="R391" t="str">
            <v>/</v>
          </cell>
          <cell r="S391" t="str">
            <v>/</v>
          </cell>
          <cell r="T391" t="str">
            <v>Agriculture Chine</v>
          </cell>
          <cell r="U391"/>
          <cell r="V391" t="str">
            <v>Ce cru originel, produit à proximité des rives du célèbre lac de Hangzhou jouit d'une grande réputation. Il se distingue par sa couleur émeraude et ses feuilles lisses et plates "comme la langue d'un moineau". Légèrement grillé, son goût mœlleux qui rappelle la châtaigne, son parfum intense et frais en font un thé merveilleux.</v>
          </cell>
          <cell r="W391"/>
          <cell r="X391" t="str">
            <v>Grand classique des thés verts de Chine, le Long Jing ou « Puit du dragon » se distingue par ses feuilles lisses et plates en forme de langue de moineau. Il offre en bouche une liqueur moelleuse dont le goût rappelle la châtaigne accompagnée de notes torréfiées caractéristiques.</v>
          </cell>
          <cell r="Y391"/>
          <cell r="Z391" t="str">
            <v>Ingrédient : thé vert*. *Issu de l'agriculture biologique.</v>
          </cell>
          <cell r="AA391" t="str">
            <v>/</v>
          </cell>
          <cell r="AB391" t="str">
            <v>Membre certifié World Fair Trade Organization, Les Jardins de Gaïa s’engagent pour un commerce plus juste et répondent aux exigences du commerce équitable. Pour en savoir plus : www.wfto.com.</v>
          </cell>
          <cell r="AC391">
            <v>1.5</v>
          </cell>
          <cell r="AD391" t="str">
            <v>3</v>
          </cell>
          <cell r="AE391">
            <v>75</v>
          </cell>
          <cell r="AF391">
            <v>2</v>
          </cell>
          <cell r="AG391">
            <v>750</v>
          </cell>
          <cell r="AH391">
            <v>3582810365618</v>
          </cell>
          <cell r="AI391" t="str">
            <v>/</v>
          </cell>
          <cell r="AJ391" t="str">
            <v>INTERNE</v>
          </cell>
          <cell r="AK391" t="str">
            <v>INTERNE</v>
          </cell>
          <cell r="AL391" t="str">
            <v>/</v>
          </cell>
          <cell r="AM391" t="str">
            <v>Dazhangshan Organic Tea Farmer Association</v>
          </cell>
        </row>
        <row r="392">
          <cell r="A392" t="str">
            <v>TV6562</v>
          </cell>
          <cell r="B392"/>
          <cell r="C392" t="str">
            <v>X</v>
          </cell>
          <cell r="D392" t="str">
            <v>x</v>
          </cell>
          <cell r="E392" t="str">
            <v>x</v>
          </cell>
          <cell r="F392" t="str">
            <v>GRAI</v>
          </cell>
          <cell r="G392">
            <v>45383</v>
          </cell>
          <cell r="H392" t="str">
            <v>LES GRANDS CLASSIQUES</v>
          </cell>
          <cell r="I392"/>
          <cell r="J392" t="str">
            <v>Long Jing</v>
          </cell>
          <cell r="K392" t="str">
            <v>Puits du dragon</v>
          </cell>
          <cell r="L392" t="str">
            <v>Thé vert d'origine</v>
          </cell>
          <cell r="M392" t="str">
            <v>Chine - Zhejiang</v>
          </cell>
          <cell r="N392" t="str">
            <v>AB</v>
          </cell>
          <cell r="O392" t="str">
            <v>WFTO</v>
          </cell>
          <cell r="P392" t="str">
            <v>/</v>
          </cell>
          <cell r="Q392" t="str">
            <v>/</v>
          </cell>
          <cell r="R392" t="str">
            <v>/</v>
          </cell>
          <cell r="S392" t="str">
            <v>/</v>
          </cell>
          <cell r="T392" t="str">
            <v>Agriculture Chine</v>
          </cell>
          <cell r="U392"/>
          <cell r="V392" t="str">
            <v>Ce cru originel, produit à proximité des rives du célèbre lac de Hangzhou jouit d'une grande réputation. Il se distingue par sa couleur émeraude et ses feuilles lisses et plates "comme la langue d'un moineau". Légèrement grillé, son goût mœlleux qui rappelle la châtaigne, son parfum intense et frais en font un thé merveilleux.</v>
          </cell>
          <cell r="W392"/>
          <cell r="X392" t="str">
            <v>Grand classique des thés verts de Chine, le Long Jing ou « Puit du dragon » se distingue par ses feuilles lisses et plates en forme de langue de moineau. Il offre en bouche une liqueur moelleuse dont le goût rappelle la châtaigne accompagnée de notes torréfiées caractéristiques.</v>
          </cell>
          <cell r="Y392"/>
          <cell r="Z392" t="str">
            <v>Ingrédient : thé vert*. *Issu de l'agriculture biologique.</v>
          </cell>
          <cell r="AA392" t="str">
            <v>/</v>
          </cell>
          <cell r="AB392" t="str">
            <v>Membre certifié World Fair Trade Organization, Les Jardins de Gaïa s’engagent pour un commerce plus juste et répondent aux exigences du commerce équitable. Pour en savoir plus : www.wfto.com.</v>
          </cell>
          <cell r="AC392">
            <v>100</v>
          </cell>
          <cell r="AD392" t="str">
            <v>3</v>
          </cell>
          <cell r="AE392">
            <v>75</v>
          </cell>
          <cell r="AF392">
            <v>2</v>
          </cell>
          <cell r="AG392">
            <v>50</v>
          </cell>
          <cell r="AH392">
            <v>3582810365625</v>
          </cell>
          <cell r="AI392" t="str">
            <v>/</v>
          </cell>
          <cell r="AJ392" t="str">
            <v>ETVN656</v>
          </cell>
          <cell r="AK392" t="str">
            <v>ETVN656V5</v>
          </cell>
          <cell r="AL392" t="str">
            <v>ETCVN6562V5</v>
          </cell>
          <cell r="AM392" t="str">
            <v>Dazhangshan Organic Tea Farmer Association</v>
          </cell>
        </row>
        <row r="393">
          <cell r="A393" t="str">
            <v>TV4585</v>
          </cell>
          <cell r="B393"/>
          <cell r="C393"/>
          <cell r="D393"/>
          <cell r="E393"/>
          <cell r="F393"/>
          <cell r="G393"/>
          <cell r="H393" t="str">
            <v>LES GRAND CRUS</v>
          </cell>
          <cell r="I393"/>
          <cell r="J393" t="str">
            <v>Long Jing Senteur céleste</v>
          </cell>
          <cell r="K393" t="str">
            <v>Puits du dragon 龙井</v>
          </cell>
          <cell r="L393" t="str">
            <v>Thé vert Mingqian</v>
          </cell>
          <cell r="M393" t="str">
            <v>Chine - Hubei</v>
          </cell>
          <cell r="N393" t="str">
            <v>AB</v>
          </cell>
          <cell r="O393" t="str">
            <v>WFTO</v>
          </cell>
          <cell r="P393" t="str">
            <v>/</v>
          </cell>
          <cell r="Q393" t="str">
            <v>/</v>
          </cell>
          <cell r="R393" t="str">
            <v>/</v>
          </cell>
          <cell r="S393" t="str">
            <v>/</v>
          </cell>
          <cell r="T393" t="str">
            <v>Agriculture Chine</v>
          </cell>
          <cell r="U393"/>
          <cell r="V393" t="str">
            <v>Célèbre primeur aux feuilles en forme de langue de moineau. Notes : châtaigne, confiseries, fruits jaunes compotés.</v>
          </cell>
          <cell r="W393" t="str">
            <v>S24</v>
          </cell>
          <cell r="X393" t="str">
            <v>Récolté au printemps, ce thé vert célébré par les poètes fait partie des thés verts de Chine les plus prisés. Son infusion d’une belle densité en bouche imprègne longuement le palais par ses saveurs typiques de châtaigne, de légumes printaniers cuits accompagnées d’une pointe d’amertume.
Texte court : Célèbre primeur aux feuilles en forme de langue de moineau. Notes : châtaigne, légumes printaniers cuits.</v>
          </cell>
          <cell r="Y393"/>
          <cell r="Z393" t="str">
            <v>Ingrédient : thé vert*. *Issu de l'agriculture biologique.</v>
          </cell>
          <cell r="AA393" t="str">
            <v>/</v>
          </cell>
          <cell r="AB393" t="str">
            <v>Membre certifié World Fair Trade Organization, Les Jardins de Gaïa s’engagent pour un commerce plus juste et répondent aux exigences du commerce équitable. Pour en savoir plus : www.wfto.com.</v>
          </cell>
          <cell r="AC393">
            <v>500</v>
          </cell>
          <cell r="AD393" t="str">
            <v>3</v>
          </cell>
          <cell r="AE393">
            <v>75</v>
          </cell>
          <cell r="AF393">
            <v>2</v>
          </cell>
          <cell r="AG393">
            <v>250</v>
          </cell>
          <cell r="AH393">
            <v>3582810345856</v>
          </cell>
          <cell r="AI393" t="str">
            <v>Plusieurs infusions</v>
          </cell>
          <cell r="AJ393" t="str">
            <v>INTERNE</v>
          </cell>
          <cell r="AK393" t="str">
            <v>INTERNE</v>
          </cell>
          <cell r="AL393" t="str">
            <v>/</v>
          </cell>
          <cell r="AM393" t="str">
            <v>Xuan En Yisheng Tea Cooperative</v>
          </cell>
        </row>
        <row r="394">
          <cell r="A394" t="str">
            <v>TV4586</v>
          </cell>
          <cell r="B394"/>
          <cell r="C394"/>
          <cell r="D394"/>
          <cell r="E394"/>
          <cell r="F394"/>
          <cell r="G394"/>
          <cell r="H394" t="str">
            <v>LES GRAND CRUS</v>
          </cell>
          <cell r="I394"/>
          <cell r="J394" t="str">
            <v>Long Jing Senteur céleste</v>
          </cell>
          <cell r="K394" t="str">
            <v>Puits du dragon 龙井</v>
          </cell>
          <cell r="L394" t="str">
            <v>Thé vert Mingqian</v>
          </cell>
          <cell r="M394" t="str">
            <v>Chine - Hubei</v>
          </cell>
          <cell r="N394" t="str">
            <v>AB</v>
          </cell>
          <cell r="O394" t="str">
            <v>WFTO</v>
          </cell>
          <cell r="P394" t="str">
            <v>/</v>
          </cell>
          <cell r="Q394" t="str">
            <v>/</v>
          </cell>
          <cell r="R394" t="str">
            <v>/</v>
          </cell>
          <cell r="S394" t="str">
            <v>/</v>
          </cell>
          <cell r="T394" t="str">
            <v>Agriculture Chine</v>
          </cell>
          <cell r="U394"/>
          <cell r="V394" t="str">
            <v>Célèbre primeur aux feuilles en forme de langue de moineau. Notes : châtaigne, confiseries, fruits jaunes compotés.</v>
          </cell>
          <cell r="W394" t="str">
            <v>S24</v>
          </cell>
          <cell r="X394" t="str">
            <v>Récolté au printemps, ce thé vert célébré par les poètes fait partie des thés verts de Chine les plus prisés. Son infusion d’une belle densité en bouche imprègne longuement le palais par ses saveurs typiques de châtaigne, de légumes printaniers cuits accompagnées d’une pointe d’amertume.
Texte court : Célèbre primeur aux feuilles en forme de langue de moineau. Notes : châtaigne, légumes printaniers cuits.</v>
          </cell>
          <cell r="Y394"/>
          <cell r="Z394" t="str">
            <v>Ingrédient : thé vert*. *Issu de l'agriculture biologique.</v>
          </cell>
          <cell r="AA394" t="str">
            <v>/</v>
          </cell>
          <cell r="AB394" t="str">
            <v>Membre certifié World Fair Trade Organization, Les Jardins de Gaïa s’engagent pour un commerce plus juste et répondent aux exigences du commerce équitable. Pour en savoir plus : www.wfto.com.</v>
          </cell>
          <cell r="AC394">
            <v>50</v>
          </cell>
          <cell r="AD394" t="str">
            <v>3</v>
          </cell>
          <cell r="AE394">
            <v>75</v>
          </cell>
          <cell r="AF394">
            <v>2</v>
          </cell>
          <cell r="AG394">
            <v>25</v>
          </cell>
          <cell r="AH394">
            <v>3582810345863</v>
          </cell>
          <cell r="AI394" t="str">
            <v>Plusieurs infusions</v>
          </cell>
          <cell r="AJ394" t="str">
            <v>ETVN458FF22</v>
          </cell>
          <cell r="AK394" t="str">
            <v>ETVN458FF22V5</v>
          </cell>
          <cell r="AL394" t="str">
            <v>Q de tube</v>
          </cell>
          <cell r="AM394" t="str">
            <v>Xuan En Yisheng Tea Cooperative</v>
          </cell>
        </row>
        <row r="395">
          <cell r="A395" t="str">
            <v>TM0101</v>
          </cell>
          <cell r="B395"/>
          <cell r="C395"/>
          <cell r="D395"/>
          <cell r="E395"/>
          <cell r="F395"/>
          <cell r="G395"/>
          <cell r="H395" t="str">
            <v>LES GRANDS CLASSIQUES</v>
          </cell>
          <cell r="I395"/>
          <cell r="J395" t="str">
            <v>Love supreme</v>
          </cell>
          <cell r="K395" t="str">
            <v>Épices - Fleurs</v>
          </cell>
          <cell r="L395" t="str">
            <v>Thé noir parfumé</v>
          </cell>
          <cell r="M395" t="str">
            <v>Vietnam - Yen Bai</v>
          </cell>
          <cell r="N395" t="str">
            <v>AB</v>
          </cell>
          <cell r="O395" t="str">
            <v>WFTO</v>
          </cell>
          <cell r="P395" t="str">
            <v>/</v>
          </cell>
          <cell r="Q395" t="str">
            <v>/</v>
          </cell>
          <cell r="R395" t="str">
            <v>/</v>
          </cell>
          <cell r="S395" t="str">
            <v>/</v>
          </cell>
          <cell r="T395" t="str">
            <v>Agriculture UE/non UE</v>
          </cell>
          <cell r="U395"/>
          <cell r="V395" t="str">
            <v>Délicate composition au goût velouté et chaud, déclinaison florale et épicée autour d'un thème universel : l'Amour. Thé de grande plénitude, pour donner forme et bien-être à tous les amoureux.</v>
          </cell>
          <cell r="W395"/>
          <cell r="X395" t="str">
            <v>Cette recette de thé noir aux épices joliment agrémentée de fleurs a été créée autour du plus beau des sentiments : l'Amour. Prenez le temps de savourer les accords que distille cette composition originale avec, à la clé, de beaux moments de plénitude.</v>
          </cell>
          <cell r="Y395"/>
          <cell r="Z395" t="str">
            <v>Ingrédients : thé noir*, épices (cannelle*, gingembre*, clous de girofle*, poivre noir*, cardamome*) 17%, pétales de fleurs (rose*, mauve*, bleuet*, souci*) 4%. *Issu de l'agriculture biologique.</v>
          </cell>
          <cell r="AA395" t="str">
            <v>/</v>
          </cell>
          <cell r="AB395" t="str">
            <v>Membre certifié World Fair Trade Organization, Les Jardins de Gaïa s’engagent pour un commerce plus juste et répondent aux exigences du commerce équitable. Pour en savoir plus : www.wfto.com.</v>
          </cell>
          <cell r="AC395">
            <v>1.5</v>
          </cell>
          <cell r="AD395" t="str">
            <v>3-4</v>
          </cell>
          <cell r="AE395">
            <v>90</v>
          </cell>
          <cell r="AF395">
            <v>2</v>
          </cell>
          <cell r="AG395">
            <v>750</v>
          </cell>
          <cell r="AH395">
            <v>3582811201014</v>
          </cell>
          <cell r="AI395" t="str">
            <v>/</v>
          </cell>
          <cell r="AJ395" t="str">
            <v>INTERNE</v>
          </cell>
          <cell r="AK395" t="str">
            <v>INTERNE</v>
          </cell>
          <cell r="AL395" t="str">
            <v>/</v>
          </cell>
          <cell r="AM395" t="str">
            <v>Création maison</v>
          </cell>
        </row>
        <row r="396">
          <cell r="A396" t="str">
            <v>TM0102</v>
          </cell>
          <cell r="B396"/>
          <cell r="C396" t="str">
            <v>X</v>
          </cell>
          <cell r="D396" t="str">
            <v>x</v>
          </cell>
          <cell r="E396" t="str">
            <v>x</v>
          </cell>
          <cell r="F396" t="str">
            <v>GRAI</v>
          </cell>
          <cell r="G396">
            <v>45383</v>
          </cell>
          <cell r="H396" t="str">
            <v>LES GRANDS CLASSIQUES</v>
          </cell>
          <cell r="I396"/>
          <cell r="J396" t="str">
            <v>Love supreme</v>
          </cell>
          <cell r="K396" t="str">
            <v>Épices - Fleurs</v>
          </cell>
          <cell r="L396" t="str">
            <v>Thé noir parfumé</v>
          </cell>
          <cell r="M396" t="str">
            <v>Vietnam</v>
          </cell>
          <cell r="N396" t="str">
            <v>AB</v>
          </cell>
          <cell r="O396" t="str">
            <v>WFTO</v>
          </cell>
          <cell r="P396" t="str">
            <v>/</v>
          </cell>
          <cell r="Q396" t="str">
            <v>/</v>
          </cell>
          <cell r="R396" t="str">
            <v>/</v>
          </cell>
          <cell r="S396" t="str">
            <v>/</v>
          </cell>
          <cell r="T396" t="str">
            <v>Agriculture UE/non UE</v>
          </cell>
          <cell r="U396"/>
          <cell r="V396" t="str">
            <v>Délicate composition au goût velouté et chaud, déclinaison florale et épicée autour d'un thème universel : l'Amour. Thé de grande plénitude, pour donner forme et bien-être à tous les amoureux.</v>
          </cell>
          <cell r="W396"/>
          <cell r="X396" t="str">
            <v>Cette recette de thé noir aux épices joliment agrémentée de fleurs a été créée autour du plus beau des sentiments : l'Amour. Prenez le temps de savourer les accords que distille cette composition originale avec, à la clé, de beaux moments de plénitude.</v>
          </cell>
          <cell r="Y396"/>
          <cell r="Z396" t="str">
            <v>Ingrédients : thé noir*, épices (cannelle*, gingembre*, clous de girofle*, poivre noir*, cardamome*) 17%, pétales de fleurs (rose*, mauve*, bleuet*, souci*) 4%. *Issu de l'agriculture biologique.</v>
          </cell>
          <cell r="AA396" t="str">
            <v>/</v>
          </cell>
          <cell r="AB396" t="str">
            <v>Membre certifié World Fair Trade Organization, Les Jardins de Gaïa s’engagent pour un commerce plus juste et répondent aux exigences du commerce équitable. Pour en savoir plus : www.wfto.com.</v>
          </cell>
          <cell r="AC396">
            <v>100</v>
          </cell>
          <cell r="AD396" t="str">
            <v>3-4</v>
          </cell>
          <cell r="AE396">
            <v>90</v>
          </cell>
          <cell r="AF396">
            <v>2</v>
          </cell>
          <cell r="AG396">
            <v>50</v>
          </cell>
          <cell r="AH396">
            <v>3582810120101</v>
          </cell>
          <cell r="AI396" t="str">
            <v>/</v>
          </cell>
          <cell r="AJ396" t="str">
            <v>ETNM010</v>
          </cell>
          <cell r="AK396" t="str">
            <v>ETNM010V5</v>
          </cell>
          <cell r="AL396" t="str">
            <v>ETCNM0102V5</v>
          </cell>
          <cell r="AM396" t="str">
            <v>Van Chan cooperative</v>
          </cell>
        </row>
        <row r="397">
          <cell r="A397" t="str">
            <v>TV1125</v>
          </cell>
          <cell r="B397"/>
          <cell r="C397"/>
          <cell r="D397"/>
          <cell r="E397"/>
          <cell r="F397"/>
          <cell r="G397"/>
          <cell r="H397" t="str">
            <v>LES GRAND CRUS</v>
          </cell>
          <cell r="I397"/>
          <cell r="J397" t="str">
            <v>Lü Zhen Green Needle Special</v>
          </cell>
          <cell r="K397" t="str">
            <v>Aiguilles vertes 绿针</v>
          </cell>
          <cell r="L397" t="str">
            <v>Thé vert Mingqian</v>
          </cell>
          <cell r="M397" t="str">
            <v>Chine - Hubei</v>
          </cell>
          <cell r="N397" t="str">
            <v>AB</v>
          </cell>
          <cell r="O397" t="str">
            <v>WFTO</v>
          </cell>
          <cell r="P397" t="str">
            <v>/</v>
          </cell>
          <cell r="Q397" t="str">
            <v>/</v>
          </cell>
          <cell r="R397" t="str">
            <v>/</v>
          </cell>
          <cell r="S397" t="str">
            <v>/</v>
          </cell>
          <cell r="T397" t="str">
            <v>Agriculture Chine</v>
          </cell>
          <cell r="U397"/>
          <cell r="V397" t="str">
            <v>Fines "aiguilles vertes" printanières. Notes : bouquet d’herbes sauvages, minérales, beurrées.</v>
          </cell>
          <cell r="W397" t="str">
            <v>x</v>
          </cell>
          <cell r="X397" t="str">
            <v xml:space="preserve">Issu des massifs montagneux du Hubei, ce thé vert, fruit d’une récolte printanière, est composée de bourgeons duveteux finement ourlés en forme d'aiguille. Sa liqueur souple évoque délicieusement des légumes verts de printemps sur un fond de notes minérales et beurrées… </v>
          </cell>
          <cell r="Y397"/>
          <cell r="Z397" t="str">
            <v>Ingrédient : thé vert*. *Issu de l'agriculture biologique.</v>
          </cell>
          <cell r="AA397" t="str">
            <v>/</v>
          </cell>
          <cell r="AB397" t="str">
            <v>Membre certifié World Fair Trade Organization, Les Jardins de Gaïa s’engagent pour un commerce plus juste et répondent aux exigences du commerce équitable. Pour en savoir plus : www.wfto.com.</v>
          </cell>
          <cell r="AC397">
            <v>500</v>
          </cell>
          <cell r="AD397" t="str">
            <v>3-4</v>
          </cell>
          <cell r="AE397">
            <v>75</v>
          </cell>
          <cell r="AF397">
            <v>2</v>
          </cell>
          <cell r="AG397">
            <v>250</v>
          </cell>
          <cell r="AH397">
            <v>3582810311257</v>
          </cell>
          <cell r="AI397" t="str">
            <v>Plusieurs infusions</v>
          </cell>
          <cell r="AJ397" t="str">
            <v>INTERNE</v>
          </cell>
          <cell r="AK397" t="str">
            <v>INTERNE</v>
          </cell>
          <cell r="AL397" t="str">
            <v>/</v>
          </cell>
          <cell r="AM397" t="str">
            <v>Xuan En Yisheng Tea Cooperative</v>
          </cell>
        </row>
        <row r="398">
          <cell r="A398" t="str">
            <v>TV1126</v>
          </cell>
          <cell r="B398"/>
          <cell r="C398"/>
          <cell r="D398"/>
          <cell r="E398"/>
          <cell r="F398"/>
          <cell r="G398"/>
          <cell r="H398" t="str">
            <v>LES GRAND CRUS</v>
          </cell>
          <cell r="I398"/>
          <cell r="J398" t="str">
            <v>Lü Zhen Green Needle Special</v>
          </cell>
          <cell r="K398" t="str">
            <v>Aiguilles vertes 绿针</v>
          </cell>
          <cell r="L398" t="str">
            <v>Thé vert Mingqian</v>
          </cell>
          <cell r="M398" t="str">
            <v>Chine - Hubei</v>
          </cell>
          <cell r="N398" t="str">
            <v>AB</v>
          </cell>
          <cell r="O398" t="str">
            <v>WFTO</v>
          </cell>
          <cell r="P398" t="str">
            <v>/</v>
          </cell>
          <cell r="Q398" t="str">
            <v>/</v>
          </cell>
          <cell r="R398" t="str">
            <v>/</v>
          </cell>
          <cell r="S398" t="str">
            <v>/</v>
          </cell>
          <cell r="T398" t="str">
            <v>Agriculture Chine</v>
          </cell>
          <cell r="U398"/>
          <cell r="V398" t="str">
            <v>Fines "aiguilles vertes" printanières. Notes : bouquet d’herbes sauvages, minérales, beurrées.</v>
          </cell>
          <cell r="W398" t="str">
            <v>x</v>
          </cell>
          <cell r="X398" t="str">
            <v xml:space="preserve">Issu des massifs montagneux du Hubei, ce thé vert, fruit d’une récolte printanière, est composée de bourgeons duveteux finement ourlés en forme d'aiguille. Sa liqueur souple évoque délicieusement des légumes verts de printemps sur un fond de notes minérales et beurrées… </v>
          </cell>
          <cell r="Y398"/>
          <cell r="Z398" t="str">
            <v>Ingrédient : thé vert*. *Issu de l'agriculture biologique.</v>
          </cell>
          <cell r="AA398" t="str">
            <v>/</v>
          </cell>
          <cell r="AB398" t="str">
            <v>Membre certifié World Fair Trade Organization, Les Jardins de Gaïa s’engagent pour un commerce plus juste et répondent aux exigences du commerce équitable. Pour en savoir plus : www.wfto.com.</v>
          </cell>
          <cell r="AC398">
            <v>50</v>
          </cell>
          <cell r="AD398" t="str">
            <v>3-4</v>
          </cell>
          <cell r="AE398">
            <v>75</v>
          </cell>
          <cell r="AF398">
            <v>2</v>
          </cell>
          <cell r="AG398">
            <v>25</v>
          </cell>
          <cell r="AH398">
            <v>3582810311264</v>
          </cell>
          <cell r="AI398" t="str">
            <v>Plusieurs infusions</v>
          </cell>
          <cell r="AJ398" t="str">
            <v>ETVN112FF22</v>
          </cell>
          <cell r="AK398" t="str">
            <v>ETVN112FF22V5</v>
          </cell>
          <cell r="AL398" t="str">
            <v>Q de tube</v>
          </cell>
          <cell r="AM398" t="str">
            <v>Xuan En Yisheng Tea Cooperative</v>
          </cell>
        </row>
        <row r="399">
          <cell r="A399" t="str">
            <v>TR2091</v>
          </cell>
          <cell r="B399"/>
          <cell r="C399"/>
          <cell r="D399"/>
          <cell r="E399"/>
          <cell r="F399"/>
          <cell r="G399"/>
          <cell r="H399" t="str">
            <v>LES GRANDS CLASSIQUES</v>
          </cell>
          <cell r="I399"/>
          <cell r="J399" t="str">
            <v>Lumière d'étoiles</v>
          </cell>
          <cell r="K399" t="str">
            <v>Orange - Épices</v>
          </cell>
          <cell r="L399" t="str">
            <v>Rooibos aromatisé</v>
          </cell>
          <cell r="M399" t="str">
            <v>Afrique du Sud - Cap Occidental</v>
          </cell>
          <cell r="N399" t="str">
            <v>AB</v>
          </cell>
          <cell r="O399" t="str">
            <v>WFTO</v>
          </cell>
          <cell r="P399" t="str">
            <v>/</v>
          </cell>
          <cell r="Q399" t="str">
            <v>/</v>
          </cell>
          <cell r="R399" t="str">
            <v>/</v>
          </cell>
          <cell r="S399" t="str">
            <v>/</v>
          </cell>
          <cell r="T399" t="str">
            <v>Agriculture UE/non UE</v>
          </cell>
          <cell r="U399"/>
          <cell r="V399" t="str">
            <v>Mariage harmonieux unissant le goût rond et ensoleillé du rooibos de nos partenaires sud-africains aux effluves précieuses d’épices et de fruits d’une douce veillée. Symphonie des sens à savourer avec Amour.</v>
          </cell>
          <cell r="W399"/>
          <cell r="X399" t="str">
            <v>Visez les étoiles avec ce mariage lumineux né de l’union des saveurs ensoleillées du rooibos et des notes gourmandes d’une constellation de fruits et d’épices. Une composition chaleureuse et réconfortante qui évoque le sentiment de plaisir d’avoir les pieds sur terre et la tête dans les étoiles.</v>
          </cell>
          <cell r="Y399"/>
          <cell r="Z399" t="str">
            <v>Ingrédients : rooibos*, fruits (écorces d'orange* 3%, pomme*, églantine*), huile essentielle d'orange douce* 2%, épices (cannelle*, gingembre*, clous de girofle*) 2%, arômes naturels de (pomme*, amande*, fraise*), hibiscus*, amandes effilées*, extrait de cannelle*. *Issu de l'agriculture biologique.
2025 : 
Ingrédients : rooibos*, épices (cannelle*, gingembre*, poivre*, clous de girofle*) 14,5%, fruits (écorces d'orange* 2,5%, pomme*, églantine*), huile essentielle d'orange douce* 2%, arômes naturels de (pomme*, amande*, fraise*), hibiscus*, amandes effilées*, extrait de cannelle* 0,5%. *Issu de l'agriculture biologique.</v>
          </cell>
          <cell r="AA399" t="str">
            <v>/</v>
          </cell>
          <cell r="AB399" t="str">
            <v>Membre certifié World Fair Trade Organization, Les Jardins de Gaïa s’engagent pour un commerce plus juste et répondent aux exigences du commerce équitable. Pour en savoir plus : www.wfto.com.</v>
          </cell>
          <cell r="AC399">
            <v>1.5</v>
          </cell>
          <cell r="AD399" t="str">
            <v>5-10</v>
          </cell>
          <cell r="AE399">
            <v>95</v>
          </cell>
          <cell r="AF399">
            <v>2</v>
          </cell>
          <cell r="AG399">
            <v>750</v>
          </cell>
          <cell r="AH399">
            <v>3582810920916</v>
          </cell>
          <cell r="AI399" t="str">
            <v>/</v>
          </cell>
          <cell r="AJ399" t="str">
            <v>INTERNE</v>
          </cell>
          <cell r="AK399" t="str">
            <v>INTERNE</v>
          </cell>
          <cell r="AL399" t="str">
            <v>/</v>
          </cell>
          <cell r="AM399" t="str">
            <v>Création maison</v>
          </cell>
        </row>
        <row r="400">
          <cell r="A400" t="str">
            <v>TR2092</v>
          </cell>
          <cell r="B400"/>
          <cell r="C400" t="str">
            <v>X</v>
          </cell>
          <cell r="D400" t="str">
            <v>X</v>
          </cell>
          <cell r="E400" t="str">
            <v>X</v>
          </cell>
          <cell r="F400" t="str">
            <v>GRAI</v>
          </cell>
          <cell r="G400">
            <v>45383</v>
          </cell>
          <cell r="H400" t="str">
            <v>LES GRANDS CLASSIQUES</v>
          </cell>
          <cell r="I400"/>
          <cell r="J400" t="str">
            <v>Lumière d'étoiles</v>
          </cell>
          <cell r="K400" t="str">
            <v>Orange - Épices</v>
          </cell>
          <cell r="L400" t="str">
            <v>Rooibos aromatisé</v>
          </cell>
          <cell r="M400" t="str">
            <v>Afrique du Sud - Cap Occidental</v>
          </cell>
          <cell r="N400" t="str">
            <v>AB</v>
          </cell>
          <cell r="O400" t="str">
            <v>WFTO</v>
          </cell>
          <cell r="P400" t="str">
            <v>/</v>
          </cell>
          <cell r="Q400" t="str">
            <v>/</v>
          </cell>
          <cell r="R400" t="str">
            <v>/</v>
          </cell>
          <cell r="S400" t="str">
            <v>/</v>
          </cell>
          <cell r="T400" t="str">
            <v>Agriculture UE/non UE</v>
          </cell>
          <cell r="U400"/>
          <cell r="V400" t="str">
            <v>Mariage harmonieux unissant le goût rond et ensoleillé du rooibos de nos partenaires sud-africains aux effluves précieuses d’épices et de fruits d’une douce veillée. Symphonie des sens à savourer avec Amour.</v>
          </cell>
          <cell r="W400"/>
          <cell r="X400" t="str">
            <v>Visez les étoiles avec ce mariage lumineux né de l’union des saveurs ensoleillées du rooibos et des notes gourmandes d’une constellation de fruits et d’épices. Une composition chaleureuse et réconfortante qui évoque le sentiment de plaisir d’avoir les pieds sur terre et la tête dans les étoiles.</v>
          </cell>
          <cell r="Y400"/>
          <cell r="Z400" t="str">
            <v>Ingrédients : rooibos*, fruits (écorces d'orange* 3%, pomme*, églantine*), huile essentielle d'orange douce* 2%, épices (cannelle*, gingembre*, clous de girofle*) 2%, arômes naturels de (pomme*, amande*, fraise*), hibiscus*, amandes effilées*, extrait de cannelle*. *Issu de l'agriculture biologique.
2025 : 
Ingrédients : rooibos*, épices (cannelle*, gingembre*, poivre*, clous de girofle*) 14,5%, fruits (écorces d'orange* 2,5%, pomme*, églantine*), huile essentielle d'orange douce* 2%, arômes naturels de (pomme*, amande*, fraise*), hibiscus*, amandes effilées*, extrait de cannelle* 0,5%. *Issu de l'agriculture biologique.</v>
          </cell>
          <cell r="AA400" t="str">
            <v>/</v>
          </cell>
          <cell r="AB400" t="str">
            <v>Membre certifié World Fair Trade Organization, Les Jardins de Gaïa s’engagent pour un commerce plus juste et répondent aux exigences du commerce équitable. Pour en savoir plus : www.wfto.com.</v>
          </cell>
          <cell r="AC400">
            <v>100</v>
          </cell>
          <cell r="AD400" t="str">
            <v>5-10</v>
          </cell>
          <cell r="AE400">
            <v>95</v>
          </cell>
          <cell r="AF400">
            <v>2</v>
          </cell>
          <cell r="AG400">
            <v>50</v>
          </cell>
          <cell r="AH400">
            <v>3582810920923</v>
          </cell>
          <cell r="AI400" t="str">
            <v>/</v>
          </cell>
          <cell r="AJ400" t="str">
            <v>ETRA209V5</v>
          </cell>
          <cell r="AK400" t="str">
            <v>ETRA209V5</v>
          </cell>
          <cell r="AL400" t="str">
            <v>ETCRA2092V5</v>
          </cell>
          <cell r="AM400" t="str">
            <v>Wupperthal Original Rooibos Cooperative et Heiveld Cooperative</v>
          </cell>
        </row>
        <row r="401">
          <cell r="A401" t="str">
            <v>TR2092</v>
          </cell>
          <cell r="B401"/>
          <cell r="C401"/>
          <cell r="D401"/>
          <cell r="E401"/>
          <cell r="F401" t="str">
            <v>GRAI</v>
          </cell>
          <cell r="G401">
            <v>45383</v>
          </cell>
          <cell r="H401" t="str">
            <v>LES GRANDS CLASSIQUES</v>
          </cell>
          <cell r="I401"/>
          <cell r="J401" t="str">
            <v>Lumière d'étoiles</v>
          </cell>
          <cell r="K401" t="str">
            <v>Orange - Épices</v>
          </cell>
          <cell r="L401" t="str">
            <v>Rooibos aromatisé</v>
          </cell>
          <cell r="M401" t="str">
            <v>Afrique du Sud - Cap Occidental</v>
          </cell>
          <cell r="N401" t="str">
            <v>AB</v>
          </cell>
          <cell r="O401" t="str">
            <v>WFTO</v>
          </cell>
          <cell r="P401" t="str">
            <v>/</v>
          </cell>
          <cell r="Q401" t="str">
            <v>/</v>
          </cell>
          <cell r="R401" t="str">
            <v>/</v>
          </cell>
          <cell r="S401" t="str">
            <v>/</v>
          </cell>
          <cell r="T401" t="str">
            <v>Agriculture UE/non UE</v>
          </cell>
          <cell r="U401"/>
          <cell r="V401" t="str">
            <v>Mariage harmonieux unissant le goût rond et ensoleillé du rooibos de nos partenaires sud-africains aux effluves précieuses d’épices et de fruits d’une douce veillée. Symphonie des sens à savourer avec Amour.</v>
          </cell>
          <cell r="W401"/>
          <cell r="X401" t="str">
            <v>Visez les étoiles avec ce mariage lumineux né de l’union des saveurs ensoleillées du rooibos et des notes gourmandes d’une constellation de fruits et d’épices. Une composition chaleureuse et réconfortante qui évoque le sentiment de plaisir d’avoir les pieds sur terre et la tête dans les étoiles.</v>
          </cell>
          <cell r="Y401"/>
          <cell r="Z401" t="str">
            <v>Ingrédients : rooibos*, fruits (écorces d'orange* 3%, pomme*, églantine*), huile essentielle d'orange douce* 2%, épices (cannelle*, gingembre*, clous de girofle*) 2%, arômes naturels de (pomme*, amande*, fraise*), hibiscus*, amandes effilées*, extrait de cannelle*. *Issu de l'agriculture biologique.
2025 : 
Ingrédients : rooibos*, épices (cannelle*, gingembre*, poivre*, clous de girofle*) 14,5%, fruits (écorces d'orange* 2,5%, pomme*, églantine*), huile essentielle d'orange douce* 2%, arômes naturels de (pomme*, amande*, fraise*), hibiscus*, amandes effilées*, extrait de cannelle* 0,5%. *Issu de l'agriculture biologique.</v>
          </cell>
          <cell r="AA401" t="str">
            <v>/</v>
          </cell>
          <cell r="AB401" t="str">
            <v>Membre certifié World Fair Trade Organization, Les Jardins de Gaïa s’engagent pour un commerce plus juste et répondent aux exigences du commerce équitable. Pour en savoir plus : www.wfto.com.</v>
          </cell>
          <cell r="AC401">
            <v>100</v>
          </cell>
          <cell r="AD401" t="str">
            <v>5-10</v>
          </cell>
          <cell r="AE401">
            <v>95</v>
          </cell>
          <cell r="AF401">
            <v>2</v>
          </cell>
          <cell r="AG401">
            <v>50</v>
          </cell>
          <cell r="AH401">
            <v>3582810920923</v>
          </cell>
          <cell r="AI401" t="str">
            <v>/</v>
          </cell>
          <cell r="AJ401" t="str">
            <v>ETRA209V5N</v>
          </cell>
          <cell r="AK401" t="str">
            <v>ETRA209V5N</v>
          </cell>
          <cell r="AL401" t="str">
            <v>ETCRA2092V5N</v>
          </cell>
          <cell r="AM401" t="str">
            <v>Wupperthal Original Rooibos Cooperative et Heiveld Cooperative</v>
          </cell>
        </row>
        <row r="402">
          <cell r="A402" t="str">
            <v>TSTR2092V5</v>
          </cell>
          <cell r="B402"/>
          <cell r="C402"/>
          <cell r="D402"/>
          <cell r="E402"/>
          <cell r="F402"/>
          <cell r="G402"/>
          <cell r="H402" t="str">
            <v>LES GRANDS CLASSIQUES</v>
          </cell>
          <cell r="I402"/>
          <cell r="J402" t="str">
            <v>Lumière d'étoiles</v>
          </cell>
          <cell r="K402" t="str">
            <v>Orange - Épices</v>
          </cell>
          <cell r="L402" t="str">
            <v>Rooibos aromatisé</v>
          </cell>
          <cell r="M402" t="str">
            <v>Afrique du Sud - Cap Occidental</v>
          </cell>
          <cell r="N402" t="str">
            <v>AB</v>
          </cell>
          <cell r="O402" t="str">
            <v>WFTO</v>
          </cell>
          <cell r="P402" t="str">
            <v>/</v>
          </cell>
          <cell r="Q402" t="str">
            <v>/</v>
          </cell>
          <cell r="R402" t="str">
            <v>/</v>
          </cell>
          <cell r="S402" t="str">
            <v>/</v>
          </cell>
          <cell r="T402" t="str">
            <v>Agriculture UE/non UE</v>
          </cell>
          <cell r="U402"/>
          <cell r="V402" t="str">
            <v>Mariage harmonieux unissant le goût rond et ensoleillé du rooibos de nos partenaires sud-africains aux effluves précieuses d’épices et de fruits d’une douce veillée. Symphonie des sens à savourer avec Amour.</v>
          </cell>
          <cell r="W402"/>
          <cell r="X402" t="str">
            <v>Visez les étoiles avec ce mariage lumineux né de l’union des saveurs ensoleillées du rooibos et des notes gourmandes d’une constellation de fruits et d’épices. Une composition chaleureuse et réconfortante qui évoque le sentiment de plaisir d’avoir les pieds sur terre et la tête dans les étoiles.</v>
          </cell>
          <cell r="Y402"/>
          <cell r="Z402" t="str">
            <v>Ingrédients : rooibos*, fruits (écorces d'orange* 3%, pomme*, églantine*), huile essentielle d'orange douce* 2%, épices (cannelle*, gingembre*, clous de girofle*) 2%, arômes naturels de (pomme*, amande*, fraise*), hibiscus*, amandes effilées*, extrait de cannelle*. *Issu de l'agriculture biologique.
2025 : 
Ingrédients : rooibos*, épices (cannelle*, gingembre*, poivre*, clous de girofle*) 14,5%, fruits (écorces d'orange* 2,5%, pomme*, églantine*), huile essentielle d'orange douce* 2%, arômes naturels de (pomme*, amande*, fraise*), hibiscus*, amandes effilées*, extrait de cannelle* 0,5%. *Issu de l'agriculture biologique.</v>
          </cell>
          <cell r="AA402" t="str">
            <v>/</v>
          </cell>
          <cell r="AB402" t="str">
            <v>Membre certifié World Fair Trade Organization, Les Jardins de Gaïa s’engagent pour un commerce plus juste et répondent aux exigences du commerce équitable. Pour en savoir plus : www.wfto.com.</v>
          </cell>
          <cell r="AC402">
            <v>100</v>
          </cell>
          <cell r="AD402" t="str">
            <v>5-10</v>
          </cell>
          <cell r="AE402">
            <v>95</v>
          </cell>
          <cell r="AF402">
            <v>2</v>
          </cell>
          <cell r="AG402">
            <v>50</v>
          </cell>
          <cell r="AH402">
            <v>3582815520920</v>
          </cell>
          <cell r="AI402" t="str">
            <v>/</v>
          </cell>
          <cell r="AJ402" t="str">
            <v>ETTSTR2092</v>
          </cell>
          <cell r="AK402" t="str">
            <v>ETTSTR2092V5</v>
          </cell>
          <cell r="AL402" t="str">
            <v>Q de tube</v>
          </cell>
          <cell r="AM402" t="str">
            <v>Création maison</v>
          </cell>
        </row>
        <row r="403">
          <cell r="A403" t="str">
            <v>TA6911</v>
          </cell>
          <cell r="B403"/>
          <cell r="C403"/>
          <cell r="D403"/>
          <cell r="E403"/>
          <cell r="F403" t="str">
            <v>GRAI</v>
          </cell>
          <cell r="G403">
            <v>45383</v>
          </cell>
          <cell r="H403" t="str">
            <v>LES GRANDS CLASSIQUES</v>
          </cell>
          <cell r="I403"/>
          <cell r="J403" t="str">
            <v>Lumière d'Orient</v>
          </cell>
          <cell r="K403" t="str">
            <v>Huiles essentielles d'agrumes - Cannelle</v>
          </cell>
          <cell r="L403" t="str">
            <v>Thé vert aromatisé</v>
          </cell>
          <cell r="M403" t="str">
            <v>Inde - Chine</v>
          </cell>
          <cell r="N403" t="str">
            <v>AB</v>
          </cell>
          <cell r="O403" t="str">
            <v>WFTO</v>
          </cell>
          <cell r="P403" t="str">
            <v>/</v>
          </cell>
          <cell r="Q403" t="str">
            <v>/</v>
          </cell>
          <cell r="R403" t="str">
            <v>/</v>
          </cell>
          <cell r="S403" t="str">
            <v>/</v>
          </cell>
          <cell r="T403" t="str">
            <v>Agriculture UE/non UE</v>
          </cell>
          <cell r="U403"/>
          <cell r="V403" t="str">
            <v>Légère et digeste, cette harmonieuse association de thé vert, de petits morceaux de fruits et de subtiles essences accompagnera divinement vos soirées d'hiver.</v>
          </cell>
          <cell r="W403"/>
          <cell r="X403" t="str">
            <v xml:space="preserve">Ornée d’écorces d’orange et de fleurs de tournesol, cette recette à base de thé vert distille de lumineuses et chaleureuses notes de mandarine et de cannelle. Évoquant agréablement la magie de la Lumière d’Orient, elle accompagnera divinement vos soirées d'hiver. </v>
          </cell>
          <cell r="Y403"/>
          <cell r="Z403" t="str">
            <v>Ingrédients : thé vert*, écorces d’orange*, huiles essentielles d'agrumes (orange douce*, citron*, mandarine*) 1%, morceaux de cannelle* 1%, extrait de cannelle* 0,5%, pétales de tournesol*.*Issu de l’agriculture biologique.</v>
          </cell>
          <cell r="AA403" t="str">
            <v>/</v>
          </cell>
          <cell r="AB403" t="str">
            <v>Membre certifié World Fair Trade Organization, Les Jardins de Gaïa s’engagent pour un commerce plus juste et répondent aux exigences du commerce équitable. Pour en savoir plus : www.wfto.com.</v>
          </cell>
          <cell r="AC403">
            <v>1.5</v>
          </cell>
          <cell r="AD403" t="str">
            <v>3</v>
          </cell>
          <cell r="AE403">
            <v>75</v>
          </cell>
          <cell r="AF403">
            <v>2</v>
          </cell>
          <cell r="AG403">
            <v>750</v>
          </cell>
          <cell r="AH403">
            <v>3582810869116</v>
          </cell>
          <cell r="AI403" t="str">
            <v>/</v>
          </cell>
          <cell r="AJ403" t="str">
            <v>INTERNE</v>
          </cell>
          <cell r="AK403" t="str">
            <v>INTERNE</v>
          </cell>
          <cell r="AL403" t="str">
            <v>/</v>
          </cell>
          <cell r="AM403" t="str">
            <v>Création maison</v>
          </cell>
        </row>
        <row r="404">
          <cell r="A404" t="str">
            <v>TA6912</v>
          </cell>
          <cell r="B404"/>
          <cell r="C404" t="str">
            <v>X</v>
          </cell>
          <cell r="D404" t="str">
            <v>x</v>
          </cell>
          <cell r="E404" t="str">
            <v>X</v>
          </cell>
          <cell r="F404" t="str">
            <v>GRAI</v>
          </cell>
          <cell r="G404">
            <v>45383</v>
          </cell>
          <cell r="H404" t="str">
            <v>LES GRANDS CLASSIQUES</v>
          </cell>
          <cell r="I404"/>
          <cell r="J404" t="str">
            <v>Lumière d'Orient</v>
          </cell>
          <cell r="K404" t="str">
            <v>Huiles essentielles d'agrumes - Cannelle</v>
          </cell>
          <cell r="L404" t="str">
            <v>Thé vert aromatisé</v>
          </cell>
          <cell r="M404" t="str">
            <v>Inde - Chine</v>
          </cell>
          <cell r="N404" t="str">
            <v>AB</v>
          </cell>
          <cell r="O404" t="str">
            <v>WFTO</v>
          </cell>
          <cell r="P404" t="str">
            <v>/</v>
          </cell>
          <cell r="Q404" t="str">
            <v>/</v>
          </cell>
          <cell r="R404" t="str">
            <v>/</v>
          </cell>
          <cell r="S404" t="str">
            <v>/</v>
          </cell>
          <cell r="T404" t="str">
            <v>Agriculture UE/non UE</v>
          </cell>
          <cell r="U404"/>
          <cell r="V404" t="str">
            <v>Légère et digeste, cette harmonieuse association de thé vert, de petits morceaux de fruits et de subtiles essences accompagnera divinement vos soirées d'hiver.</v>
          </cell>
          <cell r="W404"/>
          <cell r="X404" t="str">
            <v xml:space="preserve">Ornée d’écorces d’orange et de fleurs de tournesol, cette recette à base de thé vert distille de lumineuses et chaleureuses notes de mandarine et de cannelle. Évoquant agréablement la magie de la Lumière d’Orient, elle accompagnera divinement vos soirées d'hiver. </v>
          </cell>
          <cell r="Y404"/>
          <cell r="Z404" t="str">
            <v>Ingrédients : thé vert*, écorces d’orange*, huiles essentielles d'agrumes (orange douce*, citron*, mandarine*) 1%, morceaux de cannelle* 1%, extrait de cannelle* 0,5%, pétales de tournesol*.*Issu de l’agriculture biologique.</v>
          </cell>
          <cell r="AA404" t="str">
            <v>/</v>
          </cell>
          <cell r="AB404" t="str">
            <v>Membre certifié World Fair Trade Organization, Les Jardins de Gaïa s’engagent pour un commerce plus juste et répondent aux exigences du commerce équitable. Pour en savoir plus : www.wfto.com.</v>
          </cell>
          <cell r="AC404">
            <v>100</v>
          </cell>
          <cell r="AD404" t="str">
            <v>3</v>
          </cell>
          <cell r="AE404">
            <v>75</v>
          </cell>
          <cell r="AF404">
            <v>2</v>
          </cell>
          <cell r="AG404">
            <v>50</v>
          </cell>
          <cell r="AH404">
            <v>3582810869123</v>
          </cell>
          <cell r="AI404" t="str">
            <v>/</v>
          </cell>
          <cell r="AJ404" t="str">
            <v>ETVA691V5</v>
          </cell>
          <cell r="AK404" t="str">
            <v>ETVA691V5</v>
          </cell>
          <cell r="AL404" t="str">
            <v>ETCVA6912V5</v>
          </cell>
          <cell r="AM404" t="str">
            <v>Création maison</v>
          </cell>
        </row>
        <row r="405">
          <cell r="A405" t="str">
            <v>TA6912</v>
          </cell>
          <cell r="B405"/>
          <cell r="C405"/>
          <cell r="D405"/>
          <cell r="E405"/>
          <cell r="F405" t="str">
            <v>GRAI</v>
          </cell>
          <cell r="G405">
            <v>45383</v>
          </cell>
          <cell r="H405" t="str">
            <v>LES GRANDS CLASSIQUES</v>
          </cell>
          <cell r="I405"/>
          <cell r="J405" t="str">
            <v>Lumière d'Orient</v>
          </cell>
          <cell r="K405" t="str">
            <v>Huiles essentielles d'agrumes - Cannelle</v>
          </cell>
          <cell r="L405" t="str">
            <v>Thé vert aromatisé</v>
          </cell>
          <cell r="M405" t="str">
            <v>Inde - Chine</v>
          </cell>
          <cell r="N405" t="str">
            <v>AB</v>
          </cell>
          <cell r="O405" t="str">
            <v>WFTO</v>
          </cell>
          <cell r="P405" t="str">
            <v>/</v>
          </cell>
          <cell r="Q405" t="str">
            <v>/</v>
          </cell>
          <cell r="R405" t="str">
            <v>/</v>
          </cell>
          <cell r="S405" t="str">
            <v>/</v>
          </cell>
          <cell r="T405" t="str">
            <v>Agriculture UE/non UE</v>
          </cell>
          <cell r="U405"/>
          <cell r="V405" t="str">
            <v>Légère et digeste, cette harmonieuse association de thé vert, de petits morceaux de fruits et de subtiles essences accompagnera divinement vos soirées d'hiver.</v>
          </cell>
          <cell r="W405"/>
          <cell r="X405" t="str">
            <v xml:space="preserve">Ornée d’écorces d’orange et de fleurs de tournesol, cette recette à base de thé vert distille de lumineuses et chaleureuses notes de mandarine et de cannelle. Évoquant agréablement la magie de la Lumière d’Orient, elle accompagnera divinement vos soirées d'hiver. </v>
          </cell>
          <cell r="Y405"/>
          <cell r="Z405" t="str">
            <v>Ingrédients : thé vert*, écorces d’orange*, huiles essentielles d'agrumes (orange douce*, citron*, mandarine*) 1%, morceaux de cannelle* 1%, extrait de cannelle* 0,5%, pétales de tournesol*.*Issu de l’agriculture biologique.</v>
          </cell>
          <cell r="AA405" t="str">
            <v>/</v>
          </cell>
          <cell r="AB405" t="str">
            <v>Membre certifié World Fair Trade Organization, Les Jardins de Gaïa s’engagent pour un commerce plus juste et répondent aux exigences du commerce équitable. Pour en savoir plus : www.wfto.com.</v>
          </cell>
          <cell r="AC405">
            <v>100</v>
          </cell>
          <cell r="AD405" t="str">
            <v>3</v>
          </cell>
          <cell r="AE405">
            <v>75</v>
          </cell>
          <cell r="AF405">
            <v>2</v>
          </cell>
          <cell r="AG405">
            <v>50</v>
          </cell>
          <cell r="AH405">
            <v>3582810869123</v>
          </cell>
          <cell r="AI405" t="str">
            <v>/</v>
          </cell>
          <cell r="AJ405" t="str">
            <v>ETVA691V5N</v>
          </cell>
          <cell r="AK405" t="str">
            <v>ETVA691V5N</v>
          </cell>
          <cell r="AL405" t="str">
            <v>ETCVA6912V5N</v>
          </cell>
          <cell r="AM405" t="str">
            <v>Création maison</v>
          </cell>
        </row>
        <row r="406">
          <cell r="A406" t="str">
            <v>TF1111</v>
          </cell>
          <cell r="B406"/>
          <cell r="C406" t="str">
            <v>X</v>
          </cell>
          <cell r="D406"/>
          <cell r="E406"/>
          <cell r="F406"/>
          <cell r="G406"/>
          <cell r="H406" t="str">
            <v>LES GRANDS CLASSIQUES</v>
          </cell>
          <cell r="I406"/>
          <cell r="J406" t="str">
            <v>Mademoiselle Framboise</v>
          </cell>
          <cell r="K406" t="str">
            <v>Framboise</v>
          </cell>
          <cell r="L406" t="str">
            <v>Infusion de fruits aromatisée</v>
          </cell>
          <cell r="M406" t="str">
            <v>?</v>
          </cell>
          <cell r="N406" t="str">
            <v>AB</v>
          </cell>
          <cell r="O406" t="str">
            <v>/</v>
          </cell>
          <cell r="P406" t="str">
            <v>/</v>
          </cell>
          <cell r="Q406" t="str">
            <v>/</v>
          </cell>
          <cell r="R406" t="str">
            <v>/</v>
          </cell>
          <cell r="S406" t="str">
            <v>/</v>
          </cell>
          <cell r="T406" t="str">
            <v>Agriculture UE/non UE</v>
          </cell>
          <cell r="U406"/>
          <cell r="V406" t="str">
            <v>Quand on lui susurre à l'oreille qu’elle est belle à croquer et qu'elle est la star de cette infusion de fruits d’une jolie couleur rose, Mademoiselle Framboise n'en finit pas de rougir… Impossible de résister à son délicat parfum et son petit côté acidulé qui réveillent délicieusement les papilles…</v>
          </cell>
          <cell r="W406" t="str">
            <v>S15</v>
          </cell>
          <cell r="X406" t="str">
            <v>Quand on lui susurre à l'oreille qu’elle est belle à croquer et qu'elle est la star de cette infusion de fruits d’une jolie couleur rose, Mademoiselle Framboise n'en finit pas de rougir… Impossible de résister à son délicat parfum et son petit côté acidulé qui réveillent délicieusement les papilles…</v>
          </cell>
          <cell r="Y406"/>
          <cell r="Z406" t="str">
            <v>Ingrédients : morceaux de fruits (pomme* 39%, framboise* 4%), arômes naturels de (framboise* 14%, fraise*, cassis*), morceaux de betterave*, écorces d’églantine*, hibiscus*, réglisse* 5%, écorces d’orange* 5%, groseilles* 3%, feuilles de mûrier*, huile essentielle de citron* 1%. *Issu de l’agriculture biologique. Contient de la réglisse, les personnes souffrant d’hypertension doivent éviter toute consommation excessive.</v>
          </cell>
          <cell r="AA406" t="str">
            <v>/</v>
          </cell>
          <cell r="AB406" t="str">
            <v>/</v>
          </cell>
          <cell r="AC406">
            <v>1.5</v>
          </cell>
          <cell r="AD406" t="str">
            <v>5-10</v>
          </cell>
          <cell r="AE406">
            <v>95</v>
          </cell>
          <cell r="AF406">
            <v>2</v>
          </cell>
          <cell r="AG406">
            <v>750</v>
          </cell>
          <cell r="AH406">
            <v>3582810111116</v>
          </cell>
          <cell r="AI406" t="str">
            <v>/</v>
          </cell>
          <cell r="AJ406" t="str">
            <v>INTERNE</v>
          </cell>
          <cell r="AK406" t="str">
            <v>INTERNE</v>
          </cell>
          <cell r="AL406" t="str">
            <v>/</v>
          </cell>
          <cell r="AM406" t="str">
            <v>Création maison</v>
          </cell>
        </row>
        <row r="407">
          <cell r="A407" t="str">
            <v>TF1112</v>
          </cell>
          <cell r="B407"/>
          <cell r="C407" t="str">
            <v>X</v>
          </cell>
          <cell r="D407"/>
          <cell r="E407"/>
          <cell r="F407" t="str">
            <v>BRODART</v>
          </cell>
          <cell r="G407"/>
          <cell r="H407" t="str">
            <v>LES GRANDS CLASSIQUES</v>
          </cell>
          <cell r="I407"/>
          <cell r="J407" t="str">
            <v>Mademoiselle Framboise</v>
          </cell>
          <cell r="K407" t="str">
            <v>Framboise</v>
          </cell>
          <cell r="L407" t="str">
            <v>Infusion de fruits aromatisée</v>
          </cell>
          <cell r="M407" t="str">
            <v>?</v>
          </cell>
          <cell r="N407" t="str">
            <v>AB</v>
          </cell>
          <cell r="O407" t="str">
            <v>/</v>
          </cell>
          <cell r="P407" t="str">
            <v>/</v>
          </cell>
          <cell r="Q407" t="str">
            <v>/</v>
          </cell>
          <cell r="R407" t="str">
            <v>/</v>
          </cell>
          <cell r="S407" t="str">
            <v>/</v>
          </cell>
          <cell r="T407" t="str">
            <v>Agriculture UE/non UE</v>
          </cell>
          <cell r="U407"/>
          <cell r="V407" t="str">
            <v>Quand on lui susurre à l'oreille qu’elle est belle à croquer et qu'elle est la star de cette infusion de fruits d’une jolie couleur rose, Mademoiselle Framboise n'en finit pas de rougir… Impossible de résister à son délicat parfum et son petit côté acidulé qui réveillent délicieusement les papilles…</v>
          </cell>
          <cell r="W407" t="str">
            <v>S15</v>
          </cell>
          <cell r="X407" t="str">
            <v>Quand on lui susurre à l'oreille qu’elle est belle à croquer et qu'elle est la star de cette infusion de fruits d’une jolie couleur rose, Mademoiselle Framboise n'en finit pas de rougir… Impossible de résister à son délicat parfum et son petit côté acidulé qui réveillent délicieusement les papilles…</v>
          </cell>
          <cell r="Y407"/>
          <cell r="Z407" t="str">
            <v>Ingrédients : morceaux de fruits (pomme* 39%, framboise* 4%), arômes naturels de (framboise* 14%, fraise*, cassis*), morceaux de betterave*, écorces d’églantine*, hibiscus*, réglisse* 5%, écorces d’orange* 5%, groseilles* 3%, feuilles de mûrier*, huile essentielle de citron* 1%. *Issu de l’agriculture biologique. Contient de la réglisse, les personnes souffrant d’hypertension doivent éviter toute consommation excessive.</v>
          </cell>
          <cell r="AA407" t="str">
            <v>/</v>
          </cell>
          <cell r="AB407" t="str">
            <v>/</v>
          </cell>
          <cell r="AC407">
            <v>100</v>
          </cell>
          <cell r="AD407" t="str">
            <v>5-10</v>
          </cell>
          <cell r="AE407">
            <v>95</v>
          </cell>
          <cell r="AF407">
            <v>2</v>
          </cell>
          <cell r="AG407">
            <v>50</v>
          </cell>
          <cell r="AH407">
            <v>3582810111123</v>
          </cell>
          <cell r="AI407" t="str">
            <v>/</v>
          </cell>
          <cell r="AJ407" t="str">
            <v>ETFA111V5</v>
          </cell>
          <cell r="AK407" t="str">
            <v>ETFA111V5</v>
          </cell>
          <cell r="AL407" t="str">
            <v>ETCFA1112V5</v>
          </cell>
          <cell r="AM407" t="str">
            <v>Création maison</v>
          </cell>
        </row>
        <row r="408">
          <cell r="A408" t="str">
            <v>TR2041</v>
          </cell>
          <cell r="B408"/>
          <cell r="C408"/>
          <cell r="D408"/>
          <cell r="E408"/>
          <cell r="F408"/>
          <cell r="G408"/>
          <cell r="H408" t="str">
            <v>LES GRANDS CLASSIQUES</v>
          </cell>
          <cell r="I408"/>
          <cell r="J408" t="str">
            <v>Magie des bois</v>
          </cell>
          <cell r="K408" t="str">
            <v>Saveurs myrtille - framboise</v>
          </cell>
          <cell r="L408" t="str">
            <v>Rooibos aromatisé</v>
          </cell>
          <cell r="M408" t="str">
            <v>Afrique du Sud - Cap Occidental</v>
          </cell>
          <cell r="N408" t="str">
            <v>AB</v>
          </cell>
          <cell r="O408" t="str">
            <v>WFTO</v>
          </cell>
          <cell r="P408" t="str">
            <v>/</v>
          </cell>
          <cell r="Q408" t="str">
            <v>/</v>
          </cell>
          <cell r="R408" t="str">
            <v>/</v>
          </cell>
          <cell r="S408" t="str">
            <v>/</v>
          </cell>
          <cell r="T408" t="str">
            <v>Agriculture UE/non UE</v>
          </cell>
          <cell r="U408"/>
          <cell r="V408" t="str">
            <v>D’une saveur fraîche comme la rosée du matin sur les collines boisées, ce rooibos parsemé de pétales de bleuet, est une délicieuse balade gourmande.</v>
          </cell>
          <cell r="W408"/>
          <cell r="X408" t="str">
            <v>Ce rooibos joliment agrémenté de pétales de bleuet, aux saveurs fruitées de myrtille et de framboise évoque toute la magie des bois. Une délicieuse balade gourmande vous attend, à boire en famille, chaude ou glacée !</v>
          </cell>
          <cell r="Y408"/>
          <cell r="Z408" t="str">
            <v>Ingrédients : rooibos*, arômes naturels de (myrtille*, framboise*) 13%, aronia*, pétales de bleuet*. *Issu de l'agriculture biologique.</v>
          </cell>
          <cell r="AA408" t="str">
            <v>/</v>
          </cell>
          <cell r="AB408" t="str">
            <v>Membre certifié World Fair Trade Organization, Les Jardins de Gaïa s’engagent pour un commerce plus juste et répondent aux exigences du commerce équitable. Pour en savoir plus : www.wfto.com.</v>
          </cell>
          <cell r="AC408">
            <v>1.5</v>
          </cell>
          <cell r="AD408" t="str">
            <v>5-10</v>
          </cell>
          <cell r="AE408">
            <v>95</v>
          </cell>
          <cell r="AF408">
            <v>2</v>
          </cell>
          <cell r="AG408">
            <v>750</v>
          </cell>
          <cell r="AH408">
            <v>3582810920411</v>
          </cell>
          <cell r="AI408" t="str">
            <v>/</v>
          </cell>
          <cell r="AJ408" t="str">
            <v>INTERNE</v>
          </cell>
          <cell r="AK408" t="str">
            <v>INTERNE</v>
          </cell>
          <cell r="AL408" t="str">
            <v>/</v>
          </cell>
          <cell r="AM408" t="str">
            <v>Création maison</v>
          </cell>
        </row>
        <row r="409">
          <cell r="A409" t="str">
            <v>TR2042</v>
          </cell>
          <cell r="B409"/>
          <cell r="C409" t="str">
            <v>X</v>
          </cell>
          <cell r="D409" t="str">
            <v>x</v>
          </cell>
          <cell r="E409" t="str">
            <v>x</v>
          </cell>
          <cell r="F409" t="str">
            <v>GRAI</v>
          </cell>
          <cell r="G409">
            <v>45383</v>
          </cell>
          <cell r="H409" t="str">
            <v>LES GRANDS CLASSIQUES</v>
          </cell>
          <cell r="I409"/>
          <cell r="J409" t="str">
            <v>Magie des bois</v>
          </cell>
          <cell r="K409" t="str">
            <v>Saveurs myrtille - framboise</v>
          </cell>
          <cell r="L409" t="str">
            <v>Rooibos aromatisé</v>
          </cell>
          <cell r="M409" t="str">
            <v>Afrique du Sud - Cap Occidental</v>
          </cell>
          <cell r="N409" t="str">
            <v>AB</v>
          </cell>
          <cell r="O409" t="str">
            <v>WFTO</v>
          </cell>
          <cell r="P409" t="str">
            <v>/</v>
          </cell>
          <cell r="Q409" t="str">
            <v>/</v>
          </cell>
          <cell r="R409" t="str">
            <v>/</v>
          </cell>
          <cell r="S409" t="str">
            <v>/</v>
          </cell>
          <cell r="T409" t="str">
            <v>Agriculture UE/non UE</v>
          </cell>
          <cell r="U409"/>
          <cell r="V409" t="str">
            <v>D’une saveur fraîche comme la rosée du matin sur les collines boisées, ce rooibos parsemé de pétales de bleuet, est une délicieuse balade gourmande.</v>
          </cell>
          <cell r="W409"/>
          <cell r="X409" t="str">
            <v>Ce rooibos joliment agrémenté de pétales de bleuet, aux saveurs fruitées de myrtille et de framboise évoque toute la magie des bois. Une délicieuse balade gourmande vous attend, à boire en famille, chaude ou glacée !</v>
          </cell>
          <cell r="Y409"/>
          <cell r="Z409" t="str">
            <v>Ingrédients : rooibos*, arômes naturels de (myrtille*, framboise*) 13%, aronia*, pétales de bleuet*. *Issu de l'agriculture biologique.</v>
          </cell>
          <cell r="AA409" t="str">
            <v>/</v>
          </cell>
          <cell r="AB409" t="str">
            <v>Membre certifié World Fair Trade Organization, Les Jardins de Gaïa s’engagent pour un commerce plus juste et répondent aux exigences du commerce équitable. Pour en savoir plus : www.wfto.com.</v>
          </cell>
          <cell r="AC409">
            <v>100</v>
          </cell>
          <cell r="AD409" t="str">
            <v>5-10</v>
          </cell>
          <cell r="AE409">
            <v>95</v>
          </cell>
          <cell r="AF409">
            <v>2</v>
          </cell>
          <cell r="AG409">
            <v>50</v>
          </cell>
          <cell r="AH409">
            <v>3582810920428</v>
          </cell>
          <cell r="AI409" t="str">
            <v>/</v>
          </cell>
          <cell r="AJ409" t="str">
            <v>ETRA204V5</v>
          </cell>
          <cell r="AK409" t="str">
            <v>ETRA204V5</v>
          </cell>
          <cell r="AL409" t="str">
            <v>ETCRA2042V5</v>
          </cell>
          <cell r="AM409" t="str">
            <v>Wupperthal Original Rooibos Cooperative et Heiveld Cooperative</v>
          </cell>
        </row>
        <row r="410">
          <cell r="A410" t="str">
            <v>TA7371</v>
          </cell>
          <cell r="B410"/>
          <cell r="C410"/>
          <cell r="D410"/>
          <cell r="E410"/>
          <cell r="F410"/>
          <cell r="G410"/>
          <cell r="H410" t="str">
            <v>LES ENGAGÉS</v>
          </cell>
          <cell r="I410" t="str">
            <v>AGIR POUR LA NATURE</v>
          </cell>
          <cell r="J410" t="str">
            <v>Malin comme un chimpanzé</v>
          </cell>
          <cell r="K410" t="str">
            <v>Saveur miel - Figue - Thym</v>
          </cell>
          <cell r="L410" t="str">
            <v>Thé noir aromatisé</v>
          </cell>
          <cell r="M410" t="str">
            <v>Ouganda - Afrique du Sud</v>
          </cell>
          <cell r="N410" t="str">
            <v>AB</v>
          </cell>
          <cell r="O410" t="str">
            <v>/</v>
          </cell>
          <cell r="P410" t="str">
            <v>/</v>
          </cell>
          <cell r="Q410" t="str">
            <v>/</v>
          </cell>
          <cell r="R410" t="str">
            <v>/</v>
          </cell>
          <cell r="S410" t="str">
            <v>/</v>
          </cell>
          <cell r="T410" t="str">
            <v>Agriculture UE/non UE</v>
          </cell>
          <cell r="U410"/>
          <cell r="V410" t="str">
            <v xml:space="preserve">Cette recette dédiée à ces “cousins” aussi malins qu'attachants, avec lesquels nous partageons tant, est une ode à la nature sauvage dont nous avons encore tant à apprendre. Sur la base d’un excellent thé noir ougandais, des saveurs de thym et de miel viennent agréablement surprendre le palais avant de laisser place à de délicieuses notes de figue dont raffolent les chimpanzés, sur un fond boisé qui structure l’ensemble. </v>
          </cell>
          <cell r="W410" t="str">
            <v>S24</v>
          </cell>
          <cell r="X410" t="str">
            <v>Sur la base d’un excellent thé noir ougandais, cette recette de thé noir tout en douceur est dédiée à nos “cousins” aussi malins qu'attachants. Ses saveurs de thym et de miel viennent agréablement surprendre le palais avant de laisser place à de délicieuses notes de figue dont raffolent les chimpanzés…</v>
          </cell>
          <cell r="Y410" t="str">
            <v>L'association Projet pour la Conservation des Grands Singes (PCGS) œuvre à la protection des chimpanzés sauvages et de leurs habitats, les forêts tropicales. helloasso.com/associations/projet-pour-la-conservation-des-grands-singes</v>
          </cell>
          <cell r="Z410" t="str">
            <v xml:space="preserve">Ingrédients : thé noir*, honeybush*, morceaux de figue* (19%), arôme naturel de (figue 5%, miel* 4%), thym* 1%, pétales de souci*. *Issu de l’agriculture biologique. </v>
          </cell>
          <cell r="AA410" t="str">
            <v>/</v>
          </cell>
          <cell r="AB410" t="str">
            <v>/</v>
          </cell>
          <cell r="AC410">
            <v>1.5</v>
          </cell>
          <cell r="AD410" t="str">
            <v>3</v>
          </cell>
          <cell r="AE410">
            <v>90</v>
          </cell>
          <cell r="AF410">
            <v>2</v>
          </cell>
          <cell r="AG410">
            <v>750</v>
          </cell>
          <cell r="AH410">
            <v>3582810473719</v>
          </cell>
          <cell r="AI410" t="str">
            <v>/</v>
          </cell>
          <cell r="AJ410" t="str">
            <v>INTERNE</v>
          </cell>
          <cell r="AK410" t="str">
            <v>INTERNE</v>
          </cell>
          <cell r="AL410" t="str">
            <v>/</v>
          </cell>
          <cell r="AM410" t="str">
            <v>Création maison</v>
          </cell>
        </row>
        <row r="411">
          <cell r="A411" t="str">
            <v>TA7372</v>
          </cell>
          <cell r="B411"/>
          <cell r="C411"/>
          <cell r="D411"/>
          <cell r="E411"/>
          <cell r="F411"/>
          <cell r="G411"/>
          <cell r="H411" t="str">
            <v>LES ENGAGÉS</v>
          </cell>
          <cell r="I411" t="str">
            <v>AGIR POUR LA NATURE</v>
          </cell>
          <cell r="J411" t="str">
            <v>Malin comme un chimpanzé</v>
          </cell>
          <cell r="K411" t="str">
            <v>Saveur miel - Figue - Thym</v>
          </cell>
          <cell r="L411" t="str">
            <v>Thé noir aromatisé</v>
          </cell>
          <cell r="M411" t="str">
            <v>Ouganda - Afrique du Sud</v>
          </cell>
          <cell r="N411" t="str">
            <v>AB</v>
          </cell>
          <cell r="O411" t="str">
            <v>/</v>
          </cell>
          <cell r="P411" t="str">
            <v>/</v>
          </cell>
          <cell r="Q411" t="str">
            <v>/</v>
          </cell>
          <cell r="R411" t="str">
            <v>/</v>
          </cell>
          <cell r="S411" t="str">
            <v>/</v>
          </cell>
          <cell r="T411" t="str">
            <v>Agriculture UE/non UE</v>
          </cell>
          <cell r="U411"/>
          <cell r="V411" t="str">
            <v xml:space="preserve">Cette recette dédiée à ces “cousins” aussi malins qu'attachants, avec lesquels nous partageons tant, est une ode à la nature sauvage dont nous avons encore tant à apprendre. Sur la base d’un excellent thé noir ougandais, des saveurs de thym et de miel viennent agréablement surprendre le palais avant de laisser place à de délicieuses notes de figue dont raffolent les chimpanzés, sur un fond boisé qui structure l’ensemble. </v>
          </cell>
          <cell r="W411" t="str">
            <v>S24</v>
          </cell>
          <cell r="X411" t="str">
            <v>Sur la base d’un excellent thé noir ougandais, cette recette de thé noir tout en douceur est dédiée à nos “cousins” aussi malins qu'attachants. Ses saveurs de thym et de miel viennent agréablement surprendre le palais avant de laisser place à de délicieuses notes de figue dont raffolent les chimpanzés…</v>
          </cell>
          <cell r="Y411" t="str">
            <v>L'association Projet pour la Conservation des Grands Singes (PCGS) œuvre à la protection des chimpanzés sauvages et de leurs habitats, les forêts tropicales. helloasso.com/associations/projet-pour-la-conservation-des-grands-singes</v>
          </cell>
          <cell r="Z411" t="str">
            <v xml:space="preserve">Ingrédients : thé noir*, honeybush*, morceaux de figue* 19%, arôme naturel de (figue 5%, miel* 4%), thym* 1%, pétales de souci*. *Issu de l’agriculture biologique. </v>
          </cell>
          <cell r="AA411" t="str">
            <v>/</v>
          </cell>
          <cell r="AB411" t="str">
            <v>/</v>
          </cell>
          <cell r="AC411">
            <v>100</v>
          </cell>
          <cell r="AD411" t="str">
            <v>3</v>
          </cell>
          <cell r="AE411">
            <v>90</v>
          </cell>
          <cell r="AF411">
            <v>2</v>
          </cell>
          <cell r="AG411">
            <v>50</v>
          </cell>
          <cell r="AH411">
            <v>3582810473726</v>
          </cell>
          <cell r="AI411" t="str">
            <v>/</v>
          </cell>
          <cell r="AJ411" t="str">
            <v>ETNA737</v>
          </cell>
          <cell r="AK411" t="str">
            <v>ETNA737V5</v>
          </cell>
          <cell r="AL411" t="str">
            <v>ETCNA7372V5</v>
          </cell>
          <cell r="AM411" t="str">
            <v>Création maison</v>
          </cell>
        </row>
        <row r="412">
          <cell r="A412" t="str">
            <v>TR2271</v>
          </cell>
          <cell r="B412"/>
          <cell r="C412" t="str">
            <v>X</v>
          </cell>
          <cell r="D412"/>
          <cell r="E412"/>
          <cell r="F412"/>
          <cell r="G412"/>
          <cell r="H412" t="str">
            <v>LES GRANDS CLASSIQUES</v>
          </cell>
          <cell r="I412"/>
          <cell r="J412" t="str">
            <v>Mama Rose</v>
          </cell>
          <cell r="K412" t="str">
            <v>Rose</v>
          </cell>
          <cell r="L412" t="str">
            <v>Rooibos aromatisé</v>
          </cell>
          <cell r="M412" t="str">
            <v>Afrique du Sud - Cap Occidental</v>
          </cell>
          <cell r="N412" t="str">
            <v>AB</v>
          </cell>
          <cell r="O412" t="str">
            <v>WFTO</v>
          </cell>
          <cell r="P412" t="str">
            <v>D</v>
          </cell>
          <cell r="Q412" t="str">
            <v>/</v>
          </cell>
          <cell r="R412" t="str">
            <v>/</v>
          </cell>
          <cell r="S412" t="str">
            <v>/</v>
          </cell>
          <cell r="T412" t="str">
            <v>Agriculture UE/non UE</v>
          </cell>
          <cell r="U412"/>
          <cell r="V412" t="str">
            <v>Clin d'œil au son chaud et plaintif du saxophone d'Archie Shepp qui fait frissonner de plaisir et ouvre les portes de la liberté…  Ce rooibos savoureux et puissant sur lequel vibrent les accords délicats de la rose est dédié à la douceur de vivre sud-africaine. À savourer sans attendre !</v>
          </cell>
          <cell r="W412" t="str">
            <v>S15</v>
          </cell>
          <cell r="X412" t="str">
            <v>Clin d'œil au son chaud et plaintif du saxophone d'Archie Shepp, cette recette savoureuse à base de rooibos a été créé pour vous faire frissonner de plaisir. Les notes délicates de la rose et vanillées de l’emblématique boisson sud-africaine forment des accords gourmands, harmonieux et envoûtants…</v>
          </cell>
          <cell r="Y412"/>
          <cell r="Z412" t="str">
            <v>Ingrédients : rooibos**, extrait de rose* 9%, pétales de rose** 3%. *Issu de l'agriculture biologique. **Issu de l'agriculture biologique et biodynamique. demeter est la marque des produits issus de l'agriculture biodynamique certifiée.</v>
          </cell>
          <cell r="AA412" t="str">
            <v>/</v>
          </cell>
          <cell r="AB412" t="str">
            <v>Membre certifié World Fair Trade Organization, Les Jardins de Gaïa s’engagent pour un commerce plus juste et répondent aux exigences du commerce équitable. Pour en savoir plus : www.wfto.com.</v>
          </cell>
          <cell r="AC412">
            <v>1.5</v>
          </cell>
          <cell r="AD412" t="str">
            <v>5-10</v>
          </cell>
          <cell r="AE412">
            <v>95</v>
          </cell>
          <cell r="AF412">
            <v>2</v>
          </cell>
          <cell r="AG412">
            <v>750</v>
          </cell>
          <cell r="AH412">
            <v>3582810922712</v>
          </cell>
          <cell r="AI412" t="str">
            <v>/</v>
          </cell>
          <cell r="AJ412" t="str">
            <v>INTERNE</v>
          </cell>
          <cell r="AK412" t="str">
            <v>INTERNE</v>
          </cell>
          <cell r="AL412" t="str">
            <v>/</v>
          </cell>
          <cell r="AM412" t="str">
            <v>Création maison</v>
          </cell>
        </row>
        <row r="413">
          <cell r="A413" t="str">
            <v>TR2272</v>
          </cell>
          <cell r="B413"/>
          <cell r="C413" t="str">
            <v>X</v>
          </cell>
          <cell r="D413" t="str">
            <v>X</v>
          </cell>
          <cell r="E413" t="str">
            <v>X</v>
          </cell>
          <cell r="F413" t="str">
            <v>BRODART</v>
          </cell>
          <cell r="G413"/>
          <cell r="H413" t="str">
            <v>LES GRANDS CLASSIQUES</v>
          </cell>
          <cell r="I413"/>
          <cell r="J413" t="str">
            <v>Mama Rose</v>
          </cell>
          <cell r="K413" t="str">
            <v>Rose</v>
          </cell>
          <cell r="L413" t="str">
            <v>Rooibos aromatisé</v>
          </cell>
          <cell r="M413" t="str">
            <v>Afrique du Sud - Cap Occidental</v>
          </cell>
          <cell r="N413" t="str">
            <v>AB</v>
          </cell>
          <cell r="O413" t="str">
            <v>WFTO</v>
          </cell>
          <cell r="P413" t="str">
            <v>D</v>
          </cell>
          <cell r="Q413" t="str">
            <v>/</v>
          </cell>
          <cell r="R413" t="str">
            <v>/</v>
          </cell>
          <cell r="S413" t="str">
            <v>/</v>
          </cell>
          <cell r="T413" t="str">
            <v>Agriculture UE/non UE</v>
          </cell>
          <cell r="U413"/>
          <cell r="V413" t="str">
            <v>Clin d'œil au son chaud et plaintif du saxophone d'Archie Shepp qui fait frissonner de plaisir et ouvre les portes de la liberté…  Ce rooibos savoureux et puissant sur lequel vibrent les accords délicats de la rose est dédié à la douceur de vivre sud-africaine. À savourer sans attendre !</v>
          </cell>
          <cell r="W413" t="str">
            <v>S15</v>
          </cell>
          <cell r="X413" t="str">
            <v>Clin d'œil au son chaud et plaintif du saxophone d'Archie Shepp, cette recette savoureuse à base de rooibos a été créé pour vous faire frissonner de plaisir. Les notes délicates de la rose et vanillées de l’emblématique boisson sud-africaine forment des accords gourmands, harmonieux et envoûtants…</v>
          </cell>
          <cell r="Y413"/>
          <cell r="Z413" t="str">
            <v>Ingrédients : rooibos**, extrait de rose* 9%, pétales de rose** 3%. *Issu de l'agriculture biologique. **Issu de l'agriculture biologique et biodynamique. demeter est la marque des produits issus de l'agriculture biodynamique certifiée.</v>
          </cell>
          <cell r="AA413" t="str">
            <v>/</v>
          </cell>
          <cell r="AB413" t="str">
            <v>Membre certifié World Fair Trade Organization, Les Jardins de Gaïa s’engagent pour un commerce plus juste et répondent aux exigences du commerce équitable. Pour en savoir plus : www.wfto.com.</v>
          </cell>
          <cell r="AC413">
            <v>100</v>
          </cell>
          <cell r="AD413" t="str">
            <v>5-10</v>
          </cell>
          <cell r="AE413">
            <v>95</v>
          </cell>
          <cell r="AF413">
            <v>2</v>
          </cell>
          <cell r="AG413">
            <v>50</v>
          </cell>
          <cell r="AH413">
            <v>3582810922729</v>
          </cell>
          <cell r="AI413" t="str">
            <v>/</v>
          </cell>
          <cell r="AJ413" t="str">
            <v>ETRA227V5</v>
          </cell>
          <cell r="AK413" t="str">
            <v>ETRA227V5</v>
          </cell>
          <cell r="AL413" t="str">
            <v>ETCRA2272V5</v>
          </cell>
          <cell r="AM413" t="str">
            <v>Création maison</v>
          </cell>
        </row>
        <row r="414">
          <cell r="A414" t="str">
            <v>TH5301</v>
          </cell>
          <cell r="B414"/>
          <cell r="C414"/>
          <cell r="D414"/>
          <cell r="E414"/>
          <cell r="F414"/>
          <cell r="G414"/>
          <cell r="H414" t="str">
            <v>LES BIENFAITRICES</v>
          </cell>
          <cell r="I414" t="str">
            <v>LES INFUSIONS DE PLANTES</v>
          </cell>
          <cell r="J414" t="str">
            <v>Maman Baby</v>
          </cell>
          <cell r="K414" t="str">
            <v>Allaitement &amp; Confort digestif
Carvi - Fenouil - Anis</v>
          </cell>
          <cell r="L414" t="str">
            <v>Infusion de plantes</v>
          </cell>
          <cell r="M414" t="str">
            <v>/</v>
          </cell>
          <cell r="N414" t="str">
            <v>AB</v>
          </cell>
          <cell r="O414" t="str">
            <v>/</v>
          </cell>
          <cell r="P414" t="str">
            <v>/</v>
          </cell>
          <cell r="Q414" t="str">
            <v>/</v>
          </cell>
          <cell r="R414" t="str">
            <v>/</v>
          </cell>
          <cell r="S414" t="str">
            <v>/</v>
          </cell>
          <cell r="T414" t="str">
            <v>AT-BIO-301
Agriculture UE</v>
          </cell>
          <cell r="U414"/>
          <cell r="V414" t="str">
            <v>Association de plantes réputées galactogènes, cette recette a été pensée pour prendre soin des jeunes mamans. Elle facilite le choix de l'allaitement et calme les spasmes musculaires tout en se faisant plaisir avec ses notes anisées, rondes et un peu sucrées. Un concentré de douceur et tendresse…</v>
          </cell>
          <cell r="W414"/>
          <cell r="X414" t="str">
            <v xml:space="preserve">L’infusion de ce mariage de plantes réputées galactogènes est destinée à prendre soin des mamans qui font le choix de l'allaitement. Véritable concentré de douceur et tendresse, elle calme les spasmes musculaires tout en réconfortant les papilles avec ses notes anisées, rondes et sucrées. </v>
          </cell>
          <cell r="Y414"/>
          <cell r="Z414" t="str">
            <v>Ingrédients : carvi* 40% (Carum carvi), fenouil* 30% (Foeniculum vulgare), anis* 30% (Pimpinella anisum).*Issu de l'agriculture biologique</v>
          </cell>
          <cell r="AA414"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414" t="str">
            <v>/</v>
          </cell>
          <cell r="AC414">
            <v>1.5</v>
          </cell>
          <cell r="AD414" t="str">
            <v>4-5</v>
          </cell>
          <cell r="AE414">
            <v>95</v>
          </cell>
          <cell r="AF414">
            <v>2</v>
          </cell>
          <cell r="AG414">
            <v>750</v>
          </cell>
          <cell r="AH414">
            <v>3582811053019</v>
          </cell>
          <cell r="AI414" t="str">
            <v>/</v>
          </cell>
          <cell r="AJ414" t="str">
            <v>INTERNE</v>
          </cell>
          <cell r="AK414" t="str">
            <v>INTERNE</v>
          </cell>
          <cell r="AL414" t="str">
            <v>/</v>
          </cell>
          <cell r="AM414" t="str">
            <v>Sonnentor</v>
          </cell>
        </row>
        <row r="415">
          <cell r="A415" t="str">
            <v>TH530</v>
          </cell>
          <cell r="B415"/>
          <cell r="C415" t="str">
            <v>X</v>
          </cell>
          <cell r="D415" t="str">
            <v>X</v>
          </cell>
          <cell r="E415"/>
          <cell r="F415" t="str">
            <v>GRAI</v>
          </cell>
          <cell r="G415">
            <v>45383</v>
          </cell>
          <cell r="H415" t="str">
            <v>LES BIENFAITRICES</v>
          </cell>
          <cell r="I415" t="str">
            <v>LES INFUSIONS DE PLANTES</v>
          </cell>
          <cell r="J415" t="str">
            <v>Maman Baby</v>
          </cell>
          <cell r="K415" t="str">
            <v>Allaitement &amp; Confort digestif
Carvi - Fenouil - Anis</v>
          </cell>
          <cell r="L415" t="str">
            <v>Infusion de plantes</v>
          </cell>
          <cell r="M415" t="str">
            <v>/</v>
          </cell>
          <cell r="N415" t="str">
            <v>AB</v>
          </cell>
          <cell r="O415" t="str">
            <v>/</v>
          </cell>
          <cell r="P415" t="str">
            <v>/</v>
          </cell>
          <cell r="Q415" t="str">
            <v>/</v>
          </cell>
          <cell r="R415" t="str">
            <v>/</v>
          </cell>
          <cell r="S415" t="str">
            <v>/</v>
          </cell>
          <cell r="T415" t="str">
            <v>AT-BIO-301
Agriculture UE</v>
          </cell>
          <cell r="U415"/>
          <cell r="V415" t="str">
            <v>Association de plantes réputées galactogènes, cette recette a été pensée pour prendre soin des jeunes mamans. Elle facilite le choix de l'allaitement et calme les spasmes musculaires tout en se faisant plaisir avec ses notes anisées, rondes et un peu sucrées. Un concentré de douceur et tendresse…</v>
          </cell>
          <cell r="W415"/>
          <cell r="X415" t="str">
            <v xml:space="preserve">L’infusion de ce mariage de plantes réputées galactogènes est destinée à prendre soin des mamans qui font le choix de l'allaitement. Véritable concentré de douceur et tendresse, elle calme les spasmes musculaires tout en réconfortant les papilles avec ses notes anisées, rondes et sucrées. </v>
          </cell>
          <cell r="Y415"/>
          <cell r="Z415" t="str">
            <v>Ingrédients : carvi* 40% (Carum carvi), fenouil* 30% (Foeniculum vulgare), anis* 30% (Pimpinella anisum).*Issu de l'agriculture biologique</v>
          </cell>
          <cell r="AA415"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415" t="str">
            <v>/</v>
          </cell>
          <cell r="AC415">
            <v>200</v>
          </cell>
          <cell r="AD415" t="str">
            <v>4-5</v>
          </cell>
          <cell r="AE415">
            <v>95</v>
          </cell>
          <cell r="AF415">
            <v>2</v>
          </cell>
          <cell r="AG415">
            <v>100</v>
          </cell>
          <cell r="AH415">
            <v>3582811005308</v>
          </cell>
          <cell r="AI415" t="str">
            <v>/</v>
          </cell>
          <cell r="AJ415" t="str">
            <v>ETHN5300V5</v>
          </cell>
          <cell r="AK415" t="str">
            <v>ETHN5300V5</v>
          </cell>
          <cell r="AL415" t="str">
            <v>/</v>
          </cell>
          <cell r="AM415" t="str">
            <v>Sonnentor</v>
          </cell>
        </row>
        <row r="416">
          <cell r="A416" t="str">
            <v>TV1167</v>
          </cell>
          <cell r="B416"/>
          <cell r="C416"/>
          <cell r="D416"/>
          <cell r="E416"/>
          <cell r="F416"/>
          <cell r="G416"/>
          <cell r="H416" t="str">
            <v>LES GRANDS CLASSIQUES</v>
          </cell>
          <cell r="I416"/>
          <cell r="J416" t="str">
            <v>Mao Feng</v>
          </cell>
          <cell r="K416" t="str">
            <v>Cimes duveteuses 毛峰</v>
          </cell>
          <cell r="L416" t="str">
            <v>Thé vert d'origine</v>
          </cell>
          <cell r="M416" t="str">
            <v>Chine - Hunan</v>
          </cell>
          <cell r="N416" t="str">
            <v>AB</v>
          </cell>
          <cell r="O416" t="str">
            <v>WFTO</v>
          </cell>
          <cell r="P416" t="str">
            <v>/</v>
          </cell>
          <cell r="Q416" t="str">
            <v>/</v>
          </cell>
          <cell r="R416" t="str">
            <v>/</v>
          </cell>
          <cell r="S416" t="str">
            <v>/</v>
          </cell>
          <cell r="T416" t="str">
            <v>Agriculture Chine</v>
          </cell>
          <cell r="U416"/>
          <cell r="V416" t="str">
            <v>Ce thé de montagne, cru typique et célèbre dans son pays d’origine pour ses bourgeons dont l’aspect évoque “le duvet d’un oiseau” est à l’image de son terroir. Les notes de sous-bois, végétales et minérales, relayées par des saveurs sucrées et fleuries offrent une tasse intéressante dont la discrète astringence laisse en bouche une impression de fraîcheur.</v>
          </cell>
          <cell r="W416" t="str">
            <v>S15</v>
          </cell>
          <cell r="X416" t="str">
            <v>Ce thé vert fin de montagne est un classique des thés chinois réputé pour ses beaux bourgeons dont l’aspect duveteux évoque le « duvet d’un oiseau ». On l’apprécie pour ses saveurs fraîches, végétales et minérales accompagnées d’agréables notes florales et sucrées.</v>
          </cell>
          <cell r="Y416"/>
          <cell r="Z416" t="str">
            <v>Ingrédient : thé vert*. *Issu de l'agriculture biologique.</v>
          </cell>
          <cell r="AA416" t="str">
            <v>/</v>
          </cell>
          <cell r="AB416" t="str">
            <v>Membre certifié World Fair Trade Organization, Les Jardins de Gaïa s’engagent pour un commerce plus juste et répondent aux exigences du commerce équitable. Pour en savoir plus : www.wfto.com.</v>
          </cell>
          <cell r="AC416">
            <v>1</v>
          </cell>
          <cell r="AD416" t="str">
            <v>3-4</v>
          </cell>
          <cell r="AE416">
            <v>80</v>
          </cell>
          <cell r="AF416">
            <v>2</v>
          </cell>
          <cell r="AG416">
            <v>500</v>
          </cell>
          <cell r="AH416">
            <v>3582810311677</v>
          </cell>
          <cell r="AI416" t="str">
            <v>plusieurs infusions</v>
          </cell>
          <cell r="AJ416" t="str">
            <v>INTERNE</v>
          </cell>
          <cell r="AK416" t="str">
            <v>INTERNE</v>
          </cell>
          <cell r="AL416" t="str">
            <v>/</v>
          </cell>
          <cell r="AM416" t="str">
            <v>Guzhang GaoFeng Organic Tea Association</v>
          </cell>
        </row>
        <row r="417">
          <cell r="A417" t="str">
            <v>TV1162</v>
          </cell>
          <cell r="B417"/>
          <cell r="C417" t="str">
            <v>X</v>
          </cell>
          <cell r="D417" t="str">
            <v>X</v>
          </cell>
          <cell r="E417" t="str">
            <v>X</v>
          </cell>
          <cell r="F417" t="str">
            <v>BRODART</v>
          </cell>
          <cell r="G417"/>
          <cell r="H417" t="str">
            <v>LES GRANDS CLASSIQUES</v>
          </cell>
          <cell r="I417"/>
          <cell r="J417" t="str">
            <v>Mao Feng</v>
          </cell>
          <cell r="K417" t="str">
            <v>Cimes duveteuses 毛峰</v>
          </cell>
          <cell r="L417" t="str">
            <v>Thé vert d'origine</v>
          </cell>
          <cell r="M417" t="str">
            <v>Chine - Hunan</v>
          </cell>
          <cell r="N417" t="str">
            <v>AB</v>
          </cell>
          <cell r="O417" t="str">
            <v>WFTO</v>
          </cell>
          <cell r="P417" t="str">
            <v>/</v>
          </cell>
          <cell r="Q417" t="str">
            <v>/</v>
          </cell>
          <cell r="R417" t="str">
            <v>/</v>
          </cell>
          <cell r="S417" t="str">
            <v>/</v>
          </cell>
          <cell r="T417" t="str">
            <v>Agriculture Chine</v>
          </cell>
          <cell r="U417"/>
          <cell r="V417" t="str">
            <v>Ce thé de montagne, cru typique et célèbre dans son pays d’origine pour ses bourgeons dont l’aspect évoque “le duvet d’un oiseau” est à l’image de son terroir. Les notes de sous-bois, végétales et minérales, relayées par des saveurs sucrées et fleuries offrent une tasse intéressante dont la discrète astringence laisse en bouche une impression de fraîcheur.</v>
          </cell>
          <cell r="W417" t="str">
            <v>S15</v>
          </cell>
          <cell r="X417" t="str">
            <v>Ce thé vert fin de montagne est un classique des thés chinois réputé pour ses beaux bourgeons dont l’aspect duveteux évoque le « duvet d’un oiseau ». On l’apprécie pour ses saveurs fraîches, végétales et minérales accompagnées d’agréables notes florales et sucrées.</v>
          </cell>
          <cell r="Y417"/>
          <cell r="Z417" t="str">
            <v>Ingrédient : thé vert*. *Issu de l'agriculture biologique.</v>
          </cell>
          <cell r="AA417" t="str">
            <v>/</v>
          </cell>
          <cell r="AB417" t="str">
            <v>Membre certifié World Fair Trade Organization, Les Jardins de Gaïa s’engagent pour un commerce plus juste et répondent aux exigences du commerce équitable. Pour en savoir plus : www.wfto.com.</v>
          </cell>
          <cell r="AC417">
            <v>80</v>
          </cell>
          <cell r="AD417" t="str">
            <v>3-4</v>
          </cell>
          <cell r="AE417">
            <v>80</v>
          </cell>
          <cell r="AF417">
            <v>2</v>
          </cell>
          <cell r="AG417">
            <v>40</v>
          </cell>
          <cell r="AH417">
            <v>3582810311622</v>
          </cell>
          <cell r="AI417" t="str">
            <v>plusieurs infusions</v>
          </cell>
          <cell r="AJ417" t="str">
            <v>ETVN116V5</v>
          </cell>
          <cell r="AK417" t="str">
            <v>ETVN116V5</v>
          </cell>
          <cell r="AL417" t="str">
            <v>ETCVN1162V5</v>
          </cell>
          <cell r="AM417" t="str">
            <v>Guzhang GaoFeng Organic Tea Association</v>
          </cell>
        </row>
        <row r="418">
          <cell r="A418" t="str">
            <v>TV1177</v>
          </cell>
          <cell r="B418"/>
          <cell r="C418"/>
          <cell r="D418"/>
          <cell r="E418"/>
          <cell r="F418"/>
          <cell r="G418"/>
          <cell r="H418" t="str">
            <v>LES GRANDS CLASSIQUES</v>
          </cell>
          <cell r="I418"/>
          <cell r="J418" t="str">
            <v>Mao Jian</v>
          </cell>
          <cell r="K418" t="str">
            <v>Pointes duveteuses 毛尖茶</v>
          </cell>
          <cell r="L418" t="str">
            <v>Thé vert d'origine</v>
          </cell>
          <cell r="M418" t="str">
            <v>Chine - Hubei</v>
          </cell>
          <cell r="N418" t="str">
            <v>AB</v>
          </cell>
          <cell r="O418" t="str">
            <v>WFTO</v>
          </cell>
          <cell r="P418" t="str">
            <v>/</v>
          </cell>
          <cell r="Q418" t="str">
            <v>/</v>
          </cell>
          <cell r="R418" t="str">
            <v>/</v>
          </cell>
          <cell r="S418" t="str">
            <v>/</v>
          </cell>
          <cell r="T418" t="str">
            <v>Agriculture Chine</v>
          </cell>
          <cell r="U418"/>
          <cell r="V418" t="str">
            <v xml:space="preserve">Célèbre dans son pays d'origine, ce cru vivifiant aux séduisantes petites feuilles régulières et torsadées parsemées de bourgeons argentés offrent un bouquet frais et printanier. Sa tasse légère et cristalline, dominée par des notes végétales, laisse au palais une empreinte sucrée, un peu fruitée, délicate, qui pétille légèrement sur la langue. </v>
          </cell>
          <cell r="W418" t="str">
            <v>S15</v>
          </cell>
          <cell r="X418" t="str">
            <v>Composé de petites feuilles torsadées et de bourgeons argentés à l’apparence de pointes duveteuses, ce célèbre thé vert chinois offre une tasse particulièrement séduisante. On apprécie son bouquet frais et printanier et sa liqueur aux saveurs végétales, sucrées et fruitées tout en délicatesse.</v>
          </cell>
          <cell r="Y418"/>
          <cell r="Z418" t="str">
            <v>Ingrédient : thé vert*. *Issu de l'agriculture biologique.</v>
          </cell>
          <cell r="AA418" t="str">
            <v>/</v>
          </cell>
          <cell r="AB418" t="str">
            <v>Membre certifié World Fair Trade Organization, Les Jardins de Gaïa s’engagent pour un commerce plus juste et répondent aux exigences du commerce équitable. Pour en savoir plus : www.wfto.com.</v>
          </cell>
          <cell r="AC418">
            <v>1</v>
          </cell>
          <cell r="AD418" t="str">
            <v>3</v>
          </cell>
          <cell r="AE418">
            <v>75</v>
          </cell>
          <cell r="AF418">
            <v>2</v>
          </cell>
          <cell r="AG418">
            <v>500</v>
          </cell>
          <cell r="AH418">
            <v>3582810311776</v>
          </cell>
          <cell r="AI418" t="str">
            <v>/</v>
          </cell>
          <cell r="AJ418" t="str">
            <v>INTERNE</v>
          </cell>
          <cell r="AK418" t="str">
            <v>INTERNE</v>
          </cell>
          <cell r="AL418" t="str">
            <v>/</v>
          </cell>
          <cell r="AM418" t="str">
            <v xml:space="preserve">Xuan En Yisheng Tea Cooperative </v>
          </cell>
        </row>
        <row r="419">
          <cell r="A419" t="str">
            <v>TV1172</v>
          </cell>
          <cell r="B419"/>
          <cell r="C419" t="str">
            <v>X</v>
          </cell>
          <cell r="D419" t="str">
            <v>X</v>
          </cell>
          <cell r="E419" t="str">
            <v>X</v>
          </cell>
          <cell r="F419" t="str">
            <v>BRODART</v>
          </cell>
          <cell r="G419"/>
          <cell r="H419" t="str">
            <v>LES GRANDS CLASSIQUES</v>
          </cell>
          <cell r="I419"/>
          <cell r="J419" t="str">
            <v>Mao Jian</v>
          </cell>
          <cell r="K419" t="str">
            <v>Pointes duveteuses 毛尖茶</v>
          </cell>
          <cell r="L419" t="str">
            <v>Thé vert d'origine</v>
          </cell>
          <cell r="M419" t="str">
            <v>Chine - Hubei</v>
          </cell>
          <cell r="N419" t="str">
            <v>AB</v>
          </cell>
          <cell r="O419" t="str">
            <v>WFTO</v>
          </cell>
          <cell r="P419" t="str">
            <v>/</v>
          </cell>
          <cell r="Q419" t="str">
            <v>/</v>
          </cell>
          <cell r="R419" t="str">
            <v>/</v>
          </cell>
          <cell r="S419" t="str">
            <v>/</v>
          </cell>
          <cell r="T419" t="str">
            <v>Agriculture Chine</v>
          </cell>
          <cell r="U419"/>
          <cell r="V419" t="str">
            <v xml:space="preserve">Célèbre dans son pays d'origine, ce cru vivifiant aux séduisantes petites feuilles régulières et torsadées parsemées de bourgeons argentés offrent un bouquet frais et printanier. Sa tasse légère et cristalline, dominée par des notes végétales, laisse au palais une empreinte sucrée, un peu fruitée, délicate, qui pétille légèrement sur la langue. </v>
          </cell>
          <cell r="W419" t="str">
            <v>S15</v>
          </cell>
          <cell r="X419" t="str">
            <v>Composé de petites feuilles torsadées et de bourgeons argentés à l’apparence de pointes duveteuses, ce célèbre thé vert chinois offre une tasse particulièrement séduisante. On apprécie son bouquet frais et printanier et sa liqueur aux saveurs végétales, sucrées et fruitées tout en délicatesse.</v>
          </cell>
          <cell r="Y419"/>
          <cell r="Z419" t="str">
            <v>Ingrédient : thé vert*. *Issu de l'agriculture biologique.</v>
          </cell>
          <cell r="AA419" t="str">
            <v>/</v>
          </cell>
          <cell r="AB419" t="str">
            <v>Membre certifié World Fair Trade Organization, Les Jardins de Gaïa s’engagent pour un commerce plus juste et répondent aux exigences du commerce équitable. Pour en savoir plus : www.wfto.com.</v>
          </cell>
          <cell r="AC419">
            <v>80</v>
          </cell>
          <cell r="AD419" t="str">
            <v>3</v>
          </cell>
          <cell r="AE419">
            <v>75</v>
          </cell>
          <cell r="AF419">
            <v>2</v>
          </cell>
          <cell r="AG419">
            <v>40</v>
          </cell>
          <cell r="AH419">
            <v>3582810311721</v>
          </cell>
          <cell r="AI419" t="str">
            <v>/</v>
          </cell>
          <cell r="AJ419" t="str">
            <v>ETVN117V5</v>
          </cell>
          <cell r="AK419" t="str">
            <v>ETVN117V5</v>
          </cell>
          <cell r="AL419" t="str">
            <v>ETCVN1172V5</v>
          </cell>
          <cell r="AM419" t="str">
            <v xml:space="preserve">Xuan En Yisheng Tea Cooperative </v>
          </cell>
        </row>
        <row r="420">
          <cell r="A420" t="str">
            <v>TM1651</v>
          </cell>
          <cell r="B420"/>
          <cell r="C420" t="str">
            <v>X</v>
          </cell>
          <cell r="D420"/>
          <cell r="E420"/>
          <cell r="F420"/>
          <cell r="G420"/>
          <cell r="H420" t="str">
            <v>LES GRANDS CLASSIQUES</v>
          </cell>
          <cell r="I420" t="str">
            <v>LES INFUSIONS DE PLANTES</v>
          </cell>
          <cell r="J420" t="str">
            <v>Masala pour Tchaï</v>
          </cell>
          <cell r="K420" t="str">
            <v>Gaïa fort</v>
          </cell>
          <cell r="L420" t="str">
            <v>Infusion d'épices</v>
          </cell>
          <cell r="M420" t="str">
            <v>Sri Lanka</v>
          </cell>
          <cell r="N420" t="str">
            <v>AB</v>
          </cell>
          <cell r="O420" t="str">
            <v>WFTO</v>
          </cell>
          <cell r="P420" t="str">
            <v>/</v>
          </cell>
          <cell r="Q420" t="str">
            <v>/</v>
          </cell>
          <cell r="R420" t="str">
            <v>/</v>
          </cell>
          <cell r="S420" t="str">
            <v>/</v>
          </cell>
          <cell r="T420" t="str">
            <v>Agriculture non UE</v>
          </cell>
          <cell r="U420"/>
          <cell r="V420" t="str">
            <v xml:space="preserve">Créé dans le respect des traditions, le masala est inspiré par une recette ayurvédique indienne exclusivement composée d’épices. Ce mariage à la fois sensuel et spirituel nous offre une boisson qui éveille les sens, envahit et réchauffe le corps tout en libérant l’esprit. Délicieux ! </v>
          </cell>
          <cell r="W420" t="str">
            <v>S15</v>
          </cell>
          <cell r="X420" t="str">
            <v>Inspiré par une recette ayurvédique traditionnelle, ce Masala pour Tchaï est exclusivement composé d’épices. Les saveurs chaleureuses du mélange cardamome, cannelle, gingembre et poivre éveillent les sens et nous transportent au cœur de l’Inde.  Délicieux et envoûtant !</v>
          </cell>
          <cell r="Y420"/>
          <cell r="Z420" t="str">
            <v>Ingrédients : cannelle*, gingembre*, poivre noir*, clous de girofle*, cardamome*. *Issu de l'agriculture biologique.</v>
          </cell>
          <cell r="AA420" t="str">
            <v>/</v>
          </cell>
          <cell r="AB420" t="str">
            <v>Membre certifié World Fair Trade Organization, Les Jardins de Gaïa s’engagent pour un commerce plus juste et répondent aux exigences du commerce équitable. Pour en savoir plus : www.wfto.com.</v>
          </cell>
          <cell r="AC420">
            <v>1.5</v>
          </cell>
          <cell r="AD420" t="str">
            <v>5-10</v>
          </cell>
          <cell r="AE420">
            <v>95</v>
          </cell>
          <cell r="AF420">
            <v>2</v>
          </cell>
          <cell r="AG420">
            <v>750</v>
          </cell>
          <cell r="AH420">
            <v>3582811716518</v>
          </cell>
          <cell r="AI420" t="str">
            <v>/</v>
          </cell>
          <cell r="AJ420" t="str">
            <v>INTERNE</v>
          </cell>
          <cell r="AK420" t="str">
            <v>INTERNE</v>
          </cell>
          <cell r="AL420" t="str">
            <v>/</v>
          </cell>
          <cell r="AM420" t="str">
            <v>Création maison</v>
          </cell>
        </row>
        <row r="421">
          <cell r="A421" t="str">
            <v>TM1652</v>
          </cell>
          <cell r="B421"/>
          <cell r="C421" t="str">
            <v>X</v>
          </cell>
          <cell r="D421"/>
          <cell r="E421"/>
          <cell r="F421" t="str">
            <v>BRODART</v>
          </cell>
          <cell r="G421"/>
          <cell r="H421" t="str">
            <v>LES GRANDS CLASSIQUES</v>
          </cell>
          <cell r="I421" t="str">
            <v>LES INFUSIONS DE PLANTES</v>
          </cell>
          <cell r="J421" t="str">
            <v>Masala pour Tchaï</v>
          </cell>
          <cell r="K421" t="str">
            <v>Gaïa fort</v>
          </cell>
          <cell r="L421" t="str">
            <v>Infusion d'épices</v>
          </cell>
          <cell r="M421" t="str">
            <v>Sri Lanka</v>
          </cell>
          <cell r="N421" t="str">
            <v>AB</v>
          </cell>
          <cell r="O421" t="str">
            <v>WFTO</v>
          </cell>
          <cell r="P421" t="str">
            <v>/</v>
          </cell>
          <cell r="Q421" t="str">
            <v>/</v>
          </cell>
          <cell r="R421" t="str">
            <v>/</v>
          </cell>
          <cell r="S421" t="str">
            <v>/</v>
          </cell>
          <cell r="T421" t="str">
            <v>Agriculture non UE</v>
          </cell>
          <cell r="U421"/>
          <cell r="V421" t="str">
            <v xml:space="preserve">Créé dans le respect des traditions, le masala est inspiré par une recette ayurvédique indienne exclusivement composée d’épices. Ce mariage à la fois sensuel et spirituel nous offre une boisson qui éveille les sens, envahit et réchauffe le corps tout en libérant l’esprit. Délicieux ! </v>
          </cell>
          <cell r="W421" t="str">
            <v>S15</v>
          </cell>
          <cell r="X421" t="str">
            <v>Inspiré par une recette ayurvédique traditionnelle, ce Masala pour Tchaï est exclusivement composé d’épices. Les saveurs chaleureuses du mélange cardamome, cannelle, gingembre et poivre éveillent les sens et nous transportent au cœur de l’Inde.  Délicieux et envoûtant !</v>
          </cell>
          <cell r="Y421"/>
          <cell r="Z421" t="str">
            <v>Ingrédients : cannelle*, gingembre*, poivre noir*, clous de girofle*, cardamome*. *Issu de l'agriculture biologique.</v>
          </cell>
          <cell r="AA421" t="str">
            <v>/</v>
          </cell>
          <cell r="AB421" t="str">
            <v>Membre certifié World Fair Trade Organization, Les Jardins de Gaïa s’engagent pour un commerce plus juste et répondent aux exigences du commerce équitable. Pour en savoir plus : www.wfto.com.</v>
          </cell>
          <cell r="AC421">
            <v>100</v>
          </cell>
          <cell r="AD421" t="str">
            <v>5-10</v>
          </cell>
          <cell r="AE421">
            <v>95</v>
          </cell>
          <cell r="AF421">
            <v>2</v>
          </cell>
          <cell r="AG421">
            <v>50</v>
          </cell>
          <cell r="AH421">
            <v>3582811716525</v>
          </cell>
          <cell r="AI421" t="str">
            <v>/</v>
          </cell>
          <cell r="AJ421" t="str">
            <v>ETTM165</v>
          </cell>
          <cell r="AK421" t="str">
            <v>ETTM165V5</v>
          </cell>
          <cell r="AL421" t="str">
            <v>ETCTM1652V5</v>
          </cell>
          <cell r="AM421" t="str">
            <v>Création maison</v>
          </cell>
        </row>
        <row r="422">
          <cell r="A422" t="str">
            <v>TM1652</v>
          </cell>
          <cell r="B422"/>
          <cell r="C422" t="str">
            <v>X</v>
          </cell>
          <cell r="D422"/>
          <cell r="E422"/>
          <cell r="F422" t="str">
            <v>BRODART</v>
          </cell>
          <cell r="G422"/>
          <cell r="H422" t="str">
            <v>LES GRANDS CLASSIQUES</v>
          </cell>
          <cell r="I422" t="str">
            <v>LES INFUSIONS DE PLANTES</v>
          </cell>
          <cell r="J422" t="str">
            <v>Masala pour Tchaï</v>
          </cell>
          <cell r="K422" t="str">
            <v>Gaïa fort</v>
          </cell>
          <cell r="L422" t="str">
            <v>Infusion d'épices</v>
          </cell>
          <cell r="M422" t="str">
            <v>Sri Lanka</v>
          </cell>
          <cell r="N422" t="str">
            <v>AB</v>
          </cell>
          <cell r="O422" t="str">
            <v>WFTO</v>
          </cell>
          <cell r="P422" t="str">
            <v>/</v>
          </cell>
          <cell r="Q422" t="str">
            <v>/</v>
          </cell>
          <cell r="R422" t="str">
            <v>/</v>
          </cell>
          <cell r="S422" t="str">
            <v>/</v>
          </cell>
          <cell r="T422" t="str">
            <v>Agriculture non UE</v>
          </cell>
          <cell r="U422"/>
          <cell r="V422" t="str">
            <v xml:space="preserve">Créé dans le respect des traditions, le masala est inspiré par une recette ayurvédique indienne exclusivement composée d’épices. Ce mariage à la fois sensuel et spirituel nous offre une boisson qui éveille les sens, envahit et réchauffe le corps tout en libérant l’esprit. Délicieux ! </v>
          </cell>
          <cell r="W422" t="str">
            <v>S15</v>
          </cell>
          <cell r="X422" t="str">
            <v>Inspiré par une recette ayurvédique traditionnelle, ce Masala pour Tchaï est exclusivement composé d’épices. Les saveurs chaleureuses du mélange cardamome, cannelle, gingembre et poivre éveillent les sens et nous transportent au cœur de l’Inde.  Délicieux et envoûtant !</v>
          </cell>
          <cell r="Y422"/>
          <cell r="Z422" t="str">
            <v>Ingrédients : cannelle*, gingembre*, poivre noir*, clous de girofle*, cardamome*. *Issu de l'agriculture biologique.</v>
          </cell>
          <cell r="AA422" t="str">
            <v>/</v>
          </cell>
          <cell r="AB422" t="str">
            <v>Membre certifié World Fair Trade Organization, Les Jardins de Gaïa s’engagent pour un commerce plus juste et répondent aux exigences du commerce équitable. Pour en savoir plus : www.wfto.com.</v>
          </cell>
          <cell r="AC422">
            <v>100</v>
          </cell>
          <cell r="AD422" t="str">
            <v>5-10</v>
          </cell>
          <cell r="AE422">
            <v>95</v>
          </cell>
          <cell r="AF422">
            <v>2</v>
          </cell>
          <cell r="AG422">
            <v>50</v>
          </cell>
          <cell r="AH422">
            <v>3582811716525</v>
          </cell>
          <cell r="AI422" t="str">
            <v>/</v>
          </cell>
          <cell r="AJ422" t="str">
            <v>ETTM165</v>
          </cell>
          <cell r="AK422" t="str">
            <v>ETTM165V5</v>
          </cell>
          <cell r="AL422" t="str">
            <v>ETCTM1652V5</v>
          </cell>
          <cell r="AM422" t="str">
            <v>Création maison</v>
          </cell>
        </row>
        <row r="423">
          <cell r="A423" t="str">
            <v>TM1661</v>
          </cell>
          <cell r="B423"/>
          <cell r="C423"/>
          <cell r="D423"/>
          <cell r="E423"/>
          <cell r="F423"/>
          <cell r="G423"/>
          <cell r="H423" t="str">
            <v>LES GRANDS CLASSIQUES</v>
          </cell>
          <cell r="I423" t="str">
            <v>LES INFUSIONS DE PLANTES</v>
          </cell>
          <cell r="J423" t="str">
            <v>Masala pour Tchaï</v>
          </cell>
          <cell r="K423" t="str">
            <v>Gaïa doux</v>
          </cell>
          <cell r="L423" t="str">
            <v>Infusion d'épices</v>
          </cell>
          <cell r="M423" t="str">
            <v>Sri Lanka</v>
          </cell>
          <cell r="N423" t="str">
            <v>AB</v>
          </cell>
          <cell r="O423" t="str">
            <v>WFTO</v>
          </cell>
          <cell r="P423" t="str">
            <v>/</v>
          </cell>
          <cell r="Q423" t="str">
            <v>/</v>
          </cell>
          <cell r="R423" t="str">
            <v>/</v>
          </cell>
          <cell r="S423" t="str">
            <v>/</v>
          </cell>
          <cell r="T423" t="str">
            <v>Agriculture non UE</v>
          </cell>
          <cell r="U423"/>
          <cell r="V423" t="str">
            <v xml:space="preserve">Créé dans le respect des traditions, le masala est inspiré par une recette ayurvédique indienne exclusivement composée d’épices. Ce mariage à la fois sensuel et spirituel nous offre une boisson qui éveille les sens, envahit et réchauffe le corps tout en libérant l’esprit. Délicieux ! </v>
          </cell>
          <cell r="W423"/>
          <cell r="X423" t="str">
            <v>Ce Masala pour Tchaï, inspiré par une recette ayurvédique traditionnelle, est exclusivement composé d’épices. Les saveurs chaleureuses du mélange cardamome, cannelle, gingembre et poivre éveillent les sens et nous transportent au cœur de l’Inde.  Délicieux et envoûtant !</v>
          </cell>
          <cell r="Y423"/>
          <cell r="Z423" t="str">
            <v>Ingrédients : cannelle*, gingembre*, poivre noir*, clous de girofle*, cardamome*. *Issu de l'agriculture biologique.</v>
          </cell>
          <cell r="AA423" t="str">
            <v>/</v>
          </cell>
          <cell r="AB423" t="str">
            <v>Membre certifié World Fair Trade Organization, Les Jardins de Gaïa s’engagent pour un commerce plus juste et répondent aux exigences du commerce équitable. Pour en savoir plus : www.wfto.com.</v>
          </cell>
          <cell r="AC423">
            <v>1.5</v>
          </cell>
          <cell r="AD423" t="str">
            <v>5-10</v>
          </cell>
          <cell r="AE423">
            <v>95</v>
          </cell>
          <cell r="AF423">
            <v>2</v>
          </cell>
          <cell r="AG423">
            <v>750</v>
          </cell>
          <cell r="AH423">
            <v>3582811716617</v>
          </cell>
          <cell r="AI423" t="str">
            <v>/</v>
          </cell>
          <cell r="AJ423" t="str">
            <v>INTERNE</v>
          </cell>
          <cell r="AK423" t="str">
            <v>INTERNE</v>
          </cell>
          <cell r="AL423" t="str">
            <v>/</v>
          </cell>
          <cell r="AM423" t="str">
            <v>Création maison</v>
          </cell>
        </row>
        <row r="424">
          <cell r="A424" t="str">
            <v>TM1662</v>
          </cell>
          <cell r="B424"/>
          <cell r="C424" t="str">
            <v>X</v>
          </cell>
          <cell r="D424" t="str">
            <v>X</v>
          </cell>
          <cell r="E424" t="str">
            <v>X</v>
          </cell>
          <cell r="F424" t="str">
            <v>GRAI</v>
          </cell>
          <cell r="G424">
            <v>45383</v>
          </cell>
          <cell r="H424" t="str">
            <v>LES GRANDS CLASSIQUES</v>
          </cell>
          <cell r="I424" t="str">
            <v>LES INFUSIONS DE PLANTES</v>
          </cell>
          <cell r="J424" t="str">
            <v>Masala pour Tchaï</v>
          </cell>
          <cell r="K424" t="str">
            <v>Gaïa doux</v>
          </cell>
          <cell r="L424" t="str">
            <v>Infusion d'épices</v>
          </cell>
          <cell r="M424" t="str">
            <v>Sri Lanka</v>
          </cell>
          <cell r="N424" t="str">
            <v>AB</v>
          </cell>
          <cell r="O424" t="str">
            <v>WFTO</v>
          </cell>
          <cell r="P424" t="str">
            <v>/</v>
          </cell>
          <cell r="Q424" t="str">
            <v>/</v>
          </cell>
          <cell r="R424" t="str">
            <v>/</v>
          </cell>
          <cell r="S424" t="str">
            <v>/</v>
          </cell>
          <cell r="T424" t="str">
            <v>Agriculture non UE</v>
          </cell>
          <cell r="U424"/>
          <cell r="V424" t="str">
            <v xml:space="preserve">Créé dans le respect des traditions, le masala est inspiré par une recette ayurvédique indienne exclusivement composée d’épices. Ce mariage à la fois sensuel et spirituel nous offre une boisson qui éveille les sens, envahit et réchauffe le corps tout en libérant l’esprit. Délicieux ! </v>
          </cell>
          <cell r="W424"/>
          <cell r="X424" t="str">
            <v>Ce Masala pour Tchaï, inspiré par une recette ayurvédique traditionnelle, est exclusivement composé d’épices. Les saveurs chaleureuses du mélange cardamome, cannelle, gingembre et poivre éveillent les sens et nous transportent au cœur de l’Inde.  Délicieux et envoûtant !</v>
          </cell>
          <cell r="Y424"/>
          <cell r="Z424" t="str">
            <v>Ingrédients : cannelle*, gingembre*, poivre noir*, clous de girofle*, cardamome*. *Issu de l'agriculture biologique.</v>
          </cell>
          <cell r="AA424" t="str">
            <v>/</v>
          </cell>
          <cell r="AB424" t="str">
            <v>Membre certifié World Fair Trade Organization, Les Jardins de Gaïa s’engagent pour un commerce plus juste et répondent aux exigences du commerce équitable. Pour en savoir plus : www.wfto.com.</v>
          </cell>
          <cell r="AC424">
            <v>100</v>
          </cell>
          <cell r="AD424" t="str">
            <v>5-10</v>
          </cell>
          <cell r="AE424">
            <v>95</v>
          </cell>
          <cell r="AF424">
            <v>2</v>
          </cell>
          <cell r="AG424">
            <v>50</v>
          </cell>
          <cell r="AH424">
            <v>3582811716624</v>
          </cell>
          <cell r="AI424" t="str">
            <v>/</v>
          </cell>
          <cell r="AJ424" t="str">
            <v>ETTM166</v>
          </cell>
          <cell r="AK424" t="str">
            <v>ETTM166V5</v>
          </cell>
          <cell r="AL424" t="str">
            <v>ETCTM1662V5</v>
          </cell>
          <cell r="AM424" t="str">
            <v>Création maison</v>
          </cell>
        </row>
        <row r="425">
          <cell r="A425" t="str">
            <v>TA7341</v>
          </cell>
          <cell r="B425"/>
          <cell r="C425"/>
          <cell r="D425"/>
          <cell r="E425"/>
          <cell r="F425"/>
          <cell r="G425"/>
          <cell r="H425" t="str">
            <v>LES GRANDS CLASSIQUES</v>
          </cell>
          <cell r="I425"/>
          <cell r="J425" t="str">
            <v>Masala Tchaï</v>
          </cell>
          <cell r="K425" t="str">
            <v>Épices indiennes</v>
          </cell>
          <cell r="L425" t="str">
            <v>Thé noir parfumé</v>
          </cell>
          <cell r="M425" t="str">
            <v>Inde - Sri Lanka</v>
          </cell>
          <cell r="N425" t="str">
            <v>AB</v>
          </cell>
          <cell r="O425" t="str">
            <v>WFTO</v>
          </cell>
          <cell r="P425" t="str">
            <v>/</v>
          </cell>
          <cell r="Q425" t="str">
            <v>/</v>
          </cell>
          <cell r="R425" t="str">
            <v>/</v>
          </cell>
          <cell r="S425" t="str">
            <v>/</v>
          </cell>
          <cell r="T425" t="str">
            <v>Agriculture non UE</v>
          </cell>
          <cell r="U425"/>
          <cell r="V425" t="str">
            <v>Des confins du Rajasthan aux comptoirs de Pondichéry, ce breuvage vous emmène au cœur de l'Inde et de ses coutumes. Tonique et chaud, ce thé noir mélangé aux saveurs d'épices uniques est un régal pour les amateurs d'authenticité. Traditionnellement, on y ajoute un peu de lait.</v>
          </cell>
          <cell r="W425"/>
          <cell r="X425" t="str">
            <v>Le Masala Tchaï, préparation populaire à base de thé noir et d’épices, vous emmène au cœur de l'Inde et de ses coutumes. On apprécie ses saveurs chaudes et d’une grande richesse. Un régal pour les amateurs d'authenticité qui, traditionnellement, y ajoutent un peu de lait et du sucre.</v>
          </cell>
          <cell r="Y425"/>
          <cell r="Z425" t="str">
            <v xml:space="preserve">Ingrédients : thé noir*, épices (gingembre*, cannelle*, cardamome*, clous de girofle*, poivre noir*) 39%. *Issu de l'agriculture biologique.  </v>
          </cell>
          <cell r="AA425" t="str">
            <v>/</v>
          </cell>
          <cell r="AB425" t="str">
            <v>Membre certifié World Fair Trade Organization, Les Jardins de Gaïa s’engagent pour un commerce plus juste et répondent aux exigences du commerce équitable. Pour en savoir plus : www.wfto.com.</v>
          </cell>
          <cell r="AC425">
            <v>1.5</v>
          </cell>
          <cell r="AD425" t="str">
            <v>3-4</v>
          </cell>
          <cell r="AE425">
            <v>90</v>
          </cell>
          <cell r="AF425">
            <v>2</v>
          </cell>
          <cell r="AG425">
            <v>750</v>
          </cell>
          <cell r="AH425">
            <v>3582810473412</v>
          </cell>
          <cell r="AI425" t="str">
            <v>/</v>
          </cell>
          <cell r="AJ425" t="str">
            <v>INTERNE</v>
          </cell>
          <cell r="AK425" t="str">
            <v>INTERNE</v>
          </cell>
          <cell r="AL425" t="str">
            <v>/</v>
          </cell>
          <cell r="AM425" t="str">
            <v>Création maison</v>
          </cell>
        </row>
        <row r="426">
          <cell r="A426" t="str">
            <v>TA7342</v>
          </cell>
          <cell r="B426"/>
          <cell r="C426" t="str">
            <v>X</v>
          </cell>
          <cell r="D426" t="str">
            <v>x</v>
          </cell>
          <cell r="E426" t="str">
            <v>x</v>
          </cell>
          <cell r="F426" t="str">
            <v>GRAI</v>
          </cell>
          <cell r="G426">
            <v>45383</v>
          </cell>
          <cell r="H426" t="str">
            <v>LES GRANDS CLASSIQUES</v>
          </cell>
          <cell r="I426"/>
          <cell r="J426" t="str">
            <v>Masala Tchaï</v>
          </cell>
          <cell r="K426" t="str">
            <v>Épices indiennes</v>
          </cell>
          <cell r="L426" t="str">
            <v>Thé noir parfumé</v>
          </cell>
          <cell r="M426" t="str">
            <v>Inde - Sri Lanka</v>
          </cell>
          <cell r="N426" t="str">
            <v>AB</v>
          </cell>
          <cell r="O426" t="str">
            <v>WFTO</v>
          </cell>
          <cell r="P426" t="str">
            <v>/</v>
          </cell>
          <cell r="Q426" t="str">
            <v>/</v>
          </cell>
          <cell r="R426" t="str">
            <v>/</v>
          </cell>
          <cell r="S426" t="str">
            <v>/</v>
          </cell>
          <cell r="T426" t="str">
            <v>Agriculture non UE</v>
          </cell>
          <cell r="U426"/>
          <cell r="V426" t="str">
            <v>Des confins du Rajasthan aux comptoirs de Pondichéry, ce breuvage vous emmène au cœur de l'Inde et de ses coutumes. Tonique et chaud, ce thé noir mélangé aux saveurs d'épices uniques est un régal pour les amateurs d'authenticité. Traditionnellement, on y ajoute un peu de lait.</v>
          </cell>
          <cell r="W426"/>
          <cell r="X426" t="str">
            <v>Le Masala Tchaï, préparation populaire à base de thé noir et d’épices, vous emmène au cœur de l'Inde et de ses coutumes. On apprécie ses saveurs chaudes et d’une grande richesse. Un régal pour les amateurs d'authenticité qui, traditionnellement, y ajoutent un peu de lait et du sucre.</v>
          </cell>
          <cell r="Y426"/>
          <cell r="Z426" t="str">
            <v xml:space="preserve">Ingrédients : thé noir*, épices (gingembre*, cannelle*, cardamome*, clous de girofle*, poivre noir*) 39%. *Issu de l'agriculture biologique.  </v>
          </cell>
          <cell r="AA426" t="str">
            <v>/</v>
          </cell>
          <cell r="AB426" t="str">
            <v>Membre certifié World Fair Trade Organization, Les Jardins de Gaïa s’engagent pour un commerce plus juste et répondent aux exigences du commerce équitable. Pour en savoir plus : www.wfto.com.</v>
          </cell>
          <cell r="AC426">
            <v>100</v>
          </cell>
          <cell r="AD426" t="str">
            <v>3-4</v>
          </cell>
          <cell r="AE426">
            <v>90</v>
          </cell>
          <cell r="AF426">
            <v>2</v>
          </cell>
          <cell r="AG426">
            <v>50</v>
          </cell>
          <cell r="AH426">
            <v>3582810473429</v>
          </cell>
          <cell r="AI426" t="str">
            <v>/</v>
          </cell>
          <cell r="AJ426" t="str">
            <v>ETNA734</v>
          </cell>
          <cell r="AK426" t="str">
            <v>ETNA734V6</v>
          </cell>
          <cell r="AL426" t="str">
            <v>ETCNA7342V6</v>
          </cell>
          <cell r="AM426" t="str">
            <v>Création maison</v>
          </cell>
        </row>
        <row r="427">
          <cell r="A427" t="str">
            <v>TJ2202</v>
          </cell>
          <cell r="B427"/>
          <cell r="C427" t="str">
            <v>X</v>
          </cell>
          <cell r="D427"/>
          <cell r="E427"/>
          <cell r="F427"/>
          <cell r="G427"/>
          <cell r="H427" t="str">
            <v>LES GRANDS CLASSIQUES</v>
          </cell>
          <cell r="I427" t="str">
            <v>Matcha</v>
          </cell>
          <cell r="J427" t="str">
            <v>Matcha pour la cuisine</v>
          </cell>
          <cell r="K427" t="str">
            <v>Prémium</v>
          </cell>
          <cell r="L427" t="str">
            <v>Matcha</v>
          </cell>
          <cell r="M427" t="str">
            <v>Japon - Kagoshima</v>
          </cell>
          <cell r="N427" t="str">
            <v>AB</v>
          </cell>
          <cell r="O427" t="str">
            <v>/</v>
          </cell>
          <cell r="P427" t="str">
            <v>/</v>
          </cell>
          <cell r="Q427" t="str">
            <v>/</v>
          </cell>
          <cell r="R427" t="str">
            <v>/</v>
          </cell>
          <cell r="S427" t="str">
            <v>/</v>
          </cell>
          <cell r="T427" t="str">
            <v>Agriculture Japon</v>
          </cell>
          <cell r="U427"/>
          <cell r="V427" t="str">
            <v>Ce matcha est tout particulièrement élaboré pour la cuisine : son goût intense de thé vert et sa couleur vert émeraude éclatante en font un ingrédient idéal pour apporter à vos plats, desserts et cocktails un arôme riche et un goût frais…</v>
          </cell>
          <cell r="W427" t="str">
            <v>S15</v>
          </cell>
          <cell r="X427" t="str">
            <v>Ce matcha idéal en cuisine est une excellente porte d’entrée à l’univers du thé en poudre japonais.  Ses accents herbacés et légèrement sucrés et sa belle couleur vert émeraude en font un ingrédient parfait pour apporter un soupçon d’originalité et de couleur à vos plats, desserts et cocktails.</v>
          </cell>
          <cell r="Y427"/>
          <cell r="Z427" t="str">
            <v>Ingrédient : thé vert* du Japon. *Issu de l'agriculture biologique.</v>
          </cell>
          <cell r="AA427" t="str">
            <v>/</v>
          </cell>
          <cell r="AB427" t="str">
            <v>/</v>
          </cell>
          <cell r="AC427">
            <v>100</v>
          </cell>
          <cell r="AD427"/>
          <cell r="AE427"/>
          <cell r="AF427">
            <v>2</v>
          </cell>
          <cell r="AG427">
            <v>50</v>
          </cell>
          <cell r="AH427">
            <v>3582814122026</v>
          </cell>
          <cell r="AI427" t="str">
            <v>/</v>
          </cell>
          <cell r="AJ427" t="str">
            <v>ETVN2202</v>
          </cell>
          <cell r="AK427" t="str">
            <v>ETVN2202V5</v>
          </cell>
          <cell r="AL427" t="str">
            <v>ETCN2202V5</v>
          </cell>
          <cell r="AM427" t="str">
            <v>Aiya</v>
          </cell>
        </row>
        <row r="428">
          <cell r="A428" t="str">
            <v>TJ2206</v>
          </cell>
          <cell r="B428"/>
          <cell r="C428" t="str">
            <v>X</v>
          </cell>
          <cell r="D428"/>
          <cell r="E428"/>
          <cell r="F428"/>
          <cell r="G428"/>
          <cell r="H428" t="str">
            <v>LES GRANDS CLASSIQUES</v>
          </cell>
          <cell r="I428" t="str">
            <v>Matcha</v>
          </cell>
          <cell r="J428" t="str">
            <v>Matcha pour la cuisine</v>
          </cell>
          <cell r="K428" t="str">
            <v>Prémium</v>
          </cell>
          <cell r="L428" t="str">
            <v>Matcha</v>
          </cell>
          <cell r="M428" t="str">
            <v>Japon - Kagoshima</v>
          </cell>
          <cell r="N428" t="str">
            <v>AB</v>
          </cell>
          <cell r="O428" t="str">
            <v>/</v>
          </cell>
          <cell r="P428" t="str">
            <v>/</v>
          </cell>
          <cell r="Q428" t="str">
            <v>/</v>
          </cell>
          <cell r="R428" t="str">
            <v>/</v>
          </cell>
          <cell r="S428" t="str">
            <v>/</v>
          </cell>
          <cell r="T428" t="str">
            <v>Agriculture Japon</v>
          </cell>
          <cell r="U428"/>
          <cell r="V428" t="str">
            <v>Ce matcha est tout particulièrement élaboré pour la cuisine : son goût intense de thé vert et sa couleur vert émeraude éclatante en font un ingrédient idéal pour apporter à vos plats, desserts et cocktails un arôme riche et un goût frais…</v>
          </cell>
          <cell r="W428" t="str">
            <v>S15</v>
          </cell>
          <cell r="X428" t="str">
            <v>Ce matcha idéal en cuisine est une excellente porte d’entrée à l’univers du thé en poudre japonais.  Ses accents herbacés et légèrement sucrés et sa belle couleur vert émeraude en font un ingrédient parfait pour apporter un soupçon d’originalité et de couleur à vos plats, desserts et cocktails.</v>
          </cell>
          <cell r="Y428"/>
          <cell r="Z428" t="str">
            <v>Ingrédient : thé vert* du Japon. *Issu de l'agriculture biologique.</v>
          </cell>
          <cell r="AA428" t="str">
            <v>/</v>
          </cell>
          <cell r="AB428" t="str">
            <v>/</v>
          </cell>
          <cell r="AC428">
            <v>50</v>
          </cell>
          <cell r="AD428"/>
          <cell r="AE428"/>
          <cell r="AF428">
            <v>2</v>
          </cell>
          <cell r="AG428">
            <v>25</v>
          </cell>
          <cell r="AH428">
            <v>3582814122064</v>
          </cell>
          <cell r="AI428" t="str">
            <v>/</v>
          </cell>
          <cell r="AJ428" t="str">
            <v>ETVN2202</v>
          </cell>
          <cell r="AK428" t="str">
            <v>ETVN2202V5</v>
          </cell>
          <cell r="AL428" t="str">
            <v>ETCN2206V5</v>
          </cell>
          <cell r="AM428" t="str">
            <v>Aiya</v>
          </cell>
        </row>
        <row r="429">
          <cell r="A429" t="str">
            <v>TJ0876</v>
          </cell>
          <cell r="B429"/>
          <cell r="C429"/>
          <cell r="D429"/>
          <cell r="E429"/>
          <cell r="F429"/>
          <cell r="G429"/>
          <cell r="H429" t="str">
            <v>LES GRAND CRUS</v>
          </cell>
          <cell r="I429" t="str">
            <v>Matcha</v>
          </cell>
          <cell r="J429" t="str">
            <v>Matcha Premium</v>
          </cell>
          <cell r="K429" t="str">
            <v>抹茶</v>
          </cell>
          <cell r="L429" t="str">
            <v>Matcha</v>
          </cell>
          <cell r="M429" t="str">
            <v>Japon - Kagoshima</v>
          </cell>
          <cell r="N429" t="str">
            <v>AB</v>
          </cell>
          <cell r="O429" t="str">
            <v>/</v>
          </cell>
          <cell r="P429" t="str">
            <v>/</v>
          </cell>
          <cell r="Q429" t="str">
            <v>/</v>
          </cell>
          <cell r="R429" t="str">
            <v>/</v>
          </cell>
          <cell r="S429" t="str">
            <v>/</v>
          </cell>
          <cell r="T429" t="str">
            <v>Agriculture Japon</v>
          </cell>
          <cell r="U429"/>
          <cell r="V429" t="str">
            <v>Un matcha de qualité prémium aux notes lactées et de fève de cacao particulièrement soyeuses !</v>
          </cell>
          <cell r="W429" t="str">
            <v>S24</v>
          </cell>
          <cell r="X429" t="str">
            <v xml:space="preserve">Ce matcha de qualité premium a été produit de manière traditionnelle à partir de feuilles de tencha (thé brut ombré) dans la région de Kagoshima au sud du Japon. Il offre une mousse soyeuse, d’un vert lumineux, aux notes lactées et de fève de cacao particulièrement gourmandes. </v>
          </cell>
          <cell r="Y429"/>
          <cell r="Z429" t="str">
            <v>Ingrédient : thé vert* du Japon. *Issu de l'agriculture biologique.</v>
          </cell>
          <cell r="AA429" t="str">
            <v>/</v>
          </cell>
          <cell r="AB429" t="str">
            <v>/</v>
          </cell>
          <cell r="AC429">
            <v>30</v>
          </cell>
          <cell r="AD429" t="str">
            <v>Thé battu</v>
          </cell>
          <cell r="AE429">
            <v>60</v>
          </cell>
          <cell r="AF429">
            <v>2</v>
          </cell>
          <cell r="AG429">
            <v>15</v>
          </cell>
          <cell r="AH429">
            <v>3582814108761</v>
          </cell>
          <cell r="AI429" t="str">
            <v>/</v>
          </cell>
          <cell r="AJ429" t="str">
            <v>ETTUTJ0876</v>
          </cell>
          <cell r="AK429" t="str">
            <v>ETTUTJ0876V5</v>
          </cell>
          <cell r="AL429" t="str">
            <v>/</v>
          </cell>
          <cell r="AM429" t="str">
            <v>Aiya en private label</v>
          </cell>
        </row>
        <row r="430">
          <cell r="A430" t="str">
            <v>TJ9051</v>
          </cell>
          <cell r="B430"/>
          <cell r="C430" t="str">
            <v>X</v>
          </cell>
          <cell r="D430"/>
          <cell r="E430"/>
          <cell r="F430"/>
          <cell r="G430"/>
          <cell r="H430" t="str">
            <v>LES GRANDS CLASSIQUES</v>
          </cell>
          <cell r="I430" t="str">
            <v>Matcha</v>
          </cell>
          <cell r="J430" t="str">
            <v>Matcha Tradition</v>
          </cell>
          <cell r="K430" t="str">
            <v>抹茶</v>
          </cell>
          <cell r="L430" t="str">
            <v>Matcha</v>
          </cell>
          <cell r="M430" t="str">
            <v>Japon - Kagoshima</v>
          </cell>
          <cell r="N430" t="str">
            <v>AB</v>
          </cell>
          <cell r="O430" t="str">
            <v>/</v>
          </cell>
          <cell r="P430" t="str">
            <v>/</v>
          </cell>
          <cell r="Q430" t="str">
            <v>/</v>
          </cell>
          <cell r="R430" t="str">
            <v>/</v>
          </cell>
          <cell r="S430" t="str">
            <v>/</v>
          </cell>
          <cell r="T430" t="str">
            <v>Agriculture Japon</v>
          </cell>
          <cell r="U430"/>
          <cell r="V430" t="str">
            <v>Un matcha unique, frais, énergisant et aromatique. Idéal pour découvrir la voie du thé !</v>
          </cell>
          <cell r="W430" t="str">
            <v>S15</v>
          </cell>
          <cell r="X430" t="str">
            <v>Ce véritable matcha japonais produit de manière traditionnelle à partir de feuilles de thés ombrées « tencha » est une excellente introduction aux matcha de qualité supérieure. Sa poudre fine et régulière permet d’obtenir une liqueur onctueuse, fraîche et savoureuse aux notes herbacées typiques.</v>
          </cell>
          <cell r="Y430"/>
          <cell r="Z430" t="str">
            <v>Ingrédient : thé vert* du Japon. *Issu de l'agriculture biologique.</v>
          </cell>
          <cell r="AA430" t="str">
            <v>/</v>
          </cell>
          <cell r="AB430" t="str">
            <v>/</v>
          </cell>
          <cell r="AC430">
            <v>30</v>
          </cell>
          <cell r="AD430" t="str">
            <v>Thé battu</v>
          </cell>
          <cell r="AE430">
            <v>75</v>
          </cell>
          <cell r="AF430">
            <v>2</v>
          </cell>
          <cell r="AG430">
            <v>15</v>
          </cell>
          <cell r="AH430">
            <v>3582814190513</v>
          </cell>
          <cell r="AI430" t="str">
            <v>/</v>
          </cell>
          <cell r="AJ430" t="str">
            <v>ETTJ9056</v>
          </cell>
          <cell r="AK430" t="str">
            <v>ETTJ9056V5</v>
          </cell>
          <cell r="AL430" t="str">
            <v>/</v>
          </cell>
          <cell r="AM430" t="str">
            <v>The Kagoshima Tea Market</v>
          </cell>
        </row>
        <row r="431">
          <cell r="A431" t="str">
            <v>MT2621</v>
          </cell>
          <cell r="B431"/>
          <cell r="C431"/>
          <cell r="D431"/>
          <cell r="E431"/>
          <cell r="F431"/>
          <cell r="G431"/>
          <cell r="H431" t="str">
            <v>LES BIENFAITRICES</v>
          </cell>
          <cell r="I431" t="str">
            <v>LES INFUSIONS DE PLANTES</v>
          </cell>
          <cell r="J431" t="str">
            <v>Maté aux épices</v>
          </cell>
          <cell r="K431" t="str">
            <v>Digestion</v>
          </cell>
          <cell r="L431" t="str">
            <v>Infusion parfumée</v>
          </cell>
          <cell r="M431" t="str">
            <v>Brésil</v>
          </cell>
          <cell r="N431" t="str">
            <v>AB</v>
          </cell>
          <cell r="O431" t="str">
            <v>WFTO</v>
          </cell>
          <cell r="P431" t="str">
            <v>/</v>
          </cell>
          <cell r="Q431" t="str">
            <v>/</v>
          </cell>
          <cell r="R431" t="str">
            <v>/</v>
          </cell>
          <cell r="S431" t="str">
            <v>/</v>
          </cell>
          <cell r="T431" t="str">
            <v>Agriculture UE/non UE</v>
          </cell>
          <cell r="U431"/>
          <cell r="V431" t="str">
            <v>Cette infusion à base de maté, de menthe et d'épices aux douces notes anisées offre une boisson particulièrement originale et fraîche. Stimulante, digeste et drainante, elle permet de contrôler facilement son poids tout en gardant son tonus au cours de la journée.</v>
          </cell>
          <cell r="W431" t="str">
            <v>S11</v>
          </cell>
          <cell r="X431" t="str">
            <v>Cette infusion à base de maté, de menthe et d'épices aux douces notes anisées offre une boisson particulièrement originale et fraîche. Stimulante, digeste et drainante, elle permet de contrôler facilement son poids tout en gardant son tonus au cours de la journée.</v>
          </cell>
          <cell r="Y431"/>
          <cell r="Z431" t="str">
            <v>Ingrédients : maté vert* (Ilex paraguariensis), épices (carvi*, fenouil*, anis*, menthe poivrée*, coriandre*) 48%. *Issu de l'agriculture biologique.</v>
          </cell>
          <cell r="AA431"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431" t="str">
            <v>Membre certifié World Fair Trade Organization, Les Jardins de Gaïa s’engagent pour un commerce plus juste et répondent aux exigences du commerce équitable. Pour en savoir plus : www.wfto.com.</v>
          </cell>
          <cell r="AC431">
            <v>1.5</v>
          </cell>
          <cell r="AD431" t="str">
            <v>5</v>
          </cell>
          <cell r="AE431">
            <v>95</v>
          </cell>
          <cell r="AF431">
            <v>2</v>
          </cell>
          <cell r="AG431">
            <v>750</v>
          </cell>
          <cell r="AH431">
            <v>3582811326212</v>
          </cell>
          <cell r="AI431" t="str">
            <v>/</v>
          </cell>
          <cell r="AJ431" t="str">
            <v>INTERNE</v>
          </cell>
          <cell r="AK431" t="str">
            <v>INTERNE</v>
          </cell>
          <cell r="AL431" t="str">
            <v>/</v>
          </cell>
          <cell r="AM431" t="str">
            <v>Création maison</v>
          </cell>
        </row>
        <row r="432">
          <cell r="A432" t="str">
            <v>MT2622</v>
          </cell>
          <cell r="B432"/>
          <cell r="C432" t="str">
            <v>X PETITE ETIQUETTE FORMAT GRAND CLASSIQUE + CONTRE ETIQUETTE</v>
          </cell>
          <cell r="D432" t="str">
            <v>X</v>
          </cell>
          <cell r="E432" t="str">
            <v>x</v>
          </cell>
          <cell r="F432" t="str">
            <v>GRAI</v>
          </cell>
          <cell r="G432">
            <v>45408</v>
          </cell>
          <cell r="H432" t="str">
            <v>LES BIENFAITRICES</v>
          </cell>
          <cell r="I432" t="str">
            <v>LES INFUSIONS DE PLANTES</v>
          </cell>
          <cell r="J432" t="str">
            <v>Maté aux épices</v>
          </cell>
          <cell r="K432" t="str">
            <v>Digestion</v>
          </cell>
          <cell r="L432" t="str">
            <v>Infusion parfumée</v>
          </cell>
          <cell r="M432" t="str">
            <v>Brésil</v>
          </cell>
          <cell r="N432" t="str">
            <v>AB</v>
          </cell>
          <cell r="O432" t="str">
            <v>WFTO</v>
          </cell>
          <cell r="P432" t="str">
            <v>/</v>
          </cell>
          <cell r="Q432" t="str">
            <v>/</v>
          </cell>
          <cell r="R432" t="str">
            <v>/</v>
          </cell>
          <cell r="S432" t="str">
            <v>/</v>
          </cell>
          <cell r="T432" t="str">
            <v>Agriculture UE/non UE</v>
          </cell>
          <cell r="U432"/>
          <cell r="V432" t="str">
            <v>Cette infusion à base de maté, de menthe et d'épices aux douces notes anisées offre une boisson particulièrement originale et fraîche. Stimulante, digeste et drainante, elle permet de contrôler facilement son poids tout en gardant son tonus au cours de la journée.</v>
          </cell>
          <cell r="W432" t="str">
            <v>S11</v>
          </cell>
          <cell r="X432" t="str">
            <v>Cette infusion à base de maté, de menthe et d'épices aux douces notes anisées offre une boisson particulièrement originale et fraîche. Stimulante, digeste et drainante, elle permet de contrôler facilement son poids tout en gardant son tonus au cours de la journée.</v>
          </cell>
          <cell r="Y432"/>
          <cell r="Z432" t="str">
            <v>Ingrédients : maté vert* (Ilex paraguariensis), épices (carvi*, fenouil*, anis*, menthe poivrée*, coriandre*) 48%. *Issu de l'agriculture biologique.</v>
          </cell>
          <cell r="AA432"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432" t="str">
            <v>Membre certifié World Fair Trade Organization, Les Jardins de Gaïa s’engagent pour un commerce plus juste et répondent aux exigences du commerce équitable. Pour en savoir plus : www.wfto.com.</v>
          </cell>
          <cell r="AC432">
            <v>100</v>
          </cell>
          <cell r="AD432" t="str">
            <v>5</v>
          </cell>
          <cell r="AE432">
            <v>95</v>
          </cell>
          <cell r="AF432">
            <v>2</v>
          </cell>
          <cell r="AG432">
            <v>50</v>
          </cell>
          <cell r="AH432">
            <v>3582811326229</v>
          </cell>
          <cell r="AI432" t="str">
            <v>/</v>
          </cell>
          <cell r="AJ432" t="str">
            <v>ETMT262</v>
          </cell>
          <cell r="AK432" t="str">
            <v>ETMT262V5</v>
          </cell>
          <cell r="AL432" t="str">
            <v>ETCMT2622V5</v>
          </cell>
          <cell r="AM432" t="str">
            <v>Création maison</v>
          </cell>
        </row>
        <row r="433">
          <cell r="A433" t="str">
            <v>MT3021</v>
          </cell>
          <cell r="B433"/>
          <cell r="C433"/>
          <cell r="D433"/>
          <cell r="E433"/>
          <cell r="F433"/>
          <cell r="G433"/>
          <cell r="H433" t="str">
            <v>LES BIENFAITRICES</v>
          </cell>
          <cell r="I433" t="str">
            <v>LES INFUSIONS DE PLANTES</v>
          </cell>
          <cell r="J433" t="str">
            <v>Maté Digest</v>
          </cell>
          <cell r="K433" t="str">
            <v>Digestion
Menthe</v>
          </cell>
          <cell r="L433" t="str">
            <v>Infusion parfumée</v>
          </cell>
          <cell r="M433" t="str">
            <v>Brésil</v>
          </cell>
          <cell r="N433" t="str">
            <v>AB</v>
          </cell>
          <cell r="O433" t="str">
            <v>WFTO</v>
          </cell>
          <cell r="P433" t="str">
            <v>/</v>
          </cell>
          <cell r="Q433" t="str">
            <v>/</v>
          </cell>
          <cell r="R433" t="str">
            <v>/</v>
          </cell>
          <cell r="S433" t="str">
            <v>/</v>
          </cell>
          <cell r="T433" t="str">
            <v>Agriculture UE/non UE</v>
          </cell>
          <cell r="U433"/>
          <cell r="V433" t="str">
            <v>L'alliance de menthe et de réglisse apporte à la plus populaire boisson sud-américaine un zeste de fraîcheur et de rondeur. Les vertus digestives de la menthe et drainantes du maté sont particulièrement bienvenues en fin de repas. À savourer chaude ou glacée.</v>
          </cell>
          <cell r="W433" t="str">
            <v>S11</v>
          </cell>
          <cell r="X433" t="str">
            <v>Dans cette tisane digestive, l'alliance de menthe et de réglisse apporte à la plus populaire boisson sud-américaine un zeste de fraîcheur et de rondeur. Les vertus digestives de la menthe et drainantes du maté sont particulièrement bienvenues en fin de repas. À savourer chaude ou glacée.</v>
          </cell>
          <cell r="Y433"/>
          <cell r="Z433" t="str">
            <v>Ingrédients : maté vert* (Ilex paraguariensis), menthe* 18%, réglisse* 15%. *Issu de l'agriculture biologique. Contient de la réglisse, les personnes souffrant d'hypertension doivent éviter toute consommation excessive.</v>
          </cell>
          <cell r="AA433"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433" t="str">
            <v>Membre certifié World Fair Trade Organization, Les Jardins de Gaïa s’engagent pour un commerce plus juste et répondent aux exigences du commerce équitable. Pour en savoir plus : www.wfto.com.</v>
          </cell>
          <cell r="AC433">
            <v>1.5</v>
          </cell>
          <cell r="AD433" t="str">
            <v>5</v>
          </cell>
          <cell r="AE433">
            <v>95</v>
          </cell>
          <cell r="AF433">
            <v>2</v>
          </cell>
          <cell r="AG433">
            <v>750</v>
          </cell>
          <cell r="AH433">
            <v>3582811030218</v>
          </cell>
          <cell r="AI433" t="str">
            <v>/</v>
          </cell>
          <cell r="AJ433" t="str">
            <v>INTERNE</v>
          </cell>
          <cell r="AK433" t="str">
            <v>INTERNE</v>
          </cell>
          <cell r="AL433" t="str">
            <v>/</v>
          </cell>
          <cell r="AM433" t="str">
            <v>Création maison</v>
          </cell>
        </row>
        <row r="434">
          <cell r="A434" t="str">
            <v>MT3022</v>
          </cell>
          <cell r="B434"/>
          <cell r="C434" t="str">
            <v>X PETITE ETIQUETTE FORMAT GRAND CLASSIQUE + CONTRE ETIQUETTE</v>
          </cell>
          <cell r="D434" t="str">
            <v>X</v>
          </cell>
          <cell r="E434" t="str">
            <v>x</v>
          </cell>
          <cell r="F434" t="str">
            <v>GRAI</v>
          </cell>
          <cell r="G434">
            <v>45408</v>
          </cell>
          <cell r="H434" t="str">
            <v>LES BIENFAITRICES</v>
          </cell>
          <cell r="I434" t="str">
            <v>LES INFUSIONS DE PLANTES</v>
          </cell>
          <cell r="J434" t="str">
            <v>Maté Digest</v>
          </cell>
          <cell r="K434" t="str">
            <v>Digestion
Menthe</v>
          </cell>
          <cell r="L434" t="str">
            <v>Infusion parfumée</v>
          </cell>
          <cell r="M434" t="str">
            <v>Brésil</v>
          </cell>
          <cell r="N434" t="str">
            <v>AB</v>
          </cell>
          <cell r="O434" t="str">
            <v>WFTO</v>
          </cell>
          <cell r="P434" t="str">
            <v>/</v>
          </cell>
          <cell r="Q434" t="str">
            <v>/</v>
          </cell>
          <cell r="R434" t="str">
            <v>/</v>
          </cell>
          <cell r="S434" t="str">
            <v>/</v>
          </cell>
          <cell r="T434" t="str">
            <v>Agriculture UE/non UE</v>
          </cell>
          <cell r="U434"/>
          <cell r="V434" t="str">
            <v>L'alliance de menthe et de réglisse apporte à la plus populaire boisson sud-américaine un zeste de fraîcheur et de rondeur. Les vertus digestives de la menthe et drainantes du maté sont particulièrement bienvenues en fin de repas. À savourer chaude ou glacée.</v>
          </cell>
          <cell r="W434" t="str">
            <v>S11</v>
          </cell>
          <cell r="X434" t="str">
            <v>Dans cette tisane digestive, l'alliance de menthe et de réglisse apporte à la plus populaire boisson sud-américaine un zeste de fraîcheur et de rondeur. Les vertus digestives de la menthe et drainantes du maté sont particulièrement bienvenues en fin de repas. À savourer chaude ou glacée.</v>
          </cell>
          <cell r="Y434"/>
          <cell r="Z434" t="str">
            <v>Ingrédients : maté vert* (Ilex paraguariensis), menthe* 18%, réglisse* 15%. *Issu de l'agriculture biologique. Contient de la réglisse, les personnes souffrant d'hypertension doivent éviter toute consommation excessive.</v>
          </cell>
          <cell r="AA434"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434" t="str">
            <v>Membre certifié World Fair Trade Organization, Les Jardins de Gaïa s’engagent pour un commerce plus juste et répondent aux exigences du commerce équitable. Pour en savoir plus : www.wfto.com.</v>
          </cell>
          <cell r="AC434">
            <v>100</v>
          </cell>
          <cell r="AD434" t="str">
            <v>5</v>
          </cell>
          <cell r="AE434">
            <v>95</v>
          </cell>
          <cell r="AF434">
            <v>2</v>
          </cell>
          <cell r="AG434">
            <v>50</v>
          </cell>
          <cell r="AH434">
            <v>3582811030225</v>
          </cell>
          <cell r="AI434" t="str">
            <v>/</v>
          </cell>
          <cell r="AJ434" t="str">
            <v>ETMT302</v>
          </cell>
          <cell r="AK434" t="str">
            <v>ETMT302V5</v>
          </cell>
          <cell r="AL434" t="str">
            <v>ETCMT3022V5</v>
          </cell>
          <cell r="AM434" t="str">
            <v>Création maison</v>
          </cell>
        </row>
        <row r="435">
          <cell r="A435" t="str">
            <v>MT2631</v>
          </cell>
          <cell r="B435"/>
          <cell r="C435"/>
          <cell r="D435"/>
          <cell r="E435"/>
          <cell r="F435"/>
          <cell r="G435"/>
          <cell r="H435" t="str">
            <v>LES BIENFAITRICES</v>
          </cell>
          <cell r="I435" t="str">
            <v>LES INFUSIONS DE PLANTES</v>
          </cell>
          <cell r="J435" t="str">
            <v>Maté fruité</v>
          </cell>
          <cell r="K435" t="str">
            <v>Stimulant &amp; Drainant
Saveur agrumes</v>
          </cell>
          <cell r="L435" t="str">
            <v>Infusion aromatisée</v>
          </cell>
          <cell r="M435" t="str">
            <v>Brésil</v>
          </cell>
          <cell r="N435" t="str">
            <v>AB</v>
          </cell>
          <cell r="O435" t="str">
            <v>WFTO</v>
          </cell>
          <cell r="P435" t="str">
            <v>/</v>
          </cell>
          <cell r="Q435" t="str">
            <v>/</v>
          </cell>
          <cell r="R435" t="str">
            <v>/</v>
          </cell>
          <cell r="S435" t="str">
            <v>/</v>
          </cell>
          <cell r="T435" t="str">
            <v>Agriculture UE/non UE</v>
          </cell>
          <cell r="U435"/>
          <cell r="V435" t="str">
            <v>L'alliance des notes fraîches et herbacées du maté avec les saveurs acidulées d'un "panier de fruits" est particulièrement intense et gourmande. Cette boisson tonique et drainante est la promesse de moments savoureux tout en éloignant fatigue et kilos superflus…</v>
          </cell>
          <cell r="W435" t="str">
            <v>S11</v>
          </cell>
          <cell r="X435" t="str">
            <v>L'alliance des notes fraîches et herbacées du maté avec les saveurs acidulées d'un "panier de fruits" offre une infusion particulièrement intense et gourmande. Cette boisson tonique et drainante est la promesse de moments savoureux tout en éloignant fatigue et kilos superflus…</v>
          </cell>
          <cell r="Y435"/>
          <cell r="Z435" t="str">
            <v>Ingrédients : maté vert* (Ilex paraguariensis) 76%, morceaux de pomme*, écorces d’orange* 5%, écorce d’églantine*, huiles essentielles d'agrumes (citron*, orange douce*, mandarine*) 5%. * Issu de l’agriculture biologique.</v>
          </cell>
          <cell r="AA435" t="str">
            <v>Consommation journalière conseillée : 4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435" t="str">
            <v>Membre certifié World Fair Trade Organization, Les Jardins de Gaïa s’engagent pour un commerce plus juste et répondent aux exigences du commerce équitable. Pour en savoir plus : www.wfto.com.</v>
          </cell>
          <cell r="AC435">
            <v>1.5</v>
          </cell>
          <cell r="AD435" t="str">
            <v>5</v>
          </cell>
          <cell r="AE435">
            <v>95</v>
          </cell>
          <cell r="AF435">
            <v>2</v>
          </cell>
          <cell r="AG435">
            <v>750</v>
          </cell>
          <cell r="AH435">
            <v>3582811026310</v>
          </cell>
          <cell r="AI435" t="str">
            <v>/</v>
          </cell>
          <cell r="AJ435" t="str">
            <v>INTERNE</v>
          </cell>
          <cell r="AK435" t="str">
            <v>INTERNE</v>
          </cell>
          <cell r="AL435" t="str">
            <v>/</v>
          </cell>
          <cell r="AM435" t="str">
            <v>Création maison</v>
          </cell>
        </row>
        <row r="436">
          <cell r="A436" t="str">
            <v>MT2632</v>
          </cell>
          <cell r="B436"/>
          <cell r="C436" t="str">
            <v>X PETITE ETIQUETTE FORMAT GRAND CLASSIQUE + CONTRE ETIQUETTE</v>
          </cell>
          <cell r="D436" t="str">
            <v>X</v>
          </cell>
          <cell r="E436" t="str">
            <v>x</v>
          </cell>
          <cell r="F436" t="str">
            <v>GRAI</v>
          </cell>
          <cell r="G436">
            <v>45408</v>
          </cell>
          <cell r="H436" t="str">
            <v>LES BIENFAITRICES</v>
          </cell>
          <cell r="I436" t="str">
            <v>LES INFUSIONS DE PLANTES</v>
          </cell>
          <cell r="J436" t="str">
            <v>Maté fruité</v>
          </cell>
          <cell r="K436" t="str">
            <v>Stimulant &amp; Drainant
Saveur agrumes</v>
          </cell>
          <cell r="L436" t="str">
            <v>Infusion aromatisée</v>
          </cell>
          <cell r="M436" t="str">
            <v>Brésil</v>
          </cell>
          <cell r="N436" t="str">
            <v>AB</v>
          </cell>
          <cell r="O436" t="str">
            <v>WFTO</v>
          </cell>
          <cell r="P436" t="str">
            <v>/</v>
          </cell>
          <cell r="Q436" t="str">
            <v>/</v>
          </cell>
          <cell r="R436" t="str">
            <v>/</v>
          </cell>
          <cell r="S436" t="str">
            <v>/</v>
          </cell>
          <cell r="T436" t="str">
            <v>Agriculture UE/non UE</v>
          </cell>
          <cell r="U436"/>
          <cell r="V436" t="str">
            <v>L'alliance des notes fraîches et herbacées du maté avec les saveurs acidulées d'un "panier de fruits" est particulièrement intense et gourmande. Cette boisson tonique et drainante est la promesse de moments savoureux tout en éloignant fatigue et kilos superflus…</v>
          </cell>
          <cell r="W436" t="str">
            <v>S11</v>
          </cell>
          <cell r="X436" t="str">
            <v>L'alliance des notes fraîches et herbacées du maté avec les saveurs acidulées d'un "panier de fruits" offre une infusion particulièrement intense et gourmande. Cette boisson tonique et drainante est la promesse de moments savoureux tout en éloignant fatigue et kilos superflus…</v>
          </cell>
          <cell r="Y436"/>
          <cell r="Z436" t="str">
            <v>Ingrédients : maté vert* (Ilex paraguariensis) 76%, morceaux de pomme*, écorces d’orange* 5%, écorce d’églantine*, huiles essentielles d'agrumes (citron*, orange douce*, mandarine*) 5%. * Issu de l’agriculture biologique.</v>
          </cell>
          <cell r="AA436" t="str">
            <v>Consommation journalière conseillée : 4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436" t="str">
            <v>Membre certifié World Fair Trade Organization, Les Jardins de Gaïa s’engagent pour un commerce plus juste et répondent aux exigences du commerce équitable. Pour en savoir plus : www.wfto.com.</v>
          </cell>
          <cell r="AC436">
            <v>100</v>
          </cell>
          <cell r="AD436" t="str">
            <v>5</v>
          </cell>
          <cell r="AE436">
            <v>95</v>
          </cell>
          <cell r="AF436">
            <v>2</v>
          </cell>
          <cell r="AG436">
            <v>50</v>
          </cell>
          <cell r="AH436">
            <v>3582811026327</v>
          </cell>
          <cell r="AI436" t="str">
            <v>/</v>
          </cell>
          <cell r="AJ436" t="str">
            <v>ETMT263</v>
          </cell>
          <cell r="AK436" t="str">
            <v>ETMT263V5</v>
          </cell>
          <cell r="AL436" t="str">
            <v>ETCMT2632V5</v>
          </cell>
          <cell r="AM436" t="str">
            <v>Création maison</v>
          </cell>
        </row>
        <row r="437">
          <cell r="A437" t="str">
            <v>MT2641</v>
          </cell>
          <cell r="B437"/>
          <cell r="C437"/>
          <cell r="D437"/>
          <cell r="E437"/>
          <cell r="F437"/>
          <cell r="G437"/>
          <cell r="H437" t="str">
            <v>LES BIENFAITRICES</v>
          </cell>
          <cell r="I437" t="str">
            <v>LES INFUSIONS DE PLANTES</v>
          </cell>
          <cell r="J437" t="str">
            <v>Maté fruits rouges</v>
          </cell>
          <cell r="K437" t="str">
            <v>Stimulant &amp; Drainant 
Fraise - Framboise - Saveur myrtille</v>
          </cell>
          <cell r="L437" t="str">
            <v>Infusion aromatisée</v>
          </cell>
          <cell r="M437" t="str">
            <v>Brésil</v>
          </cell>
          <cell r="N437" t="str">
            <v>AB</v>
          </cell>
          <cell r="O437" t="str">
            <v>WFTO</v>
          </cell>
          <cell r="P437" t="str">
            <v>/</v>
          </cell>
          <cell r="Q437" t="str">
            <v>/</v>
          </cell>
          <cell r="R437" t="str">
            <v>/</v>
          </cell>
          <cell r="S437" t="str">
            <v>/</v>
          </cell>
          <cell r="T437" t="str">
            <v>Agriculture UE/non UE</v>
          </cell>
          <cell r="U437"/>
          <cell r="V437" t="str">
            <v>Le mariage gourmand des saveurs herbacées et légèrement amères du maté avec celles d'une "corbeille" des fruits rouges offre une infusion fraîche et fruitée. Tonique et drainante, cette boisson est idéale pour éloigner la fatigue tout en gardant la ligne. À déguster chaude ou glacée.</v>
          </cell>
          <cell r="W437" t="str">
            <v>S11</v>
          </cell>
          <cell r="X437" t="str">
            <v>Le mariage gourmand des saveurs herbacées et légèrement amères du maté avec celles d'une "corbeille" de fruits rouges font le charme de cette infusion fraîche et fruitée. Tonique et drainante, elle est idéale pour éloigner la fatigue tout en gardant la ligne. À déguster chaude ou glacée.</v>
          </cell>
          <cell r="Y437"/>
          <cell r="Z437" t="str">
            <v>Ingrédients : maté vert* (Ilex paraguariensis) 87%, arômes naturels de (framboise* 3%, cassis*, myrtille* 2%, fraise* 1%, mûre*), morceaux de fruits (fraise*, framboise*) 2%, aronia*, pétales d'amarante*. *Issu de l'agriculture biologique.</v>
          </cell>
          <cell r="AA437"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437" t="str">
            <v>Membre certifié World Fair Trade Organization, Les Jardins de Gaïa s’engagent pour un commerce plus juste et répondent aux exigences du commerce équitable. Pour en savoir plus : www.wfto.com.</v>
          </cell>
          <cell r="AC437">
            <v>1.5</v>
          </cell>
          <cell r="AD437" t="str">
            <v>5</v>
          </cell>
          <cell r="AE437">
            <v>95</v>
          </cell>
          <cell r="AF437">
            <v>2</v>
          </cell>
          <cell r="AG437">
            <v>750</v>
          </cell>
          <cell r="AH437">
            <v>3582811026419</v>
          </cell>
          <cell r="AI437" t="str">
            <v>/</v>
          </cell>
          <cell r="AJ437" t="str">
            <v>INTERNE</v>
          </cell>
          <cell r="AK437" t="str">
            <v>INTERNE</v>
          </cell>
          <cell r="AL437" t="str">
            <v>/</v>
          </cell>
          <cell r="AM437" t="str">
            <v>Création maison</v>
          </cell>
        </row>
        <row r="438">
          <cell r="A438" t="str">
            <v>MT2642</v>
          </cell>
          <cell r="B438"/>
          <cell r="C438" t="str">
            <v>X PETITE ETIQUETTE FORMAT GRAND CLASSIQUE + CONTRE ETIQUETTE</v>
          </cell>
          <cell r="D438" t="str">
            <v>X</v>
          </cell>
          <cell r="E438" t="str">
            <v>x</v>
          </cell>
          <cell r="F438" t="str">
            <v>GRAI</v>
          </cell>
          <cell r="G438">
            <v>45408</v>
          </cell>
          <cell r="H438" t="str">
            <v>LES BIENFAITRICES</v>
          </cell>
          <cell r="I438" t="str">
            <v>LES INFUSIONS DE PLANTES</v>
          </cell>
          <cell r="J438" t="str">
            <v>Maté fruits rouges</v>
          </cell>
          <cell r="K438" t="str">
            <v>Stimulant &amp; Drainant 
Fraise - Framboise - Saveur myrtille</v>
          </cell>
          <cell r="L438" t="str">
            <v>Infusion aromatisée</v>
          </cell>
          <cell r="M438" t="str">
            <v>Brésil</v>
          </cell>
          <cell r="N438" t="str">
            <v>AB</v>
          </cell>
          <cell r="O438" t="str">
            <v>WFTO</v>
          </cell>
          <cell r="P438" t="str">
            <v>/</v>
          </cell>
          <cell r="Q438" t="str">
            <v>/</v>
          </cell>
          <cell r="R438" t="str">
            <v>/</v>
          </cell>
          <cell r="S438" t="str">
            <v>/</v>
          </cell>
          <cell r="T438" t="str">
            <v>Agriculture UE/non UE</v>
          </cell>
          <cell r="U438"/>
          <cell r="V438" t="str">
            <v>Le mariage gourmand des saveurs herbacées et légèrement amères du maté avec celles d'une "corbeille" des fruits rouges offre une infusion fraîche et fruitée. Tonique et drainante, cette boisson est idéale pour éloigner la fatigue tout en gardant la ligne. À déguster chaude ou glacée.</v>
          </cell>
          <cell r="W438" t="str">
            <v>S11</v>
          </cell>
          <cell r="X438" t="str">
            <v>Le mariage gourmand des saveurs herbacées et légèrement amères du maté avec celles d'une "corbeille" de fruits rouges font le charme de cette infusion fraîche et fruitée. Tonique et drainante, elle est idéale pour éloigner la fatigue tout en gardant la ligne. À déguster chaude ou glacée.</v>
          </cell>
          <cell r="Y438"/>
          <cell r="Z438" t="str">
            <v>Ingrédients : maté vert* (Ilex paraguariensis) 87%, arômes naturels de (framboise* 3%, cassis*, myrtille* 2%, fraise* 1%, mûre*), morceaux de fruits (fraise*, framboise*) 2%, aronia*, pétales d'amarante*. *Issu de l'agriculture biologique.</v>
          </cell>
          <cell r="AA438"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438" t="str">
            <v>Membre certifié World Fair Trade Organization, Les Jardins de Gaïa s’engagent pour un commerce plus juste et répondent aux exigences du commerce équitable. Pour en savoir plus : www.wfto.com.</v>
          </cell>
          <cell r="AC438">
            <v>100</v>
          </cell>
          <cell r="AD438" t="str">
            <v>5</v>
          </cell>
          <cell r="AE438">
            <v>95</v>
          </cell>
          <cell r="AF438">
            <v>2</v>
          </cell>
          <cell r="AG438">
            <v>50</v>
          </cell>
          <cell r="AH438">
            <v>3582811026426</v>
          </cell>
          <cell r="AI438" t="str">
            <v>/</v>
          </cell>
          <cell r="AJ438" t="str">
            <v>ETMT264V5</v>
          </cell>
          <cell r="AK438" t="str">
            <v>ETMT264V5</v>
          </cell>
          <cell r="AL438" t="str">
            <v>ETCMT2642V5</v>
          </cell>
          <cell r="AM438" t="str">
            <v>Cooperative Coopflora</v>
          </cell>
        </row>
        <row r="439">
          <cell r="A439" t="str">
            <v>MT1001</v>
          </cell>
          <cell r="B439"/>
          <cell r="C439"/>
          <cell r="D439"/>
          <cell r="E439"/>
          <cell r="F439"/>
          <cell r="G439"/>
          <cell r="H439" t="str">
            <v>LES BIENFAITRICES</v>
          </cell>
          <cell r="I439" t="str">
            <v>LES INFUSIONS DE PLANTES</v>
          </cell>
          <cell r="J439" t="str">
            <v>Maté vert</v>
          </cell>
          <cell r="K439" t="str">
            <v>Stimulant &amp; Drainant</v>
          </cell>
          <cell r="L439" t="str">
            <v>Infusion nature</v>
          </cell>
          <cell r="M439" t="str">
            <v>Brésil</v>
          </cell>
          <cell r="N439" t="str">
            <v>AB</v>
          </cell>
          <cell r="O439" t="str">
            <v>WFTO</v>
          </cell>
          <cell r="P439" t="str">
            <v>/</v>
          </cell>
          <cell r="Q439" t="str">
            <v>/</v>
          </cell>
          <cell r="R439" t="str">
            <v>/</v>
          </cell>
          <cell r="S439" t="str">
            <v>/</v>
          </cell>
          <cell r="T439" t="str">
            <v>Agriculture non UE</v>
          </cell>
          <cell r="U439"/>
          <cell r="V439" t="str">
            <v xml:space="preserve">Le maté fait partie du régime alimentaire traditionnel et de la culture sud-américaine. On l'apprécie pour son effet stimulant, drainant et son action positive sur le contrôle du poids. Avec ses saveurs fraîches et toniques, c'est un régal chaud ou glacé. </v>
          </cell>
          <cell r="W439"/>
          <cell r="X439" t="str">
            <v>Le maté vert à la différence du maté classique n’a pas été affiné ce qui lui confère des saveurs moins amères. Frais et doux, il constitue une excellente porte d’entrée dans l’univers de la yerba maté. On l'apprécie pour son effet stimulant, drainant et son action positive sur le contrôle du poids.</v>
          </cell>
          <cell r="Y439"/>
          <cell r="Z439" t="str">
            <v xml:space="preserve">Ingrédient : maté vert* (Ilex paraguariensis). *Issu de l'agriculture biologique. </v>
          </cell>
          <cell r="AA439"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439" t="str">
            <v>Membre certifié World Fair Trade Organization, Les Jardins de Gaïa s’engagent pour un commerce plus juste et répondent aux exigences du commerce équitable. Pour en savoir plus : www.wfto.com.</v>
          </cell>
          <cell r="AC439">
            <v>1.5</v>
          </cell>
          <cell r="AD439" t="str">
            <v>5</v>
          </cell>
          <cell r="AE439">
            <v>95</v>
          </cell>
          <cell r="AF439">
            <v>2</v>
          </cell>
          <cell r="AG439">
            <v>750</v>
          </cell>
          <cell r="AH439">
            <v>3582811010012</v>
          </cell>
          <cell r="AI439" t="str">
            <v>/</v>
          </cell>
          <cell r="AJ439" t="str">
            <v>INTERNE</v>
          </cell>
          <cell r="AK439" t="str">
            <v>INTERNE</v>
          </cell>
          <cell r="AL439" t="str">
            <v>/</v>
          </cell>
          <cell r="AM439" t="str">
            <v>?</v>
          </cell>
        </row>
        <row r="440">
          <cell r="A440" t="str">
            <v>MT1004</v>
          </cell>
          <cell r="B440"/>
          <cell r="C440" t="str">
            <v>X GRANDE ETIQUETTE GRAND CLASSIQUE + CONTRE</v>
          </cell>
          <cell r="D440" t="str">
            <v>X</v>
          </cell>
          <cell r="E440" t="str">
            <v>x</v>
          </cell>
          <cell r="F440" t="str">
            <v>GRAI</v>
          </cell>
          <cell r="G440">
            <v>45383</v>
          </cell>
          <cell r="H440" t="str">
            <v>LES BIENFAITRICES</v>
          </cell>
          <cell r="I440" t="str">
            <v>LES INFUSIONS DE PLANTES</v>
          </cell>
          <cell r="J440" t="str">
            <v>Maté vert</v>
          </cell>
          <cell r="K440" t="str">
            <v>Stimulant &amp; Drainant</v>
          </cell>
          <cell r="L440" t="str">
            <v>Infusion nature</v>
          </cell>
          <cell r="M440" t="str">
            <v>Brésil</v>
          </cell>
          <cell r="N440" t="str">
            <v>AB</v>
          </cell>
          <cell r="O440" t="str">
            <v>WFTO</v>
          </cell>
          <cell r="P440" t="str">
            <v>/</v>
          </cell>
          <cell r="Q440" t="str">
            <v>/</v>
          </cell>
          <cell r="R440" t="str">
            <v>/</v>
          </cell>
          <cell r="S440" t="str">
            <v>/</v>
          </cell>
          <cell r="T440" t="str">
            <v>Agriculture non UE</v>
          </cell>
          <cell r="U440"/>
          <cell r="V440" t="str">
            <v xml:space="preserve">Le maté fait partie du régime alimentaire traditionnel et de la culture sud-américaine. On l'apprécie pour son effet stimulant, drainant et son action positive sur le contrôle du poids. Avec ses saveurs fraîches et toniques, c'est un régal chaud ou glacé. </v>
          </cell>
          <cell r="W440"/>
          <cell r="X440" t="str">
            <v>Le maté vert à la différence du maté classique n’a pas été affiné ce qui lui confère des saveurs moins amères. Frais et doux, il constitue une excellente porte d’entrée dans l’univers de la yerba maté. On l'apprécie pour son effet stimulant, drainant et son action positive sur le contrôle du poids.</v>
          </cell>
          <cell r="Y440"/>
          <cell r="Z440" t="str">
            <v xml:space="preserve">Ingrédient : maté vert* (Ilex paraguariensis). *Issu de l'agriculture biologique. </v>
          </cell>
          <cell r="AA440"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440" t="str">
            <v>Membre certifié World Fair Trade Organization, Les Jardins de Gaïa s’engagent pour un commerce plus juste et répondent aux exigences du commerce équitable. Pour en savoir plus : www.wfto.com.</v>
          </cell>
          <cell r="AC440">
            <v>250</v>
          </cell>
          <cell r="AD440" t="str">
            <v>5</v>
          </cell>
          <cell r="AE440">
            <v>95</v>
          </cell>
          <cell r="AF440">
            <v>2</v>
          </cell>
          <cell r="AG440">
            <v>125</v>
          </cell>
          <cell r="AH440">
            <v>3582811010043</v>
          </cell>
          <cell r="AI440" t="str">
            <v>/</v>
          </cell>
          <cell r="AJ440" t="str">
            <v>ETMT1004</v>
          </cell>
          <cell r="AK440" t="str">
            <v>ETMT1004V5</v>
          </cell>
          <cell r="AL440" t="str">
            <v>ETCMT1004V5</v>
          </cell>
          <cell r="AM440" t="str">
            <v>Cooperative Coopaflora</v>
          </cell>
        </row>
        <row r="441">
          <cell r="A441" t="str">
            <v>MT1002</v>
          </cell>
          <cell r="B441"/>
          <cell r="C441" t="str">
            <v>X PETITE ETIQUETTE FORMAT GRAND CLASSIQUE + CONTRE ETIQUETTE</v>
          </cell>
          <cell r="D441"/>
          <cell r="E441"/>
          <cell r="F441" t="str">
            <v>GRAI</v>
          </cell>
          <cell r="G441">
            <v>45383</v>
          </cell>
          <cell r="H441" t="str">
            <v>LES BIENFAITRICES</v>
          </cell>
          <cell r="I441" t="str">
            <v>LES INFUSIONS DE PLANTES</v>
          </cell>
          <cell r="J441" t="str">
            <v>Maté vert</v>
          </cell>
          <cell r="K441" t="str">
            <v>Stimulant &amp; Drainant</v>
          </cell>
          <cell r="L441" t="str">
            <v>Infusion nature</v>
          </cell>
          <cell r="M441" t="str">
            <v>Brésil</v>
          </cell>
          <cell r="N441" t="str">
            <v>AB</v>
          </cell>
          <cell r="O441" t="str">
            <v>WFTO</v>
          </cell>
          <cell r="P441" t="str">
            <v>/</v>
          </cell>
          <cell r="Q441" t="str">
            <v>/</v>
          </cell>
          <cell r="R441" t="str">
            <v>/</v>
          </cell>
          <cell r="S441" t="str">
            <v>/</v>
          </cell>
          <cell r="T441" t="str">
            <v>Agriculture non UE</v>
          </cell>
          <cell r="U441"/>
          <cell r="V441" t="str">
            <v xml:space="preserve">Le maté fait partie du régime alimentaire traditionnel et de la culture sud-américaine. On l'apprécie pour son effet stimulant, drainant et son action positive sur le contrôle du poids. Avec ses saveurs fraîches et toniques, c'est un régal chaud ou glacé. </v>
          </cell>
          <cell r="W441"/>
          <cell r="X441" t="str">
            <v>Le maté vert à la différence du maté classique n’a pas été affiné ce qui lui confère des saveurs moins amères. Frais et doux, il constitue une excellente porte d’entrée dans l’univers de la yerba maté. On l'apprécie pour son effet stimulant, drainant et son action positive sur le contrôle du poids.</v>
          </cell>
          <cell r="Y441"/>
          <cell r="Z441" t="str">
            <v xml:space="preserve">Ingrédient : maté vert* (Ilex paraguariensis). *Issu de l'agriculture biologique. </v>
          </cell>
          <cell r="AA441"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441" t="str">
            <v>Membre certifié World Fair Trade Organization, Les Jardins de Gaïa s’engagent pour un commerce plus juste et répondent aux exigences du commerce équitable. Pour en savoir plus : www.wfto.com.</v>
          </cell>
          <cell r="AC441">
            <v>100</v>
          </cell>
          <cell r="AD441" t="str">
            <v>5</v>
          </cell>
          <cell r="AE441">
            <v>95</v>
          </cell>
          <cell r="AF441">
            <v>2</v>
          </cell>
          <cell r="AG441">
            <v>50</v>
          </cell>
          <cell r="AH441">
            <v>3582811010029</v>
          </cell>
          <cell r="AI441" t="str">
            <v>/</v>
          </cell>
          <cell r="AJ441" t="str">
            <v>ETMT100</v>
          </cell>
          <cell r="AK441" t="str">
            <v>ETMT100V5</v>
          </cell>
          <cell r="AL441" t="str">
            <v>ETCMT1002V5</v>
          </cell>
          <cell r="AM441" t="str">
            <v>Cooperative Coopaflora</v>
          </cell>
        </row>
        <row r="442">
          <cell r="A442" t="str">
            <v>TH2081</v>
          </cell>
          <cell r="B442"/>
          <cell r="C442"/>
          <cell r="D442"/>
          <cell r="E442"/>
          <cell r="F442"/>
          <cell r="G442"/>
          <cell r="H442" t="str">
            <v>LES BIENFAITRICES</v>
          </cell>
          <cell r="I442" t="str">
            <v>LES INFUSIONS DE PLANTES</v>
          </cell>
          <cell r="J442" t="str">
            <v>Mélisse</v>
          </cell>
          <cell r="K442" t="str">
            <v xml:space="preserve">Relaxante &amp; Digestive  </v>
          </cell>
          <cell r="L442" t="str">
            <v>Infusion de plante</v>
          </cell>
          <cell r="M442" t="str">
            <v>Portugal</v>
          </cell>
          <cell r="N442" t="str">
            <v>AB</v>
          </cell>
          <cell r="O442" t="str">
            <v>/</v>
          </cell>
          <cell r="P442" t="str">
            <v>/</v>
          </cell>
          <cell r="Q442" t="str">
            <v>/</v>
          </cell>
          <cell r="R442" t="str">
            <v>/</v>
          </cell>
          <cell r="S442" t="str">
            <v>/</v>
          </cell>
          <cell r="T442" t="str">
            <v>Agriculture UE</v>
          </cell>
          <cell r="U442"/>
          <cell r="V442" t="str">
            <v>Source de bien-être appréciée depuis l'Antiquité, la mélisse est une plante vivace aux feuilles très parfumées qui aide à se relaxer et retrouver son équilibre tout en améliorant les fonctions digestives. En cuisine, ses feuilles à la saveur citronnée relèvent agréablement une salade, une marinade ou une sauce.</v>
          </cell>
          <cell r="W442" t="str">
            <v>S12</v>
          </cell>
          <cell r="X442" t="str">
            <v>Source de bien-être depuis l'Antiquité, la mélisse est une plante vivace aux feuilles très parfumées dont l’infusion aide à se relaxer et retrouver son équilibre tout en améliorant les fonctions digestives. Ses saveurs à la fois douces et citronnées sont également très appréciées en cuisine.</v>
          </cell>
          <cell r="Y442"/>
          <cell r="Z442" t="str">
            <v>Ingrédient : mélisse* (Melissa officinalis). *Issu de l'agriculture biologique.</v>
          </cell>
          <cell r="AA442"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442" t="str">
            <v>/</v>
          </cell>
          <cell r="AC442">
            <v>200</v>
          </cell>
          <cell r="AD442" t="str">
            <v>5-10</v>
          </cell>
          <cell r="AE442">
            <v>95</v>
          </cell>
          <cell r="AF442">
            <v>2</v>
          </cell>
          <cell r="AG442">
            <v>100</v>
          </cell>
          <cell r="AH442">
            <v>3582811020813</v>
          </cell>
          <cell r="AI442" t="str">
            <v>/</v>
          </cell>
          <cell r="AJ442" t="str">
            <v>INTERNE</v>
          </cell>
          <cell r="AK442" t="str">
            <v>INTERNE</v>
          </cell>
          <cell r="AL442" t="str">
            <v>/</v>
          </cell>
          <cell r="AM442" t="str">
            <v>Carlos</v>
          </cell>
        </row>
        <row r="443">
          <cell r="A443" t="str">
            <v>TH208</v>
          </cell>
          <cell r="B443"/>
          <cell r="C443" t="str">
            <v>X</v>
          </cell>
          <cell r="D443" t="str">
            <v>X</v>
          </cell>
          <cell r="E443"/>
          <cell r="F443" t="str">
            <v>GRAI</v>
          </cell>
          <cell r="G443">
            <v>45408</v>
          </cell>
          <cell r="H443" t="str">
            <v>LES BIENFAITRICES</v>
          </cell>
          <cell r="I443" t="str">
            <v>LES INFUSIONS DE PLANTES</v>
          </cell>
          <cell r="J443" t="str">
            <v>Mélisse</v>
          </cell>
          <cell r="K443" t="str">
            <v xml:space="preserve">Relaxante &amp; Digestive  </v>
          </cell>
          <cell r="L443" t="str">
            <v>Infusion de plante</v>
          </cell>
          <cell r="M443" t="str">
            <v>Portugal</v>
          </cell>
          <cell r="N443" t="str">
            <v>AB</v>
          </cell>
          <cell r="O443" t="str">
            <v>/</v>
          </cell>
          <cell r="P443" t="str">
            <v>/</v>
          </cell>
          <cell r="Q443" t="str">
            <v>/</v>
          </cell>
          <cell r="R443" t="str">
            <v>/</v>
          </cell>
          <cell r="S443" t="str">
            <v>/</v>
          </cell>
          <cell r="T443" t="str">
            <v>Agriculture UE</v>
          </cell>
          <cell r="U443"/>
          <cell r="V443" t="str">
            <v>Source de bien-être appréciée depuis l'Antiquité, la mélisse est une plante vivace aux feuilles très parfumées qui aide à se relaxer et retrouver son équilibre tout en améliorant les fonctions digestives. En cuisine, ses feuilles à la saveur citronnée relèvent agréablement une salade, une marinade ou une sauce.</v>
          </cell>
          <cell r="W443" t="str">
            <v>S12</v>
          </cell>
          <cell r="X443" t="str">
            <v>Source de bien-être depuis l'Antiquité, la mélisse est une plante vivace aux feuilles très parfumées dont l’infusion aide à se relaxer et retrouver son équilibre tout en améliorant les fonctions digestives. Ses saveurs à la fois douces et citronnées sont également très appréciées en cuisine.</v>
          </cell>
          <cell r="Y443"/>
          <cell r="Z443" t="str">
            <v>Ingrédient : mélisse* (Melissa officinalis). *Issu de l'agriculture biologique.</v>
          </cell>
          <cell r="AA443"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443" t="str">
            <v>/</v>
          </cell>
          <cell r="AC443">
            <v>50</v>
          </cell>
          <cell r="AD443" t="str">
            <v>5-10</v>
          </cell>
          <cell r="AE443">
            <v>95</v>
          </cell>
          <cell r="AF443">
            <v>2</v>
          </cell>
          <cell r="AG443">
            <v>25</v>
          </cell>
          <cell r="AH443">
            <v>3582811002086</v>
          </cell>
          <cell r="AI443" t="str">
            <v>/</v>
          </cell>
          <cell r="AJ443" t="str">
            <v>ETHN2080V5</v>
          </cell>
          <cell r="AK443" t="str">
            <v>ETHN2080V5</v>
          </cell>
          <cell r="AL443" t="str">
            <v>/</v>
          </cell>
          <cell r="AM443" t="str">
            <v>Carlos</v>
          </cell>
        </row>
        <row r="444">
          <cell r="A444" t="str">
            <v>TN4161</v>
          </cell>
          <cell r="B444"/>
          <cell r="C444" t="str">
            <v>X</v>
          </cell>
          <cell r="D444"/>
          <cell r="E444"/>
          <cell r="F444"/>
          <cell r="G444"/>
          <cell r="H444" t="str">
            <v>LES GRANDS CLASSIQUES</v>
          </cell>
          <cell r="I444"/>
          <cell r="J444" t="str">
            <v>Mémoire d'Everest</v>
          </cell>
          <cell r="K444" t="str">
            <v>Second Flush</v>
          </cell>
          <cell r="L444" t="str">
            <v>Thé noir d'origine</v>
          </cell>
          <cell r="M444" t="str">
            <v>Népal - Panchthar</v>
          </cell>
          <cell r="N444" t="str">
            <v>AB</v>
          </cell>
          <cell r="O444" t="str">
            <v>WFTO</v>
          </cell>
          <cell r="P444" t="str">
            <v>/</v>
          </cell>
          <cell r="Q444" t="str">
            <v>/</v>
          </cell>
          <cell r="R444" t="str">
            <v>/</v>
          </cell>
          <cell r="S444" t="str">
            <v>/</v>
          </cell>
          <cell r="T444" t="str">
            <v>Agriculture Népal</v>
          </cell>
          <cell r="U444"/>
          <cell r="V444" t="str">
            <v>Ce thé issu de petites parcelles d’altitude est fort en caractère. Ses feuilles libèrent un parfum de chocolat surprenant de puissance. En bouche les notes végétales de bois de réglisse laissent place à de délicieux arômes évoquant le chocolat au lait et la vanille. Une gourmandise qui ne peut laisser indifférent.</v>
          </cell>
          <cell r="W444" t="str">
            <v>S15</v>
          </cell>
          <cell r="X444" t="str">
            <v>Ce thé noir issu d’une récolte estivale dans de petites parcelles d’altitude est tout en gourmandise. Ses feuilles libèrent un parfum cacaoté surprenant de puissance. En bouche, les notes végétales de bois de réglisse laissent place à de délicieux arômes évoquant le chocolat au lait et la vanille.</v>
          </cell>
          <cell r="Y444"/>
          <cell r="Z444" t="str">
            <v>Ingrédient : thé noir*. *Issu de l'agriculture biologique.</v>
          </cell>
          <cell r="AA444" t="str">
            <v>/</v>
          </cell>
          <cell r="AB444" t="str">
            <v>Membre certifié World Fair Trade Organization, Les Jardins de Gaïa s’engagent pour un commerce plus juste et répondent aux exigences du commerce équitable. Pour en savoir plus : www.wfto.com.</v>
          </cell>
          <cell r="AC444">
            <v>1.5</v>
          </cell>
          <cell r="AD444" t="str">
            <v>3-4</v>
          </cell>
          <cell r="AE444">
            <v>95</v>
          </cell>
          <cell r="AF444">
            <v>2</v>
          </cell>
          <cell r="AG444">
            <v>750</v>
          </cell>
          <cell r="AH444">
            <v>3582810241615</v>
          </cell>
          <cell r="AI444" t="str">
            <v>/</v>
          </cell>
          <cell r="AJ444" t="str">
            <v>INTERNE</v>
          </cell>
          <cell r="AK444" t="str">
            <v>INTERNE</v>
          </cell>
          <cell r="AL444" t="str">
            <v>/</v>
          </cell>
          <cell r="AM444" t="str">
            <v>Kanchanjangha Tea Estate</v>
          </cell>
        </row>
        <row r="445">
          <cell r="A445" t="str">
            <v>TN4162</v>
          </cell>
          <cell r="B445"/>
          <cell r="C445" t="str">
            <v>X</v>
          </cell>
          <cell r="D445" t="str">
            <v>X</v>
          </cell>
          <cell r="E445" t="str">
            <v>X</v>
          </cell>
          <cell r="F445" t="str">
            <v>BRODART</v>
          </cell>
          <cell r="G445"/>
          <cell r="H445" t="str">
            <v>LES GRANDS CLASSIQUES</v>
          </cell>
          <cell r="I445"/>
          <cell r="J445" t="str">
            <v>Mémoire d'Everest</v>
          </cell>
          <cell r="K445" t="str">
            <v>Second Flush</v>
          </cell>
          <cell r="L445" t="str">
            <v>Thé noir d'origine</v>
          </cell>
          <cell r="M445" t="str">
            <v>Népal - Panchthar</v>
          </cell>
          <cell r="N445" t="str">
            <v>AB</v>
          </cell>
          <cell r="O445" t="str">
            <v>WFTO</v>
          </cell>
          <cell r="P445" t="str">
            <v>/</v>
          </cell>
          <cell r="Q445" t="str">
            <v>/</v>
          </cell>
          <cell r="R445" t="str">
            <v>/</v>
          </cell>
          <cell r="S445" t="str">
            <v>/</v>
          </cell>
          <cell r="T445" t="str">
            <v>Agriculture Népal</v>
          </cell>
          <cell r="U445"/>
          <cell r="V445" t="str">
            <v>Ce thé issu de petites parcelles d’altitude est fort en caractère. Ses feuilles libèrent un parfum de chocolat surprenant de puissance. En bouche les notes végétales de bois de réglisse laissent place à de délicieux arômes évoquant le chocolat au lait et la vanille. Une gourmandise qui ne peut laisser indifférent.</v>
          </cell>
          <cell r="W445" t="str">
            <v>S15</v>
          </cell>
          <cell r="X445" t="str">
            <v>Ce thé noir issu d’une récolte estivale dans de petites parcelles d’altitude est tout en gourmandise. Ses feuilles libèrent un parfum cacaoté surprenant de puissance. En bouche, les notes végétales de bois de réglisse laissent place à de délicieux arômes évoquant le chocolat au lait et la vanille.</v>
          </cell>
          <cell r="Y445"/>
          <cell r="Z445" t="str">
            <v>Ingrédient : thé noir*. *Issu de l'agriculture biologique.</v>
          </cell>
          <cell r="AA445" t="str">
            <v>/</v>
          </cell>
          <cell r="AB445" t="str">
            <v>Membre certifié World Fair Trade Organization, Les Jardins de Gaïa s’engagent pour un commerce plus juste et répondent aux exigences du commerce équitable. Pour en savoir plus : www.wfto.com.</v>
          </cell>
          <cell r="AC445">
            <v>100</v>
          </cell>
          <cell r="AD445" t="str">
            <v>3-4</v>
          </cell>
          <cell r="AE445">
            <v>95</v>
          </cell>
          <cell r="AF445">
            <v>2</v>
          </cell>
          <cell r="AG445">
            <v>50</v>
          </cell>
          <cell r="AH445">
            <v>3582810241622</v>
          </cell>
          <cell r="AI445" t="str">
            <v>/</v>
          </cell>
          <cell r="AJ445" t="str">
            <v>ETNN416</v>
          </cell>
          <cell r="AK445" t="str">
            <v>ETNN416V5</v>
          </cell>
          <cell r="AL445" t="str">
            <v>ETCNN4162V5</v>
          </cell>
          <cell r="AM445" t="str">
            <v>Kanchanjangha Tea Estate</v>
          </cell>
        </row>
        <row r="446">
          <cell r="A446" t="str">
            <v>TH2001</v>
          </cell>
          <cell r="B446"/>
          <cell r="C446"/>
          <cell r="D446"/>
          <cell r="E446"/>
          <cell r="F446"/>
          <cell r="G446"/>
          <cell r="H446" t="str">
            <v>LES GRANDS CLASSIQUES</v>
          </cell>
          <cell r="I446" t="str">
            <v>LES INFUSIONS DE PLANTES</v>
          </cell>
          <cell r="J446" t="str">
            <v>Menthe</v>
          </cell>
          <cell r="K446" t="str">
            <v>/</v>
          </cell>
          <cell r="L446" t="str">
            <v>Infusion de plante</v>
          </cell>
          <cell r="M446" t="str">
            <v>Portugal</v>
          </cell>
          <cell r="N446" t="str">
            <v>AB</v>
          </cell>
          <cell r="O446" t="str">
            <v>/</v>
          </cell>
          <cell r="P446" t="str">
            <v>/</v>
          </cell>
          <cell r="Q446" t="str">
            <v>/</v>
          </cell>
          <cell r="R446" t="str">
            <v>/</v>
          </cell>
          <cell r="S446" t="str">
            <v>/</v>
          </cell>
          <cell r="T446" t="str">
            <v>Agriculture UE</v>
          </cell>
          <cell r="U446"/>
          <cell r="V446" t="str">
            <v>Très appréciée dans les cultures orientales, la menthe se distingue par la fraicheur et la tonicité de ses saveurs. Traditionnellement associée au thé vert, elle est aussi parfaite pour parfumer une sauce ou en accompagnement de fruits dété. Boisson plaisir, on ne s'en lasse pas en infusion aussi bien chaude que glacée, avec ou sans sucre !</v>
          </cell>
          <cell r="W446" t="str">
            <v>S12</v>
          </cell>
          <cell r="X446" t="str">
            <v>L’infusion de menthe très appréciée en Orient et souvent associée à un thé vert se distingue par la fraîcheur et la tonicité de ses saveurs. En cuisine elle souvent utilisée pour parfumer une sauce ou une salade de fruits. Une tisane délicieuse aussi bien chaude que glacée, avec ou sans sucre !</v>
          </cell>
          <cell r="Y446"/>
          <cell r="Z446" t="str">
            <v>Ingrédient : menthe odorante* (Mentha rotundifolia). *Issu de l’agriculture biologique.</v>
          </cell>
          <cell r="AA446" t="str">
            <v>/</v>
          </cell>
          <cell r="AB446" t="str">
            <v>/</v>
          </cell>
          <cell r="AC446">
            <v>500</v>
          </cell>
          <cell r="AD446" t="str">
            <v>5-10</v>
          </cell>
          <cell r="AE446">
            <v>95</v>
          </cell>
          <cell r="AF446">
            <v>2</v>
          </cell>
          <cell r="AG446">
            <v>250</v>
          </cell>
          <cell r="AH446">
            <v>3582811020011</v>
          </cell>
          <cell r="AI446" t="str">
            <v>/</v>
          </cell>
          <cell r="AJ446" t="str">
            <v>INTERNE</v>
          </cell>
          <cell r="AK446" t="str">
            <v>INTERNE</v>
          </cell>
          <cell r="AL446" t="str">
            <v>/</v>
          </cell>
          <cell r="AM446" t="str">
            <v>Carlos</v>
          </cell>
        </row>
        <row r="447">
          <cell r="A447" t="str">
            <v>TH200</v>
          </cell>
          <cell r="B447"/>
          <cell r="C447" t="str">
            <v>X</v>
          </cell>
          <cell r="D447" t="str">
            <v>X</v>
          </cell>
          <cell r="E447"/>
          <cell r="F447" t="str">
            <v>GRAI</v>
          </cell>
          <cell r="G447">
            <v>45408</v>
          </cell>
          <cell r="H447" t="str">
            <v>LES GRANDS CLASSIQUES</v>
          </cell>
          <cell r="I447" t="str">
            <v>LES INFUSIONS DE PLANTES</v>
          </cell>
          <cell r="J447" t="str">
            <v>Menthe</v>
          </cell>
          <cell r="K447" t="str">
            <v>/</v>
          </cell>
          <cell r="L447" t="str">
            <v>Infusion de plante</v>
          </cell>
          <cell r="M447" t="str">
            <v>Portugal</v>
          </cell>
          <cell r="N447" t="str">
            <v>AB</v>
          </cell>
          <cell r="O447" t="str">
            <v>/</v>
          </cell>
          <cell r="P447" t="str">
            <v>/</v>
          </cell>
          <cell r="Q447" t="str">
            <v>/</v>
          </cell>
          <cell r="R447" t="str">
            <v>/</v>
          </cell>
          <cell r="S447" t="str">
            <v>/</v>
          </cell>
          <cell r="T447" t="str">
            <v>Agriculture UE</v>
          </cell>
          <cell r="U447"/>
          <cell r="V447" t="str">
            <v>Très appréciée dans les cultures orientales, la menthe se distingue par la fraicheur et la tonicité de ses saveurs. Traditionnellement associée au thé vert, elle est aussi parfaite pour parfumer une sauce ou en accompagnement de fruits dété. Boisson plaisir, on ne s'en lasse pas en infusion aussi bien chaude que glacée, avec ou sans sucre !</v>
          </cell>
          <cell r="W447" t="str">
            <v>S12</v>
          </cell>
          <cell r="X447" t="str">
            <v>L’infusion de menthe très appréciée en Orient et souvent associée à un thé vert se distingue par la fraîcheur et la tonicité de ses saveurs. En cuisine elle souvent utilisée pour parfumer une sauce ou une salade de fruits. Une tisane délicieuse aussi bien chaude que glacée, avec ou sans sucre !</v>
          </cell>
          <cell r="Y447"/>
          <cell r="Z447" t="str">
            <v>Ingrédient : menthe odorante* (Mentha rotundifolia). *Issu de l’agriculture biologique.</v>
          </cell>
          <cell r="AA447" t="str">
            <v>/</v>
          </cell>
          <cell r="AB447" t="str">
            <v>/</v>
          </cell>
          <cell r="AC447">
            <v>50</v>
          </cell>
          <cell r="AD447" t="str">
            <v>5-10</v>
          </cell>
          <cell r="AE447">
            <v>95</v>
          </cell>
          <cell r="AF447">
            <v>2</v>
          </cell>
          <cell r="AG447">
            <v>25</v>
          </cell>
          <cell r="AH447">
            <v>3582811002000</v>
          </cell>
          <cell r="AI447" t="str">
            <v>/</v>
          </cell>
          <cell r="AJ447" t="str">
            <v>ETHN2000V5</v>
          </cell>
          <cell r="AK447" t="str">
            <v>ETHN2000V5</v>
          </cell>
          <cell r="AL447" t="str">
            <v>/</v>
          </cell>
          <cell r="AM447" t="str">
            <v>Carlos</v>
          </cell>
        </row>
        <row r="448">
          <cell r="A448" t="str">
            <v>TH2091</v>
          </cell>
          <cell r="B448"/>
          <cell r="C448"/>
          <cell r="D448"/>
          <cell r="E448"/>
          <cell r="F448"/>
          <cell r="G448"/>
          <cell r="H448" t="str">
            <v>LES BIENFAITRICES</v>
          </cell>
          <cell r="I448" t="str">
            <v>LES INFUSIONS DE PLANTES</v>
          </cell>
          <cell r="J448" t="str">
            <v>Menthe poivrée</v>
          </cell>
          <cell r="K448" t="str">
            <v>Apaisante &amp; Digestive</v>
          </cell>
          <cell r="L448" t="str">
            <v>Infusion de plante</v>
          </cell>
          <cell r="M448" t="str">
            <v>Portugal</v>
          </cell>
          <cell r="N448" t="str">
            <v>AB</v>
          </cell>
          <cell r="O448" t="str">
            <v>/</v>
          </cell>
          <cell r="P448" t="str">
            <v>/</v>
          </cell>
          <cell r="Q448" t="str">
            <v>/</v>
          </cell>
          <cell r="R448" t="str">
            <v>/</v>
          </cell>
          <cell r="S448" t="str">
            <v>/</v>
          </cell>
          <cell r="T448" t="str">
            <v>Agriculture UE</v>
          </cell>
          <cell r="U448"/>
          <cell r="V448" t="str">
            <v>L'infusion de menthe poivrée est appréciée pour ses saveurs toniques légèrement épicées et ses nombreuses vertus. Elle est particulièrement indiquée en fin de repas pour ses effets stimulants sur la sphère digestive. Antispasmodique et apaisante, elle contribue à préserver l'équilibre nerveux en général. À déguster seule ou additionnée d'autres plantes.</v>
          </cell>
          <cell r="W448" t="str">
            <v>S12</v>
          </cell>
          <cell r="X448" t="str">
            <v xml:space="preserve">L'infusion de menthe poivrée aux saveurs toniques et légèrement épicées est un concentré de bienfaits. Particulièrement indiquée en fin de repas pour ses effets stimulants sur la sphère digestive, elle est aussi antispasmodique et apaisante et contribue à préserver l'équilibre nerveux en général. </v>
          </cell>
          <cell r="Y448"/>
          <cell r="Z448" t="str">
            <v>Ingrédient : menthe poivrée* (Mentha piperita). *Issu de l'agriculture biologique.</v>
          </cell>
          <cell r="AA448"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448" t="str">
            <v>/</v>
          </cell>
          <cell r="AC448">
            <v>500</v>
          </cell>
          <cell r="AD448" t="str">
            <v>5-10</v>
          </cell>
          <cell r="AE448">
            <v>95</v>
          </cell>
          <cell r="AF448">
            <v>2</v>
          </cell>
          <cell r="AG448">
            <v>250</v>
          </cell>
          <cell r="AH448">
            <v>3582811020912</v>
          </cell>
          <cell r="AI448" t="str">
            <v>/</v>
          </cell>
          <cell r="AJ448" t="str">
            <v>INTERNE</v>
          </cell>
          <cell r="AK448" t="str">
            <v>INTERNE</v>
          </cell>
          <cell r="AL448" t="str">
            <v>/</v>
          </cell>
          <cell r="AM448" t="str">
            <v>Carlos</v>
          </cell>
        </row>
        <row r="449">
          <cell r="A449" t="str">
            <v>TH209</v>
          </cell>
          <cell r="B449"/>
          <cell r="C449" t="str">
            <v>X</v>
          </cell>
          <cell r="D449" t="str">
            <v>X</v>
          </cell>
          <cell r="E449"/>
          <cell r="F449" t="str">
            <v>GRAI</v>
          </cell>
          <cell r="G449">
            <v>45408</v>
          </cell>
          <cell r="H449" t="str">
            <v>LES BIENFAITRICES</v>
          </cell>
          <cell r="I449" t="str">
            <v>LES INFUSIONS DE PLANTES</v>
          </cell>
          <cell r="J449" t="str">
            <v>Menthe poivrée</v>
          </cell>
          <cell r="K449" t="str">
            <v>Apaisante &amp; Digestive</v>
          </cell>
          <cell r="L449" t="str">
            <v>Infusion de plante</v>
          </cell>
          <cell r="M449" t="str">
            <v>Portugal</v>
          </cell>
          <cell r="N449" t="str">
            <v>AB</v>
          </cell>
          <cell r="O449" t="str">
            <v>/</v>
          </cell>
          <cell r="P449" t="str">
            <v>/</v>
          </cell>
          <cell r="Q449" t="str">
            <v>/</v>
          </cell>
          <cell r="R449" t="str">
            <v>/</v>
          </cell>
          <cell r="S449" t="str">
            <v>/</v>
          </cell>
          <cell r="T449" t="str">
            <v>Agriculture UE</v>
          </cell>
          <cell r="U449"/>
          <cell r="V449" t="str">
            <v>L'infusion de menthe poivrée est appréciée pour ses saveurs toniques légèrement épicées et ses nombreuses vertus. Elle est particulièrement indiquée en fin de repas pour ses effets stimulants sur la sphère digestive. Antispasmodique et apaisante, elle contribue à préserver l'équilibre nerveux en général. À déguster seule ou additionnée d'autres plantes.</v>
          </cell>
          <cell r="W449" t="str">
            <v>S12</v>
          </cell>
          <cell r="X449" t="str">
            <v xml:space="preserve">L'infusion de menthe poivrée aux saveurs toniques et légèrement épicées est un concentré de bienfaits. Particulièrement indiquée en fin de repas pour ses effets stimulants sur la sphère digestive, elle est aussi antispasmodique et apaisante et contribue à préserver l'équilibre nerveux en général. </v>
          </cell>
          <cell r="Y449"/>
          <cell r="Z449" t="str">
            <v>Ingrédient : menthe poivrée* (Mentha piperita). *Issu de l'agriculture biologique.</v>
          </cell>
          <cell r="AA449"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449" t="str">
            <v>/</v>
          </cell>
          <cell r="AC449">
            <v>50</v>
          </cell>
          <cell r="AD449" t="str">
            <v>5-10</v>
          </cell>
          <cell r="AE449">
            <v>95</v>
          </cell>
          <cell r="AF449">
            <v>2</v>
          </cell>
          <cell r="AG449">
            <v>25</v>
          </cell>
          <cell r="AH449">
            <v>3582811002093</v>
          </cell>
          <cell r="AI449" t="str">
            <v>/</v>
          </cell>
          <cell r="AJ449" t="str">
            <v>ETHN2090V5</v>
          </cell>
          <cell r="AK449" t="str">
            <v>ETHN2090V5</v>
          </cell>
          <cell r="AL449" t="str">
            <v>/</v>
          </cell>
          <cell r="AM449" t="str">
            <v>Carlos</v>
          </cell>
        </row>
        <row r="450">
          <cell r="A450" t="str">
            <v>TN2037</v>
          </cell>
          <cell r="B450"/>
          <cell r="C450"/>
          <cell r="D450"/>
          <cell r="E450"/>
          <cell r="F450"/>
          <cell r="G450"/>
          <cell r="H450" t="str">
            <v>LES PRIMEURS</v>
          </cell>
          <cell r="I450"/>
          <cell r="J450" t="str">
            <v>Mineral Spring</v>
          </cell>
          <cell r="K450" t="str">
            <v>FTGFOP1 FF 
Top Quality
cultivar Mineral Spring China</v>
          </cell>
          <cell r="L450" t="str">
            <v>Thé noir primeur</v>
          </cell>
          <cell r="M450" t="str">
            <v>Inde - Darjeeling - Mineral Spring garden</v>
          </cell>
          <cell r="N450" t="str">
            <v>AB</v>
          </cell>
          <cell r="O450" t="str">
            <v>/</v>
          </cell>
          <cell r="P450" t="str">
            <v>/</v>
          </cell>
          <cell r="Q450" t="str">
            <v>/</v>
          </cell>
          <cell r="R450" t="str">
            <v>IGP</v>
          </cell>
          <cell r="S450" t="str">
            <v>/</v>
          </cell>
          <cell r="T450" t="str">
            <v>Agriculture Inde</v>
          </cell>
          <cell r="U450"/>
          <cell r="V450" t="str">
            <v>Primeur d'exception issu de petits producteurs. Notes : fruitées et sucrées (pêche blanche, melon, pointe papaye).</v>
          </cell>
          <cell r="W450" t="str">
            <v>S25</v>
          </cell>
          <cell r="X450" t="str">
            <v>Ce thé noir d’exception issu de petits producteurs a la fraîcheur des Darjeelings primeurs. Sa liqueur fruitée et sucrée offre un festival de saveurs printanières qui s’épanouissent longuement en bouche en évoquant des légumes cuits de printemps et des fleurs sauvages. Un enchantement pour le palais !</v>
          </cell>
          <cell r="Y450"/>
          <cell r="Z450" t="str">
            <v xml:space="preserve">Ingrédient : thé noir*. *Issu de l'agriculture biologique. </v>
          </cell>
          <cell r="AA450" t="str">
            <v>/</v>
          </cell>
          <cell r="AB450"/>
          <cell r="AC450">
            <v>1</v>
          </cell>
          <cell r="AD450" t="str">
            <v>3-4</v>
          </cell>
          <cell r="AE450" t="str">
            <v>85-90</v>
          </cell>
          <cell r="AF450">
            <v>2</v>
          </cell>
          <cell r="AG450">
            <v>500</v>
          </cell>
          <cell r="AH450">
            <v>3582810220375</v>
          </cell>
          <cell r="AI450" t="str">
            <v>/</v>
          </cell>
          <cell r="AJ450" t="str">
            <v>INTERNE</v>
          </cell>
          <cell r="AK450" t="str">
            <v>INTERNE</v>
          </cell>
          <cell r="AL450" t="str">
            <v>/</v>
          </cell>
          <cell r="AM450" t="str">
            <v xml:space="preserve">Mineral Spring Sanjukta Vikas Sanstha </v>
          </cell>
        </row>
        <row r="451">
          <cell r="A451" t="str">
            <v>TN2032</v>
          </cell>
          <cell r="B451"/>
          <cell r="C451"/>
          <cell r="D451"/>
          <cell r="E451"/>
          <cell r="F451"/>
          <cell r="G451"/>
          <cell r="H451" t="str">
            <v>LES PRIMEURS</v>
          </cell>
          <cell r="I451"/>
          <cell r="J451" t="str">
            <v>Mineral Spring</v>
          </cell>
          <cell r="K451" t="str">
            <v>FTGFOP1 FF 
Top Quality 
cultivar Mineral Spring China</v>
          </cell>
          <cell r="L451" t="str">
            <v>Thé noir primeur</v>
          </cell>
          <cell r="M451" t="str">
            <v>Inde - Darjeeling - Mineral Spring garden</v>
          </cell>
          <cell r="N451" t="str">
            <v>AB</v>
          </cell>
          <cell r="O451" t="str">
            <v>/</v>
          </cell>
          <cell r="P451" t="str">
            <v>/</v>
          </cell>
          <cell r="Q451" t="str">
            <v>/</v>
          </cell>
          <cell r="R451" t="str">
            <v>IGP</v>
          </cell>
          <cell r="S451" t="str">
            <v>/</v>
          </cell>
          <cell r="T451" t="str">
            <v>Agriculture Inde</v>
          </cell>
          <cell r="U451"/>
          <cell r="V451" t="str">
            <v>Primeur d'exception issu de petits producteurs. Notes : fruitées et sucrées (pêche blanche, melon, pointe papaye).</v>
          </cell>
          <cell r="W451" t="str">
            <v>S25</v>
          </cell>
          <cell r="X451" t="str">
            <v>Ce thé noir d’exception issu de petits producteurs a la fraîcheur des Darjeelings primeurs. Sa liqueur fruitée et sucrée offre un festival de saveurs printanières qui s’épanouissent longuement en bouche en évoquant des légumes cuits de printemps et des fleurs sauvages. Un enchantement pour le palais !</v>
          </cell>
          <cell r="Y451"/>
          <cell r="Z451" t="str">
            <v xml:space="preserve">Ingrédient : thé noir*. *Issu de l'agriculture biologique. </v>
          </cell>
          <cell r="AA451" t="str">
            <v>/</v>
          </cell>
          <cell r="AB451"/>
          <cell r="AC451">
            <v>80</v>
          </cell>
          <cell r="AD451" t="str">
            <v>3-4</v>
          </cell>
          <cell r="AE451" t="str">
            <v>85-90</v>
          </cell>
          <cell r="AF451">
            <v>2</v>
          </cell>
          <cell r="AG451">
            <v>40</v>
          </cell>
          <cell r="AH451">
            <v>3582810220320</v>
          </cell>
          <cell r="AI451" t="str">
            <v>/</v>
          </cell>
          <cell r="AJ451" t="str">
            <v>ETNN203FF22</v>
          </cell>
          <cell r="AK451" t="str">
            <v>ETNN203FF22V5</v>
          </cell>
          <cell r="AL451" t="str">
            <v>ETCNN2032FF22V5</v>
          </cell>
          <cell r="AM451" t="str">
            <v xml:space="preserve">Mineral Spring Sanjukta Vikas Sanstha </v>
          </cell>
        </row>
        <row r="452">
          <cell r="A452" t="str">
            <v>TU0321</v>
          </cell>
          <cell r="B452"/>
          <cell r="C452" t="str">
            <v>X</v>
          </cell>
          <cell r="D452"/>
          <cell r="E452"/>
          <cell r="F452"/>
          <cell r="G452"/>
          <cell r="H452" t="str">
            <v>LES GRANDS CLASSIQUES</v>
          </cell>
          <cell r="I452"/>
          <cell r="J452" t="str">
            <v>Mini Tuocha</v>
          </cell>
          <cell r="K452" t="str">
            <v>Pu'er compressé</v>
          </cell>
          <cell r="L452" t="str">
            <v>Thé pu'er compressé</v>
          </cell>
          <cell r="M452" t="str">
            <v>Chine - Yunnan</v>
          </cell>
          <cell r="N452" t="str">
            <v>AB</v>
          </cell>
          <cell r="O452" t="str">
            <v>WFTO</v>
          </cell>
          <cell r="P452" t="str">
            <v>/</v>
          </cell>
          <cell r="Q452" t="str">
            <v>WT</v>
          </cell>
          <cell r="R452" t="str">
            <v>/</v>
          </cell>
          <cell r="S452" t="str">
            <v>/</v>
          </cell>
          <cell r="T452" t="str">
            <v>Agriculture Chine</v>
          </cell>
          <cell r="U452"/>
          <cell r="V452" t="str">
            <v>Issu de théiers anciens, compressé en petits nids individuels, ce thé est caractérisé par son parfum subtil de terre humide. Infusion rouge orangée à la saveur légèrement sucrée, consommée pour ses qualités bienfaisantes. Faible en théine, c'est une boisson de tous les instants.</v>
          </cell>
          <cell r="W452" t="str">
            <v>S15</v>
          </cell>
          <cell r="X452" t="str">
            <v>Ces minis tuocha, fruits de la compression de feuilles de pu’er issues de théiers anciens sont particulièrement pratiques et faciles à vivre. À glisser dans sa poche ou dans un sac, pour apprécier leurs saveurs boisées et légèrement sucrées au bureau ou en rando à l’autre bout du monde.</v>
          </cell>
          <cell r="Y452"/>
          <cell r="Z452" t="str">
            <v>Ingrédient : thé sombre pu'er* compressé en nid. *Issu de l'agriculture biologique.</v>
          </cell>
          <cell r="AA452" t="str">
            <v>/</v>
          </cell>
          <cell r="AB452" t="str">
            <v>Membre certifié World Fair Trade Organization, Les Jardins de Gaïa s’engagent pour un commerce plus juste et répondent aux exigences du commerce équitable. Pour en savoir plus : www.wfto.com.</v>
          </cell>
          <cell r="AC452">
            <v>1.5</v>
          </cell>
          <cell r="AD452" t="str">
            <v>3-4</v>
          </cell>
          <cell r="AE452">
            <v>95</v>
          </cell>
          <cell r="AF452">
            <v>2</v>
          </cell>
          <cell r="AG452">
            <v>750</v>
          </cell>
          <cell r="AH452">
            <v>3582810203217</v>
          </cell>
          <cell r="AI452" t="str">
            <v>/</v>
          </cell>
          <cell r="AJ452" t="str">
            <v>INTERNE</v>
          </cell>
          <cell r="AK452" t="str">
            <v>INTERNE</v>
          </cell>
          <cell r="AL452" t="str">
            <v>/</v>
          </cell>
          <cell r="AM452" t="str">
            <v>Lincang Shuangfeng Organic Tea Specialized  Cooperative</v>
          </cell>
        </row>
        <row r="453">
          <cell r="A453" t="str">
            <v>TU0322</v>
          </cell>
          <cell r="B453"/>
          <cell r="C453" t="str">
            <v>X</v>
          </cell>
          <cell r="D453" t="str">
            <v>X</v>
          </cell>
          <cell r="E453" t="str">
            <v>X</v>
          </cell>
          <cell r="F453" t="str">
            <v>BRODART</v>
          </cell>
          <cell r="G453"/>
          <cell r="H453" t="str">
            <v>LES GRANDS CLASSIQUES</v>
          </cell>
          <cell r="I453"/>
          <cell r="J453" t="str">
            <v>Mini Tuocha</v>
          </cell>
          <cell r="K453" t="str">
            <v>Pu'er compressé</v>
          </cell>
          <cell r="L453" t="str">
            <v>Thé sombre pu'er compressé</v>
          </cell>
          <cell r="M453" t="str">
            <v>Chine - Yunnan</v>
          </cell>
          <cell r="N453" t="str">
            <v>AB</v>
          </cell>
          <cell r="O453" t="str">
            <v>WFTO</v>
          </cell>
          <cell r="P453" t="str">
            <v>/</v>
          </cell>
          <cell r="Q453" t="str">
            <v>WT</v>
          </cell>
          <cell r="R453" t="str">
            <v>/</v>
          </cell>
          <cell r="S453" t="str">
            <v>/</v>
          </cell>
          <cell r="T453" t="str">
            <v>Agriculture Chine</v>
          </cell>
          <cell r="U453"/>
          <cell r="V453" t="str">
            <v>Issu de théiers anciens, compressé en petits nids individuels, ce thé est caractérisé par son parfum subtil de terre humide. Infusion rouge orangée à la saveur légèrement sucrée, consommée pour ses qualités bienfaisantes. Faible en théine, c'est une boisson de tous les instants.</v>
          </cell>
          <cell r="W453" t="str">
            <v>S15</v>
          </cell>
          <cell r="X453" t="str">
            <v>Ces minis tuocha, fruits de la compression de feuilles de pu’er issues de théiers anciens sont particulièrement pratiques et faciles à vivre. À glisser dans sa poche ou dans un sac, pour apprécier leurs saveurs boisées et légèrement sucrées au bureau ou en rando à l’autre bout du monde.</v>
          </cell>
          <cell r="Y453"/>
          <cell r="Z453" t="str">
            <v>Ingrédient : thé sombre pu'er* compressé en nid. *Issu de l'agriculture biologique.</v>
          </cell>
          <cell r="AA453" t="str">
            <v>/</v>
          </cell>
          <cell r="AB453" t="str">
            <v>Membre certifié World Fair Trade Organization, Les Jardins de Gaïa s’engagent pour un commerce plus juste et répondent aux exigences du commerce équitable. Pour en savoir plus : www.wfto.com.</v>
          </cell>
          <cell r="AC453">
            <v>100</v>
          </cell>
          <cell r="AD453" t="str">
            <v>3-4</v>
          </cell>
          <cell r="AE453">
            <v>95</v>
          </cell>
          <cell r="AF453">
            <v>2</v>
          </cell>
          <cell r="AG453">
            <v>50</v>
          </cell>
          <cell r="AH453">
            <v>3582810200322</v>
          </cell>
          <cell r="AI453" t="str">
            <v>/</v>
          </cell>
          <cell r="AJ453" t="str">
            <v>ETNN032</v>
          </cell>
          <cell r="AK453" t="str">
            <v>ETNN032V5</v>
          </cell>
          <cell r="AL453" t="str">
            <v>ETCNN0322V5</v>
          </cell>
          <cell r="AM453" t="str">
            <v>Lincang Shuangfeng Organic Tea Specialized  Cooperative</v>
          </cell>
        </row>
        <row r="454">
          <cell r="A454" t="str">
            <v>TU0326</v>
          </cell>
          <cell r="B454"/>
          <cell r="C454" t="str">
            <v>X</v>
          </cell>
          <cell r="D454" t="str">
            <v>X</v>
          </cell>
          <cell r="E454" t="str">
            <v>X</v>
          </cell>
          <cell r="F454" t="str">
            <v>BRODART</v>
          </cell>
          <cell r="G454"/>
          <cell r="H454" t="str">
            <v>LES GRANDS CLASSIQUES</v>
          </cell>
          <cell r="I454"/>
          <cell r="J454" t="str">
            <v>Mini Tuocha</v>
          </cell>
          <cell r="K454" t="str">
            <v>Pu'er compressé</v>
          </cell>
          <cell r="L454" t="str">
            <v>Thé sombre pu'er compressé</v>
          </cell>
          <cell r="M454" t="str">
            <v>Chine - Yunnan</v>
          </cell>
          <cell r="N454" t="str">
            <v>AB</v>
          </cell>
          <cell r="O454" t="str">
            <v>WFTO</v>
          </cell>
          <cell r="P454" t="str">
            <v>/</v>
          </cell>
          <cell r="Q454" t="str">
            <v>WT</v>
          </cell>
          <cell r="R454" t="str">
            <v>/</v>
          </cell>
          <cell r="S454" t="str">
            <v>/</v>
          </cell>
          <cell r="T454" t="str">
            <v>Agriculture Chine</v>
          </cell>
          <cell r="U454"/>
          <cell r="V454" t="str">
            <v>Issu de théiers anciens, compressé en petits nids individuels, ce thé est caractérisé par son parfum subtil de terre humide. Infusion rouge orangée à la saveur légèrement sucrée, consommée pour ses qualités bienfaisantes. Faible en théine, c'est une boisson de tous les instants.</v>
          </cell>
          <cell r="W454" t="str">
            <v>S15</v>
          </cell>
          <cell r="X454" t="str">
            <v>Ces minis tuocha, fruits de la compression de feuilles de pu’er issues de théiers anciens sont particulièrement pratiques et faciles à vivre. À glisser dans sa poche ou dans un sac, pour apprécier leurs saveurs boisées et légèrement sucrées au bureau ou en rando à l’autre bout du monde.</v>
          </cell>
          <cell r="Y454"/>
          <cell r="Z454" t="str">
            <v>Ingrédient : thé sombre pu'er* compressé en nid. *Issu de l'agriculture biologique.</v>
          </cell>
          <cell r="AA454" t="str">
            <v>/</v>
          </cell>
          <cell r="AB454" t="str">
            <v>Membre certifié World Fair Trade Organization, Les Jardins de Gaïa s’engagent pour un commerce plus juste et répondent aux exigences du commerce équitable. Pour en savoir plus : www.wfto.com.</v>
          </cell>
          <cell r="AC454">
            <v>50</v>
          </cell>
          <cell r="AD454" t="str">
            <v>3-4</v>
          </cell>
          <cell r="AE454">
            <v>95</v>
          </cell>
          <cell r="AF454">
            <v>2</v>
          </cell>
          <cell r="AG454">
            <v>25</v>
          </cell>
          <cell r="AH454">
            <v>3582810203262</v>
          </cell>
          <cell r="AI454" t="str">
            <v>/</v>
          </cell>
          <cell r="AJ454" t="str">
            <v>ETNN032</v>
          </cell>
          <cell r="AK454" t="str">
            <v>ETNN032V5</v>
          </cell>
          <cell r="AL454" t="str">
            <v>ETCNN0326V5</v>
          </cell>
          <cell r="AM454" t="str">
            <v>Lincang Shuangfeng Organic Tea Specialized  Cooperative</v>
          </cell>
        </row>
        <row r="455">
          <cell r="A455" t="str">
            <v>TB720</v>
          </cell>
          <cell r="B455"/>
          <cell r="C455"/>
          <cell r="D455"/>
          <cell r="E455"/>
          <cell r="F455"/>
          <cell r="G455"/>
          <cell r="H455" t="str">
            <v>LES GRAND CRUS</v>
          </cell>
          <cell r="I455"/>
          <cell r="J455" t="str">
            <v>Moon cake Yue Guang Bai</v>
          </cell>
          <cell r="K455" t="str">
            <v>Reflet blanc de lune
月光白</v>
          </cell>
          <cell r="L455" t="str">
            <v>Thé blanc compressé d'origine</v>
          </cell>
          <cell r="M455" t="str">
            <v>Chine - Yunnan</v>
          </cell>
          <cell r="N455" t="str">
            <v>AB</v>
          </cell>
          <cell r="O455" t="str">
            <v>WFTO</v>
          </cell>
          <cell r="P455" t="str">
            <v>/</v>
          </cell>
          <cell r="Q455" t="str">
            <v>WT</v>
          </cell>
          <cell r="R455" t="str">
            <v>/</v>
          </cell>
          <cell r="S455" t="str">
            <v>/</v>
          </cell>
          <cell r="T455" t="str">
            <v>Agriculture Chine</v>
          </cell>
          <cell r="U455"/>
          <cell r="V455" t="str">
            <v xml:space="preserve">Bourgeons au duvet blanc argenté et jeunes feuilles tortueuses, issus d'arbres anciens, compressés en une charmante petite galette. Originale et rare, ce thé blanc façonné offre aux moments particuliers une liqueur sophistiquée, douce, au parfum fleuri assorti d'un goût végétal, sucré et légèrement fruité. </v>
          </cell>
          <cell r="W455" t="str">
            <v>S25</v>
          </cell>
          <cell r="X455" t="str">
            <v xml:space="preserve">Ce thé blanc compressé en une charmante petite galette est composé de bourgeons au duvet argenté et de jeunes feuilles tortueuses issues de théiers anciens. Original et rare, il offre une liqueur raffinée et douce, aux parfums floraux et aux saveurs végétales, fruitées et délicatement sucrées. </v>
          </cell>
          <cell r="Y455"/>
          <cell r="Z455" t="str">
            <v xml:space="preserve">Ingrédient : thé blanc*. *Issu de l'agriculture biologique. </v>
          </cell>
          <cell r="AA455" t="str">
            <v>/</v>
          </cell>
          <cell r="AB455" t="str">
            <v>Membre certifié World Fair Trade Organization, Les Jardins de Gaïa s’engagent pour un commerce plus juste et répondent aux exigences du commerce équitable. Pour en savoir plus : www.wfto.com.</v>
          </cell>
          <cell r="AC455">
            <v>60</v>
          </cell>
          <cell r="AD455" t="str">
            <v>4-5</v>
          </cell>
          <cell r="AE455">
            <v>80</v>
          </cell>
          <cell r="AF455">
            <v>2</v>
          </cell>
          <cell r="AG455">
            <v>30</v>
          </cell>
          <cell r="AH455">
            <v>3582810672068</v>
          </cell>
          <cell r="AI455" t="str">
            <v>Plusieurs infusions</v>
          </cell>
          <cell r="AJ455" t="str">
            <v>ETBN720</v>
          </cell>
          <cell r="AK455" t="str">
            <v>ETBN720V5</v>
          </cell>
          <cell r="AL455" t="str">
            <v>ETCBN720V5</v>
          </cell>
          <cell r="AM455" t="str">
            <v>Mannong Tea Association</v>
          </cell>
        </row>
        <row r="456">
          <cell r="A456" t="str">
            <v>TN2417</v>
          </cell>
          <cell r="B456"/>
          <cell r="C456"/>
          <cell r="D456"/>
          <cell r="E456"/>
          <cell r="F456"/>
          <cell r="G456"/>
          <cell r="H456" t="str">
            <v>LES PRIMEURS</v>
          </cell>
          <cell r="I456"/>
          <cell r="J456" t="str">
            <v xml:space="preserve">Moon Light Glory </v>
          </cell>
          <cell r="K456" t="str">
            <v>FTGFOP1 FF
Jardin de Singell - Top Quality 
cultivar AV-2</v>
          </cell>
          <cell r="L456" t="str">
            <v>Thé noir primeur</v>
          </cell>
          <cell r="M456" t="str">
            <v>Inde - Darjeeling -Singell garden</v>
          </cell>
          <cell r="N456" t="str">
            <v>AB</v>
          </cell>
          <cell r="O456" t="str">
            <v>/</v>
          </cell>
          <cell r="P456" t="str">
            <v>/</v>
          </cell>
          <cell r="Q456" t="str">
            <v>/</v>
          </cell>
          <cell r="R456" t="str">
            <v>IGP</v>
          </cell>
          <cell r="S456" t="str">
            <v>/</v>
          </cell>
          <cell r="T456" t="str">
            <v>Agriculture Inde</v>
          </cell>
          <cell r="U456"/>
          <cell r="V456" t="str">
            <v>Darjeeling primeur d'exception fruit du savoir-faire et du terroir exceptionnel du jardin de Singell. Notes : herbes et fleurs sauvages, fruitées au nez avec une pointe acidulée de pomme verte en fin de bouche.</v>
          </cell>
          <cell r="W456" t="str">
            <v>S25</v>
          </cell>
          <cell r="X456" t="str">
            <v xml:space="preserve">Ce thé noir printanier de Singell est une ode à l’astre lunaire et son influence bénéfique sur les théiers. Sa liqueur lumineuse témoigne du grand savoir-faire du jardin. Elle offre des saveurs d’herbes et de fleurs sauvages suivies d’une finale acidulée d’une belle longueur en bouche. </v>
          </cell>
          <cell r="Y456"/>
          <cell r="Z456" t="str">
            <v xml:space="preserve">Ingrédient :  thé noir*. *Issu de l'agriculture biologique. </v>
          </cell>
          <cell r="AA456" t="str">
            <v>/</v>
          </cell>
          <cell r="AB456"/>
          <cell r="AC456">
            <v>1</v>
          </cell>
          <cell r="AD456" t="str">
            <v>3-4</v>
          </cell>
          <cell r="AE456" t="str">
            <v>85-90</v>
          </cell>
          <cell r="AF456">
            <v>2</v>
          </cell>
          <cell r="AG456">
            <v>500</v>
          </cell>
          <cell r="AH456">
            <v>3582810224175</v>
          </cell>
          <cell r="AI456" t="str">
            <v>/</v>
          </cell>
          <cell r="AJ456" t="str">
            <v>INTERNE</v>
          </cell>
          <cell r="AK456" t="str">
            <v>INTERNE</v>
          </cell>
          <cell r="AL456" t="str">
            <v>/</v>
          </cell>
          <cell r="AM456" t="str">
            <v>Snowview Tea Estate</v>
          </cell>
        </row>
        <row r="457">
          <cell r="A457" t="str">
            <v>TN2412</v>
          </cell>
          <cell r="B457"/>
          <cell r="C457"/>
          <cell r="D457"/>
          <cell r="E457"/>
          <cell r="F457"/>
          <cell r="G457"/>
          <cell r="H457" t="str">
            <v>LES PRIMEURS</v>
          </cell>
          <cell r="I457"/>
          <cell r="J457" t="str">
            <v xml:space="preserve">Moon Light Glory </v>
          </cell>
          <cell r="K457" t="str">
            <v>FTGFOP1 FF
Jardin de Singell - Top Quality 
cultivar AV-2</v>
          </cell>
          <cell r="L457" t="str">
            <v>Thé noir primeur</v>
          </cell>
          <cell r="M457" t="str">
            <v>Inde - Darjeeling -Singell garden</v>
          </cell>
          <cell r="N457" t="str">
            <v>AB</v>
          </cell>
          <cell r="O457" t="str">
            <v>/</v>
          </cell>
          <cell r="P457" t="str">
            <v>/</v>
          </cell>
          <cell r="Q457" t="str">
            <v>/</v>
          </cell>
          <cell r="R457" t="str">
            <v>IGP</v>
          </cell>
          <cell r="S457" t="str">
            <v>/</v>
          </cell>
          <cell r="T457" t="str">
            <v>Agriculture Inde</v>
          </cell>
          <cell r="U457"/>
          <cell r="V457" t="str">
            <v>Darjeeling primeur d'exception fruit du savoir-faire et du terroir exceptionnel du jardin de Singell. Notes : herbes et fleurs sauvages, fruitées au nez avec une pointe acidulée de pomme verte en fin de bouche.</v>
          </cell>
          <cell r="W457" t="str">
            <v>S25</v>
          </cell>
          <cell r="X457" t="str">
            <v xml:space="preserve">Ce thé noir printanier de Singell est une ode à l’astre lunaire et son influence bénéfique sur les théiers. Sa liqueur lumineuse témoigne du grand savoir-faire du jardin. Elle offre des saveurs d’herbes et de fleurs sauvages suivies d’une finale acidulée d’une belle longueur en bouche. </v>
          </cell>
          <cell r="Y457"/>
          <cell r="Z457" t="str">
            <v xml:space="preserve">Ingrédient :  thé noir*. *Issu de l'agriculture biologique. </v>
          </cell>
          <cell r="AA457" t="str">
            <v>/</v>
          </cell>
          <cell r="AB457"/>
          <cell r="AC457">
            <v>80</v>
          </cell>
          <cell r="AD457" t="str">
            <v>3-4</v>
          </cell>
          <cell r="AE457" t="str">
            <v>85-90</v>
          </cell>
          <cell r="AF457">
            <v>2</v>
          </cell>
          <cell r="AG457">
            <v>40</v>
          </cell>
          <cell r="AH457">
            <v>3582810224120</v>
          </cell>
          <cell r="AI457" t="str">
            <v>/</v>
          </cell>
          <cell r="AJ457" t="str">
            <v>ETNN241FF22</v>
          </cell>
          <cell r="AK457" t="str">
            <v>ETNN241FF22V5</v>
          </cell>
          <cell r="AL457" t="str">
            <v>ETCNN2412FF22V5</v>
          </cell>
          <cell r="AM457" t="str">
            <v>Snowview Tea Estate</v>
          </cell>
        </row>
        <row r="458">
          <cell r="A458" t="str">
            <v>TUTJ2296</v>
          </cell>
          <cell r="B458"/>
          <cell r="C458"/>
          <cell r="D458"/>
          <cell r="E458"/>
          <cell r="F458"/>
          <cell r="G458"/>
          <cell r="H458" t="str">
            <v>LES PRECIEUX DU JAPON ET DE TAIWAN</v>
          </cell>
          <cell r="I458"/>
          <cell r="J458" t="str">
            <v>Mûrier blanc</v>
          </cell>
          <cell r="K458" t="str">
            <v>Feuilles 絹豊</v>
          </cell>
          <cell r="L458" t="str">
            <v>Infusion de plante</v>
          </cell>
          <cell r="M458" t="str">
            <v>Japon - Shizuoka</v>
          </cell>
          <cell r="N458" t="str">
            <v>/</v>
          </cell>
          <cell r="O458" t="str">
            <v>/</v>
          </cell>
          <cell r="P458" t="str">
            <v>/</v>
          </cell>
          <cell r="Q458" t="str">
            <v>/</v>
          </cell>
          <cell r="R458" t="str">
            <v>/</v>
          </cell>
          <cell r="S458" t="str">
            <v>/</v>
          </cell>
          <cell r="T458" t="str">
            <v>/</v>
          </cell>
          <cell r="U458"/>
          <cell r="V458" t="str">
            <v>Feuilles de mûrier blanc très appréciées au Japon pour leurs saveurs sucrées évoquant les fèves, accompagnées de jolies notes herbacées et épicées.</v>
          </cell>
          <cell r="W458" t="str">
            <v>S25</v>
          </cell>
          <cell r="X458" t="str">
            <v>Cultivées dans la magnifique région de Matsuzaki dans la péninsule d’Izu, ces feuilles de mûrier blanc (Morus alba) ont été transformées à la manière d’un sencha. Elles sont très appréciées au Japon pour leurs saveurs sucrées évoquant les fèves, accompagnées de jolies notes herbacées et épicées.</v>
          </cell>
          <cell r="Y458"/>
          <cell r="Z458" t="str">
            <v xml:space="preserve">Ingrédient : feuilles de mûrier blanc du Japon (Morus Alba). 
Garanti sans résidus de pesticides. </v>
          </cell>
          <cell r="AA458" t="str">
            <v>/</v>
          </cell>
          <cell r="AB458" t="str">
            <v>/</v>
          </cell>
          <cell r="AC458">
            <v>50</v>
          </cell>
          <cell r="AD458" t="str">
            <v>3</v>
          </cell>
          <cell r="AE458">
            <v>85</v>
          </cell>
          <cell r="AF458">
            <v>2</v>
          </cell>
          <cell r="AG458">
            <v>25</v>
          </cell>
          <cell r="AH458">
            <v>3582811022961</v>
          </cell>
          <cell r="AI458" t="str">
            <v>Plusieurs infusions</v>
          </cell>
          <cell r="AJ458" t="str">
            <v>ETTUTJ2296</v>
          </cell>
          <cell r="AK458" t="str">
            <v>ETTUTJ2296V5</v>
          </cell>
          <cell r="AL458" t="str">
            <v>/</v>
          </cell>
          <cell r="AM458" t="str">
            <v>Japon - Shizuoka</v>
          </cell>
        </row>
        <row r="459">
          <cell r="A459" t="str">
            <v>TR2151</v>
          </cell>
          <cell r="B459"/>
          <cell r="C459" t="str">
            <v>X</v>
          </cell>
          <cell r="D459"/>
          <cell r="E459"/>
          <cell r="F459"/>
          <cell r="G459"/>
          <cell r="H459" t="str">
            <v>LES GRANDS CLASSIQUES</v>
          </cell>
          <cell r="I459"/>
          <cell r="J459" t="str">
            <v>Murmure de la forêt</v>
          </cell>
          <cell r="K459" t="str">
            <v>Saveurs fraise - mûre</v>
          </cell>
          <cell r="L459" t="str">
            <v>Rooibos aromatisé</v>
          </cell>
          <cell r="M459" t="str">
            <v>Afrique du Sud - Cap Occidental</v>
          </cell>
          <cell r="N459" t="str">
            <v>AB</v>
          </cell>
          <cell r="O459" t="str">
            <v>WFTO</v>
          </cell>
          <cell r="P459" t="str">
            <v>/</v>
          </cell>
          <cell r="Q459" t="str">
            <v>/</v>
          </cell>
          <cell r="R459" t="str">
            <v>/</v>
          </cell>
          <cell r="S459" t="str">
            <v>/</v>
          </cell>
          <cell r="T459" t="str">
            <v>Agriculture UE/non UE</v>
          </cell>
          <cell r="U459"/>
          <cell r="V459" t="str">
            <v>Rooibos à la saveur veloutée soulignée par de délicieuses notes sucrées de fruits rouges. Boisson très fruitée pour tous les moments agréables.</v>
          </cell>
          <cell r="W459" t="str">
            <v>S15</v>
          </cell>
          <cell r="X459" t="str">
            <v>A l’image d’un doux murmure de la forêt qui attire, cette recette de rooibos est riche en secrets gourmands. Laissez-vous séduire par la rencontre des saveurs fruitées, sucrées et légèrement acidulées d’une corbeille de fruits rouges avec les notes boisées de l’emblématique boisson sud-africaine.</v>
          </cell>
          <cell r="Y459"/>
          <cell r="Z459" t="str">
            <v>Ingrédients : rooibos*, arômes naturels de (myrtille*, framboise*, mûre* 3%, fraise* 2%), aronia*, feuilles de fraisier* 1%. *Issu de l'agriculture biologique.</v>
          </cell>
          <cell r="AA459" t="str">
            <v>/</v>
          </cell>
          <cell r="AB459" t="str">
            <v>Membre certifié World Fair Trade Organization, Les Jardins de Gaïa s’engagent pour un commerce plus juste et répondent aux exigences du commerce équitable. Pour en savoir plus : www.wfto.com.</v>
          </cell>
          <cell r="AC459">
            <v>1.5</v>
          </cell>
          <cell r="AD459" t="str">
            <v>5-10</v>
          </cell>
          <cell r="AE459">
            <v>95</v>
          </cell>
          <cell r="AF459">
            <v>2</v>
          </cell>
          <cell r="AG459">
            <v>750</v>
          </cell>
          <cell r="AH459">
            <v>3582810921517</v>
          </cell>
          <cell r="AI459" t="str">
            <v>/</v>
          </cell>
          <cell r="AJ459" t="str">
            <v>INTERNE</v>
          </cell>
          <cell r="AK459" t="str">
            <v>INTERNE</v>
          </cell>
          <cell r="AL459" t="str">
            <v>/</v>
          </cell>
          <cell r="AM459" t="str">
            <v>Création maison</v>
          </cell>
        </row>
        <row r="460">
          <cell r="A460" t="str">
            <v>TR2152</v>
          </cell>
          <cell r="B460"/>
          <cell r="C460" t="str">
            <v>X</v>
          </cell>
          <cell r="D460" t="str">
            <v>X</v>
          </cell>
          <cell r="E460" t="str">
            <v>X</v>
          </cell>
          <cell r="F460" t="str">
            <v>BRODART</v>
          </cell>
          <cell r="G460"/>
          <cell r="H460" t="str">
            <v>LES GRANDS CLASSIQUES</v>
          </cell>
          <cell r="I460"/>
          <cell r="J460" t="str">
            <v>Murmure de la forêt</v>
          </cell>
          <cell r="K460" t="str">
            <v>Saveurs fraise - mûre</v>
          </cell>
          <cell r="L460" t="str">
            <v>Rooibos aromatisé</v>
          </cell>
          <cell r="M460" t="str">
            <v>Afrique du Sud - Cap Occidental</v>
          </cell>
          <cell r="N460" t="str">
            <v>AB</v>
          </cell>
          <cell r="O460" t="str">
            <v>WFTO</v>
          </cell>
          <cell r="P460" t="str">
            <v>/</v>
          </cell>
          <cell r="Q460" t="str">
            <v>/</v>
          </cell>
          <cell r="R460" t="str">
            <v>/</v>
          </cell>
          <cell r="S460" t="str">
            <v>/</v>
          </cell>
          <cell r="T460" t="str">
            <v>Agriculture UE/non UE</v>
          </cell>
          <cell r="U460"/>
          <cell r="V460" t="str">
            <v>Rooibos à la saveur veloutée soulignée par de délicieuses notes sucrées de fruits rouges. Boisson très fruitée pour tous les moments agréables.</v>
          </cell>
          <cell r="W460" t="str">
            <v>S15</v>
          </cell>
          <cell r="X460" t="str">
            <v>A l’image d’un doux murmure de la forêt qui attire, cette recette de rooibos est riche en secrets gourmands. Laissez-vous séduire par la rencontre des saveurs fruitées, sucrées et légèrement acidulées d’une corbeille de fruits rouges avec les notes boisées de l’emblématique boisson sud-africaine.</v>
          </cell>
          <cell r="Y460"/>
          <cell r="Z460" t="str">
            <v>Ingrédients : rooibos*, arômes naturels de (myrtille*, framboise*, mûre* 3%, fraise* 2%), aronia*, feuilles de fraisier* 1%. *Issu de l'agriculture biologique.</v>
          </cell>
          <cell r="AA460" t="str">
            <v>/</v>
          </cell>
          <cell r="AB460" t="str">
            <v>Membre certifié World Fair Trade Organization, Les Jardins de Gaïa s’engagent pour un commerce plus juste et répondent aux exigences du commerce équitable. Pour en savoir plus : www.wfto.com.</v>
          </cell>
          <cell r="AC460">
            <v>100</v>
          </cell>
          <cell r="AD460" t="str">
            <v>5-10</v>
          </cell>
          <cell r="AE460">
            <v>95</v>
          </cell>
          <cell r="AF460">
            <v>2</v>
          </cell>
          <cell r="AG460">
            <v>50</v>
          </cell>
          <cell r="AH460">
            <v>3582810921524</v>
          </cell>
          <cell r="AI460" t="str">
            <v>/</v>
          </cell>
          <cell r="AJ460" t="str">
            <v>ETRA215V5</v>
          </cell>
          <cell r="AK460" t="str">
            <v>ETRA215V5</v>
          </cell>
          <cell r="AL460" t="str">
            <v>ETCRA2152V5</v>
          </cell>
          <cell r="AM460" t="str">
            <v>Création maison</v>
          </cell>
        </row>
        <row r="461">
          <cell r="A461" t="str">
            <v>TH5601</v>
          </cell>
          <cell r="B461"/>
          <cell r="C461"/>
          <cell r="D461"/>
          <cell r="E461"/>
          <cell r="F461"/>
          <cell r="G461"/>
          <cell r="H461" t="str">
            <v>LES BIENFAITRICES</v>
          </cell>
          <cell r="I461" t="str">
            <v>LES INFUSIONS DE PLANTES</v>
          </cell>
          <cell r="J461" t="str">
            <v>Naturellement Femme</v>
          </cell>
          <cell r="K461" t="str">
            <v>Relaxante
Mélisse - Lavande</v>
          </cell>
          <cell r="L461" t="str">
            <v>Infusion de plantes</v>
          </cell>
          <cell r="M461" t="str">
            <v>/</v>
          </cell>
          <cell r="N461" t="str">
            <v>AB</v>
          </cell>
          <cell r="O461" t="str">
            <v>/</v>
          </cell>
          <cell r="P461" t="str">
            <v>/</v>
          </cell>
          <cell r="Q461" t="str">
            <v>/</v>
          </cell>
          <cell r="R461" t="str">
            <v>/</v>
          </cell>
          <cell r="S461" t="str">
            <v>/</v>
          </cell>
          <cell r="T461" t="str">
            <v xml:space="preserve">Agriculture UE
</v>
          </cell>
          <cell r="U461"/>
          <cell r="V461" t="str">
            <v>Douce et relaxante, cette délicieuse composition de plantes et de fleurs est un hymne à la femme épanouie. Pour se sentir sereine à tous moments de la journée et trouver le sommeil plus facilement le soir venu.</v>
          </cell>
          <cell r="W461" t="str">
            <v>S11</v>
          </cell>
          <cell r="X461" t="str">
            <v>Douce et relaxante, cette tisane de plantes et de fleurs qui mêle agréablement les saveurs de la mélisse et de la lavande est un hymne à la femme épanouie. Pour se sentir sereine à tous moments de la journée et trouver le sommeil plus facilement le soir venu.</v>
          </cell>
          <cell r="Y461"/>
          <cell r="Z461" t="str">
            <v>Ingrédients : mélisse* 42% (Melissa officinalis), sauge* (Salvia officinalis), romarin* (Rosmarinus officinalis), lavande* 12% (Lavandula augustifolia), hysope* (Hyssopus officinalis), pétales de rose* (Rosa damascena), pétales de bleuet* (Centaurea cyanus). *Issu de l’agriculture biologique.</v>
          </cell>
          <cell r="AA461" t="str">
            <v>Consommation journalière conseillée : 4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461" t="str">
            <v>/</v>
          </cell>
          <cell r="AC461" t="str">
            <v>?</v>
          </cell>
          <cell r="AD461" t="str">
            <v>5-10</v>
          </cell>
          <cell r="AE461">
            <v>95</v>
          </cell>
          <cell r="AF461">
            <v>2</v>
          </cell>
          <cell r="AG461" t="str">
            <v>?</v>
          </cell>
          <cell r="AH461" t="str">
            <v>?</v>
          </cell>
          <cell r="AI461" t="str">
            <v>/</v>
          </cell>
          <cell r="AJ461" t="str">
            <v>INTERNE</v>
          </cell>
          <cell r="AK461" t="str">
            <v>INTERNE</v>
          </cell>
          <cell r="AL461" t="str">
            <v>/</v>
          </cell>
          <cell r="AM461" t="str">
            <v>Sonnentor</v>
          </cell>
        </row>
        <row r="462">
          <cell r="A462" t="str">
            <v>TH560</v>
          </cell>
          <cell r="B462"/>
          <cell r="C462" t="str">
            <v>X</v>
          </cell>
          <cell r="D462" t="str">
            <v>X</v>
          </cell>
          <cell r="E462"/>
          <cell r="F462" t="str">
            <v>GRAI</v>
          </cell>
          <cell r="G462">
            <v>45408</v>
          </cell>
          <cell r="H462" t="str">
            <v>LES BIENFAITRICES</v>
          </cell>
          <cell r="I462" t="str">
            <v>LES INFUSIONS DE PLANTES</v>
          </cell>
          <cell r="J462" t="str">
            <v>Naturellement Femme</v>
          </cell>
          <cell r="K462" t="str">
            <v>Relaxante
Mélisse - Lavande</v>
          </cell>
          <cell r="L462" t="str">
            <v>Infusion de plantes</v>
          </cell>
          <cell r="M462" t="str">
            <v>/</v>
          </cell>
          <cell r="N462" t="str">
            <v>AB</v>
          </cell>
          <cell r="O462" t="str">
            <v>/</v>
          </cell>
          <cell r="P462" t="str">
            <v>/</v>
          </cell>
          <cell r="Q462" t="str">
            <v>/</v>
          </cell>
          <cell r="R462" t="str">
            <v>/</v>
          </cell>
          <cell r="S462" t="str">
            <v>/</v>
          </cell>
          <cell r="T462" t="str">
            <v xml:space="preserve">Agriculture UE
</v>
          </cell>
          <cell r="U462"/>
          <cell r="V462" t="str">
            <v>Douce et relaxante, cette délicieuse composition de plantes et de fleurs est un hymne à la femme épanouie. Pour se sentir sereine à tous moments de la journée et trouver le sommeil plus facilement le soir venu.</v>
          </cell>
          <cell r="W462" t="str">
            <v>S11</v>
          </cell>
          <cell r="X462" t="str">
            <v>Douce et relaxante, cette tisane de plantes et de fleurs qui mêle agréablement les saveurs de la mélisse et de la lavande est un hymne à la femme épanouie. Pour se sentir sereine à tous moments de la journée et trouver le sommeil plus facilement le soir venu.</v>
          </cell>
          <cell r="Y462"/>
          <cell r="Z462" t="str">
            <v>Ingrédients : mélisse* 42% (Melissa officinalis), sauge* (Salvia officinalis), romarin* (Rosmarinus officinalis), lavande* 12% (Lavandula augustifolia), hysope* (Hyssopus officinalis), pétales de rose* (Rosa damascena), pétales de bleuet* (Centaurea cyanus). *Issu de l’agriculture biologique.</v>
          </cell>
          <cell r="AA462" t="str">
            <v>Consommation journalière conseillée : 4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462" t="str">
            <v>/</v>
          </cell>
          <cell r="AC462">
            <v>40</v>
          </cell>
          <cell r="AD462" t="str">
            <v>5-10</v>
          </cell>
          <cell r="AE462">
            <v>95</v>
          </cell>
          <cell r="AF462">
            <v>2</v>
          </cell>
          <cell r="AG462">
            <v>20</v>
          </cell>
          <cell r="AH462">
            <v>3582811005605</v>
          </cell>
          <cell r="AI462" t="str">
            <v>/</v>
          </cell>
          <cell r="AJ462" t="str">
            <v>ETHN5600V5</v>
          </cell>
          <cell r="AK462" t="str">
            <v>ETHN5600V5</v>
          </cell>
          <cell r="AL462" t="str">
            <v>/</v>
          </cell>
          <cell r="AM462" t="str">
            <v>Sonnentor</v>
          </cell>
        </row>
        <row r="463">
          <cell r="A463" t="str">
            <v>TA6971</v>
          </cell>
          <cell r="B463"/>
          <cell r="C463" t="str">
            <v>X</v>
          </cell>
          <cell r="D463"/>
          <cell r="E463"/>
          <cell r="F463"/>
          <cell r="G463"/>
          <cell r="H463" t="str">
            <v>LES GRANDS CLASSIQUES</v>
          </cell>
          <cell r="I463"/>
          <cell r="J463" t="str">
            <v>Nectar enchanté</v>
          </cell>
          <cell r="K463" t="str">
            <v>Fruits jaunes - Vanille</v>
          </cell>
          <cell r="L463" t="str">
            <v>Thé vert aromatisé</v>
          </cell>
          <cell r="M463" t="str">
            <v>?</v>
          </cell>
          <cell r="N463" t="str">
            <v>AB</v>
          </cell>
          <cell r="O463" t="str">
            <v>/</v>
          </cell>
          <cell r="P463" t="str">
            <v>/</v>
          </cell>
          <cell r="Q463" t="str">
            <v>/</v>
          </cell>
          <cell r="R463" t="str">
            <v>/</v>
          </cell>
          <cell r="S463" t="str">
            <v>/</v>
          </cell>
          <cell r="T463" t="str">
            <v>Agriculture UE/non UE</v>
          </cell>
          <cell r="U463"/>
          <cell r="V463"/>
          <cell r="W463" t="str">
            <v>S15</v>
          </cell>
          <cell r="X463"/>
          <cell r="Y463"/>
          <cell r="Z463"/>
          <cell r="AA463" t="str">
            <v>/</v>
          </cell>
          <cell r="AB463" t="str">
            <v>/</v>
          </cell>
          <cell r="AC463">
            <v>1.5</v>
          </cell>
          <cell r="AD463" t="str">
            <v>3</v>
          </cell>
          <cell r="AE463">
            <v>75</v>
          </cell>
          <cell r="AF463">
            <v>2</v>
          </cell>
          <cell r="AG463">
            <v>750</v>
          </cell>
          <cell r="AH463">
            <v>3582810869710</v>
          </cell>
          <cell r="AI463" t="str">
            <v>/</v>
          </cell>
          <cell r="AJ463" t="str">
            <v>INTERNE</v>
          </cell>
          <cell r="AK463" t="str">
            <v>INTERNE</v>
          </cell>
          <cell r="AL463" t="str">
            <v>/</v>
          </cell>
          <cell r="AM463" t="str">
            <v>Création maison</v>
          </cell>
        </row>
        <row r="464">
          <cell r="A464" t="str">
            <v>TA6972</v>
          </cell>
          <cell r="B464"/>
          <cell r="C464" t="str">
            <v>X</v>
          </cell>
          <cell r="D464" t="str">
            <v>x</v>
          </cell>
          <cell r="E464"/>
          <cell r="F464" t="str">
            <v>GRAI</v>
          </cell>
          <cell r="G464">
            <v>45383</v>
          </cell>
          <cell r="H464" t="str">
            <v>LES GRANDS CLASSIQUES</v>
          </cell>
          <cell r="I464"/>
          <cell r="J464" t="str">
            <v>Nectar enchanté</v>
          </cell>
          <cell r="K464" t="str">
            <v>Fruits jaunes - Vanille</v>
          </cell>
          <cell r="L464" t="str">
            <v>Thé vert aromatisé</v>
          </cell>
          <cell r="M464" t="str">
            <v>?</v>
          </cell>
          <cell r="N464" t="str">
            <v>AB</v>
          </cell>
          <cell r="O464" t="str">
            <v>/</v>
          </cell>
          <cell r="P464" t="str">
            <v>/</v>
          </cell>
          <cell r="Q464" t="str">
            <v>/</v>
          </cell>
          <cell r="R464" t="str">
            <v>/</v>
          </cell>
          <cell r="S464" t="str">
            <v>/</v>
          </cell>
          <cell r="T464" t="str">
            <v>Agriculture UE/non UE</v>
          </cell>
          <cell r="U464"/>
          <cell r="V464"/>
          <cell r="W464" t="str">
            <v>S15</v>
          </cell>
          <cell r="X464"/>
          <cell r="Y464"/>
          <cell r="Z464"/>
          <cell r="AA464" t="str">
            <v>/</v>
          </cell>
          <cell r="AB464" t="str">
            <v>/</v>
          </cell>
          <cell r="AC464">
            <v>100</v>
          </cell>
          <cell r="AD464" t="str">
            <v>3</v>
          </cell>
          <cell r="AE464">
            <v>75</v>
          </cell>
          <cell r="AF464">
            <v>2</v>
          </cell>
          <cell r="AG464">
            <v>50</v>
          </cell>
          <cell r="AH464">
            <v>3582810869727</v>
          </cell>
          <cell r="AI464" t="str">
            <v>/</v>
          </cell>
          <cell r="AJ464" t="str">
            <v>ETVA697V5</v>
          </cell>
          <cell r="AK464" t="str">
            <v>ETVA697V5</v>
          </cell>
          <cell r="AL464" t="str">
            <v>ETCVA6972V5</v>
          </cell>
          <cell r="AM464" t="str">
            <v>Création maison</v>
          </cell>
        </row>
        <row r="465">
          <cell r="A465" t="str">
            <v>TA5051</v>
          </cell>
          <cell r="B465"/>
          <cell r="C465" t="str">
            <v>X</v>
          </cell>
          <cell r="D465"/>
          <cell r="E465"/>
          <cell r="F465"/>
          <cell r="G465"/>
          <cell r="H465" t="str">
            <v>LES GRANDS CLASSIQUES</v>
          </cell>
          <cell r="I465"/>
          <cell r="J465" t="str">
            <v>Neige au soleil</v>
          </cell>
          <cell r="K465" t="str">
            <v>Fève tonka - Huiles essentielles d'agrumes</v>
          </cell>
          <cell r="L465" t="str">
            <v>Thé blanc aromatisé</v>
          </cell>
          <cell r="M465" t="str">
            <v>Chine - Fujian
Vietnam - Yen Bai</v>
          </cell>
          <cell r="N465" t="str">
            <v>AB</v>
          </cell>
          <cell r="O465" t="str">
            <v>WFTO</v>
          </cell>
          <cell r="P465" t="str">
            <v>/</v>
          </cell>
          <cell r="Q465" t="str">
            <v>/</v>
          </cell>
          <cell r="R465" t="str">
            <v>/</v>
          </cell>
          <cell r="S465" t="str">
            <v>/</v>
          </cell>
          <cell r="T465" t="str">
            <v>Agriculture UE/non UE</v>
          </cell>
          <cell r="U465"/>
          <cell r="V465" t="str">
            <v>Inspirée par la féérie d’une neige immaculée aux premières lueurs d’une journée ensoleillée, cette composition séduit par l’éclat de ses couleurs avant de conquérir le palais par ses saveurs. Dans la fraîcheur du thé blanc, les notes de fève tonka, d’agrumes, et de vanille déploient avec légèreté toute leur gourmandise. Une invitation à fondre de plaisir !</v>
          </cell>
          <cell r="W465" t="str">
            <v>S15</v>
          </cell>
          <cell r="X465" t="str">
            <v>Inspirée par la féérie d’une neige immaculée aux premières lueurs d’une journée ensoleillée, cette recette colorée à base de thé blanc séduit autant les yeux que le palais. Les notes de fève tonka, d’agrumes et de vanille déploient toute leur gourmandise et sont une invitation à fondre de plaisir !</v>
          </cell>
          <cell r="Y465"/>
          <cell r="Z465" t="str">
            <v>Ingrédients : thé blanc*, fève tonka* 13%, écorces de mandarine* 6%, baies roses*, pétales de rose*, extrait de vanille*, huiles essentielles d'agrumes (orange*, bergamote*) 3%, pétales de soucis*, fleurs de violette*. *Issu de l’agriculture biologique.
changement de recette à épuisement du semi avec la violette
Ingrédients : thé blanc*, fève tonka* 13%, écorces de mandarine* 6%, baies roses*, pétales de rose*, extrait de vanille*, huiles essentielles d'agrumes (orange*, bergamote*) 3%, pétales de soucis*, d'amarante*. *Issu de l’agriculture biologique.</v>
          </cell>
          <cell r="AA465" t="str">
            <v>/</v>
          </cell>
          <cell r="AB465" t="str">
            <v>Membre certifié World Fair Trade Organization, Les Jardins de Gaïa s’engagent pour un commerce plus juste et répondent aux exigences du commerce équitable. Pour en savoir plus : www.wfto.com.</v>
          </cell>
          <cell r="AC465">
            <v>1.5</v>
          </cell>
          <cell r="AD465" t="str">
            <v>3-4</v>
          </cell>
          <cell r="AE465">
            <v>85</v>
          </cell>
          <cell r="AF465">
            <v>2</v>
          </cell>
          <cell r="AG465">
            <v>750</v>
          </cell>
          <cell r="AH465">
            <v>3582810650516</v>
          </cell>
          <cell r="AI465" t="str">
            <v>/</v>
          </cell>
          <cell r="AJ465" t="str">
            <v>INTERNE</v>
          </cell>
          <cell r="AK465" t="str">
            <v>INTERNE</v>
          </cell>
          <cell r="AL465" t="str">
            <v>/</v>
          </cell>
          <cell r="AM465" t="str">
            <v>Création maison</v>
          </cell>
        </row>
        <row r="466">
          <cell r="A466" t="str">
            <v>TA5056</v>
          </cell>
          <cell r="B466"/>
          <cell r="C466" t="str">
            <v>X</v>
          </cell>
          <cell r="D466" t="str">
            <v>X</v>
          </cell>
          <cell r="E466" t="str">
            <v>X</v>
          </cell>
          <cell r="F466" t="str">
            <v>BRODART</v>
          </cell>
          <cell r="G466"/>
          <cell r="H466" t="str">
            <v>LES GRANDS CLASSIQUES</v>
          </cell>
          <cell r="I466"/>
          <cell r="J466" t="str">
            <v>Neige au soleil</v>
          </cell>
          <cell r="K466" t="str">
            <v>Fève tonka - Huiles essentielles d'agrumes</v>
          </cell>
          <cell r="L466" t="str">
            <v>Thé blanc aromatisé</v>
          </cell>
          <cell r="M466" t="str">
            <v>Chine - Fujian
Vietnam - Yen Bai</v>
          </cell>
          <cell r="N466" t="str">
            <v>AB</v>
          </cell>
          <cell r="O466" t="str">
            <v>WFTO</v>
          </cell>
          <cell r="P466" t="str">
            <v>/</v>
          </cell>
          <cell r="Q466" t="str">
            <v>/</v>
          </cell>
          <cell r="R466" t="str">
            <v>/</v>
          </cell>
          <cell r="S466" t="str">
            <v>/</v>
          </cell>
          <cell r="T466" t="str">
            <v>Agriculture UE/non UE</v>
          </cell>
          <cell r="U466"/>
          <cell r="V466" t="str">
            <v>Inspirée par la féérie d’une neige immaculée aux premières lueurs d’une journée ensoleillée, cette composition séduit par l’éclat de ses couleurs avant de conquérir le palais par ses saveurs. Dans la fraîcheur du thé blanc, les notes de fève tonka, d’agrumes, et de vanille déploient avec légèreté toute leur gourmandise. Une invitation à fondre de plaisir !</v>
          </cell>
          <cell r="W466" t="str">
            <v>S15</v>
          </cell>
          <cell r="X466" t="str">
            <v>Inspirée par la féérie d’une neige immaculée aux premières lueurs d’une journée ensoleillée, cette recette colorée à base de thé blanc séduit autant les yeux que le palais. Les notes de fève tonka, d’agrumes et de vanille déploient toute leur gourmandise et sont une invitation à fondre de plaisir !</v>
          </cell>
          <cell r="Y466"/>
          <cell r="Z466" t="str">
            <v>Ingrédients : thé blanc*, fève tonka* 13%, écorces de mandarine* 6%, baies roses*, pétales de rose*, extrait de vanille*, huiles essentielles d'agrumes (orange*, bergamote*) 3%, pétales de soucis*, fleurs de violette*. *Issu de l’agriculture biologique.
changement de recette à épuisement du semi avec la violette
Ingrédients : thé blanc*, fève tonka* 13%, écorces de mandarine* 6%, baies roses*, pétales de rose*, extrait de vanille*, huiles essentielles d'agrumes (orange*, bergamote*) 3%, pétales de soucis*, d'amarante*. *Issu de l’agriculture biologique.</v>
          </cell>
          <cell r="AA466" t="str">
            <v>/</v>
          </cell>
          <cell r="AB466" t="str">
            <v>Membre certifié World Fair Trade Organization, Les Jardins de Gaïa s’engagent pour un commerce plus juste et répondent aux exigences du commerce équitable. Pour en savoir plus : www.wfto.com.</v>
          </cell>
          <cell r="AC466">
            <v>50</v>
          </cell>
          <cell r="AD466" t="str">
            <v>3-4</v>
          </cell>
          <cell r="AE466">
            <v>85</v>
          </cell>
          <cell r="AF466">
            <v>2</v>
          </cell>
          <cell r="AG466">
            <v>25</v>
          </cell>
          <cell r="AH466">
            <v>3582810650561</v>
          </cell>
          <cell r="AI466" t="str">
            <v>/</v>
          </cell>
          <cell r="AJ466" t="str">
            <v>ETTA505V5</v>
          </cell>
          <cell r="AK466" t="str">
            <v>ETTA505V5</v>
          </cell>
          <cell r="AL466" t="str">
            <v>ETCTA5056V5</v>
          </cell>
          <cell r="AM466" t="str">
            <v>Création maison</v>
          </cell>
        </row>
        <row r="467">
          <cell r="A467" t="str">
            <v>TA5056</v>
          </cell>
          <cell r="B467"/>
          <cell r="C467" t="str">
            <v>X</v>
          </cell>
          <cell r="D467" t="str">
            <v>X</v>
          </cell>
          <cell r="E467" t="str">
            <v>X</v>
          </cell>
          <cell r="F467" t="str">
            <v>BRODART</v>
          </cell>
          <cell r="G467"/>
          <cell r="H467" t="str">
            <v>LES GRANDS CLASSIQUES</v>
          </cell>
          <cell r="I467"/>
          <cell r="J467" t="str">
            <v>Neige au soleil</v>
          </cell>
          <cell r="K467" t="str">
            <v>Fève tonka - Huiles essentielles d'agrumes</v>
          </cell>
          <cell r="L467" t="str">
            <v>Thé blanc aromatisé</v>
          </cell>
          <cell r="M467" t="str">
            <v>Chine - Fujian
Vietnam - Yen Bai</v>
          </cell>
          <cell r="N467" t="str">
            <v>AB</v>
          </cell>
          <cell r="O467" t="str">
            <v>WFTO</v>
          </cell>
          <cell r="P467" t="str">
            <v>/</v>
          </cell>
          <cell r="Q467" t="str">
            <v>/</v>
          </cell>
          <cell r="R467" t="str">
            <v>/</v>
          </cell>
          <cell r="S467" t="str">
            <v>/</v>
          </cell>
          <cell r="T467" t="str">
            <v>Agriculture UE/non UE</v>
          </cell>
          <cell r="U467"/>
          <cell r="V467" t="str">
            <v>Inspirée par la féérie d’une neige immaculée aux premières lueurs d’une journée ensoleillée, cette composition séduit par l’éclat de ses couleurs avant de conquérir le palais par ses saveurs. Dans la fraîcheur du thé blanc, les notes de fève tonka, d’agrumes, et de vanille déploient avec légèreté toute leur gourmandise. Une invitation à fondre de plaisir !</v>
          </cell>
          <cell r="W467" t="str">
            <v>S15</v>
          </cell>
          <cell r="X467" t="str">
            <v>Inspirée par la féérie d’une neige immaculée aux premières lueurs d’une journée ensoleillée, cette recette colorée à base de thé blanc séduit autant les yeux que le palais. Les notes de fève tonka, d’agrumes et de vanille déploient toute leur gourmandise et sont une invitation à fondre de plaisir !</v>
          </cell>
          <cell r="Y467"/>
          <cell r="Z467" t="str">
            <v>Ingrédients : thé blanc*, fève tonka* 13%, écorces de mandarine* 6%, baies roses*, pétales de rose*, extrait de vanille*, huiles essentielles d'agrumes (orange*, bergamote*) 3%, pétales de soucis*, fleurs de violette*. *Issu de l’agriculture biologique.
changement de recette à épuisement du semi avec la violette
Ingrédients : thé blanc*, fève tonka* 13%, écorces de mandarine* 6%, baies roses*, pétales de rose*, extrait de vanille*, huiles essentielles d'agrumes (orange*, bergamote*) 3%, pétales de soucis*, d'amarante*. *Issu de l’agriculture biologique.</v>
          </cell>
          <cell r="AA467" t="str">
            <v>/</v>
          </cell>
          <cell r="AB467" t="str">
            <v>Membre certifié World Fair Trade Organization, Les Jardins de Gaïa s’engagent pour un commerce plus juste et répondent aux exigences du commerce équitable. Pour en savoir plus : www.wfto.com.</v>
          </cell>
          <cell r="AC467">
            <v>50</v>
          </cell>
          <cell r="AD467" t="str">
            <v>3-4</v>
          </cell>
          <cell r="AE467">
            <v>85</v>
          </cell>
          <cell r="AF467">
            <v>2</v>
          </cell>
          <cell r="AG467">
            <v>25</v>
          </cell>
          <cell r="AH467">
            <v>3582810650561</v>
          </cell>
          <cell r="AI467" t="str">
            <v>/</v>
          </cell>
          <cell r="AJ467" t="str">
            <v>ETTA505V5N</v>
          </cell>
          <cell r="AK467" t="str">
            <v>ETTA505V5N</v>
          </cell>
          <cell r="AL467" t="str">
            <v>ETCTA5056V5N</v>
          </cell>
          <cell r="AM467" t="str">
            <v>Création maison</v>
          </cell>
        </row>
        <row r="468">
          <cell r="A468" t="str">
            <v>TSTA5056V5</v>
          </cell>
          <cell r="B468"/>
          <cell r="C468"/>
          <cell r="D468"/>
          <cell r="E468"/>
          <cell r="F468"/>
          <cell r="G468"/>
          <cell r="H468" t="str">
            <v>LES GRANDS CLASSIQUES</v>
          </cell>
          <cell r="I468"/>
          <cell r="J468" t="str">
            <v>Neige au soleil</v>
          </cell>
          <cell r="K468" t="str">
            <v>Fève tonka - Huiles essentielles d'agrumes</v>
          </cell>
          <cell r="L468" t="str">
            <v>Thé blanc aromatisé</v>
          </cell>
          <cell r="M468" t="str">
            <v>Chine - Fujian
Vietnam - Yen Bai</v>
          </cell>
          <cell r="N468" t="str">
            <v>AB</v>
          </cell>
          <cell r="O468" t="str">
            <v>WFTO</v>
          </cell>
          <cell r="P468" t="str">
            <v>/</v>
          </cell>
          <cell r="Q468" t="str">
            <v>/</v>
          </cell>
          <cell r="R468" t="str">
            <v>/</v>
          </cell>
          <cell r="S468" t="str">
            <v>/</v>
          </cell>
          <cell r="T468" t="str">
            <v>Agriculture UE/non UE</v>
          </cell>
          <cell r="U468"/>
          <cell r="V468" t="str">
            <v>Inspirée par la féérie d’une neige immaculée aux premières lueurs d’une journée ensoleillée, cette composition séduit par l’éclat de ses couleurs avant de conquérir le palais par ses saveurs. Dans la fraîcheur du thé blanc, les notes de fève tonka, d’agrumes, et de vanille déploient avec légèreté toute leur gourmandise. Une invitation à fondre de plaisir !</v>
          </cell>
          <cell r="W468" t="str">
            <v>S15</v>
          </cell>
          <cell r="X468" t="str">
            <v>Inspirée par la féérie d’une neige immaculée aux premières lueurs d’une journée ensoleillée, cette recette colorée à base de thé blanc séduit autant les yeux que le palais. Les notes de fève tonka, d’agrumes et de vanille déploient toute leur gourmandise et sont une invitation à fondre de plaisir !</v>
          </cell>
          <cell r="Y468"/>
          <cell r="Z468" t="str">
            <v>Ingrédients : thé blanc*, fève tonka* 13%, écorces de mandarine* 6%, baies roses*, pétales de rose*, extrait de vanille*, huiles essentielles d'agrumes (orange*, bergamote*) 3%, pétales de soucis*, fleurs de violette*. *Issu de l’agriculture biologique.
changement de recette à épuisement du semi avec la violette
Ingrédients : thé blanc*, fève tonka* 13%, écorces de mandarine* 6%, baies roses*, pétales de rose*, extrait de vanille*, huiles essentielles d'agrumes (orange*, bergamote*) 3%, pétales de soucis*, d'amarante*. *Issu de l’agriculture biologique.</v>
          </cell>
          <cell r="AA468" t="str">
            <v>/</v>
          </cell>
          <cell r="AB468" t="str">
            <v>Membre certifié World Fair Trade Organization, Les Jardins de Gaïa s’engagent pour un commerce plus juste et répondent aux exigences du commerce équitable. Pour en savoir plus : www.wfto.com.</v>
          </cell>
          <cell r="AC468">
            <v>50</v>
          </cell>
          <cell r="AD468" t="str">
            <v>3-4</v>
          </cell>
          <cell r="AE468">
            <v>85</v>
          </cell>
          <cell r="AF468">
            <v>2</v>
          </cell>
          <cell r="AG468">
            <v>25</v>
          </cell>
          <cell r="AH468">
            <v>3582815550569</v>
          </cell>
          <cell r="AI468" t="str">
            <v>/</v>
          </cell>
          <cell r="AJ468" t="str">
            <v>ETTSTA5056</v>
          </cell>
          <cell r="AK468" t="str">
            <v>ETTSTA5056V5</v>
          </cell>
          <cell r="AL468" t="str">
            <v>/</v>
          </cell>
          <cell r="AM468" t="str">
            <v>Création maison</v>
          </cell>
        </row>
        <row r="469">
          <cell r="A469" t="str">
            <v>TN3397</v>
          </cell>
          <cell r="B469"/>
          <cell r="C469"/>
          <cell r="D469"/>
          <cell r="E469"/>
          <cell r="F469"/>
          <cell r="G469"/>
          <cell r="H469" t="str">
            <v>LES GRANDS CLASSIQUES</v>
          </cell>
          <cell r="I469"/>
          <cell r="J469" t="str">
            <v xml:space="preserve">Neiges de l’Himalaya </v>
          </cell>
          <cell r="K469" t="str">
            <v>FTGFOP1 FF Top Quality
Récolte de printemps</v>
          </cell>
          <cell r="L469" t="str">
            <v>Thé noir</v>
          </cell>
          <cell r="M469" t="str">
            <v>Inde - Darjeeling</v>
          </cell>
          <cell r="N469" t="str">
            <v>AB</v>
          </cell>
          <cell r="O469" t="str">
            <v>WFTO</v>
          </cell>
          <cell r="P469" t="str">
            <v>/</v>
          </cell>
          <cell r="Q469" t="str">
            <v>/</v>
          </cell>
          <cell r="R469" t="str">
            <v>IGP</v>
          </cell>
          <cell r="S469" t="str">
            <v>/</v>
          </cell>
          <cell r="T469" t="str">
            <v>Agriculture Inde</v>
          </cell>
          <cell r="U469"/>
          <cell r="V469" t="str">
            <v>Excellent mélange de thés de printemps aux fragrances magiques. Saveur raffinée et fraîche d'une harmonie parfaite aux goûts mêlés évoquant les fruits rouges et la noisette. Tasse dorée, longue en bouche, qui ensoleille vos journées.</v>
          </cell>
          <cell r="W469" t="str">
            <v>S15</v>
          </cell>
          <cell r="X469" t="str">
            <v>Ce thé noir du Darjeeling est le fruit d’un mariage de plusieurs récoltes de printemps dont il exprime la vivacité et les fragrances magiques. Laissez-vous charmer par sa tasse lumineuse aux saveurs raffinées, fraîches et complexes qui évoquent les fruits rouges et la noisette.</v>
          </cell>
          <cell r="Y469"/>
          <cell r="Z469" t="str">
            <v>Ingrédient : thé noir*. *Issu de l'agriculture biologique.</v>
          </cell>
          <cell r="AA469" t="str">
            <v>/</v>
          </cell>
          <cell r="AB469" t="str">
            <v>Membre certifié World Fair Trade Organization, Les Jardins de Gaïa s’engagent pour un commerce plus juste et répondent aux exigences du commerce équitable. Pour en savoir plus : www.wfto.com.</v>
          </cell>
          <cell r="AC469">
            <v>1</v>
          </cell>
          <cell r="AD469" t="str">
            <v>3</v>
          </cell>
          <cell r="AE469">
            <v>90</v>
          </cell>
          <cell r="AF469">
            <v>2</v>
          </cell>
          <cell r="AG469">
            <v>500</v>
          </cell>
          <cell r="AH469">
            <v>3582810233979</v>
          </cell>
          <cell r="AI469" t="str">
            <v>/</v>
          </cell>
          <cell r="AJ469" t="str">
            <v>INTERNE</v>
          </cell>
          <cell r="AK469" t="str">
            <v>INTERNE</v>
          </cell>
          <cell r="AL469" t="str">
            <v>/</v>
          </cell>
          <cell r="AM469" t="str">
            <v>Création maison</v>
          </cell>
        </row>
        <row r="470">
          <cell r="A470" t="str">
            <v>TN3392</v>
          </cell>
          <cell r="B470"/>
          <cell r="C470" t="str">
            <v>X</v>
          </cell>
          <cell r="D470" t="str">
            <v>X</v>
          </cell>
          <cell r="E470" t="str">
            <v>X</v>
          </cell>
          <cell r="F470" t="str">
            <v>BRODART</v>
          </cell>
          <cell r="G470"/>
          <cell r="H470" t="str">
            <v>LES GRANDS CLASSIQUES</v>
          </cell>
          <cell r="I470"/>
          <cell r="J470" t="str">
            <v xml:space="preserve">Neiges de l’Himalaya </v>
          </cell>
          <cell r="K470" t="str">
            <v>FTGFOP1 FF Top Quality
Récolte de printemps</v>
          </cell>
          <cell r="L470" t="str">
            <v>Thé noir</v>
          </cell>
          <cell r="M470" t="str">
            <v>Inde - Darjeeling</v>
          </cell>
          <cell r="N470" t="str">
            <v>AB</v>
          </cell>
          <cell r="O470" t="str">
            <v>WFTO</v>
          </cell>
          <cell r="P470" t="str">
            <v>/</v>
          </cell>
          <cell r="Q470" t="str">
            <v>/</v>
          </cell>
          <cell r="R470" t="str">
            <v>IGP</v>
          </cell>
          <cell r="S470" t="str">
            <v>/</v>
          </cell>
          <cell r="T470" t="str">
            <v>Agriculture Inde</v>
          </cell>
          <cell r="U470"/>
          <cell r="V470" t="str">
            <v>Excellent mélange de thés de printemps aux fragrances magiques. Saveur raffinée et fraîche d'une harmonie parfaite aux goûts mêlés évoquant les fruits rouges et la noisette. Tasse dorée, longue en bouche, qui ensoleille vos journées.</v>
          </cell>
          <cell r="W470" t="str">
            <v>S15</v>
          </cell>
          <cell r="X470" t="str">
            <v>Ce thé noir du Darjeeling est le fruit d’un mariage de plusieurs récoltes de printemps dont il exprime la vivacité et les fragrances magiques. Laissez-vous charmer par sa tasse lumineuse aux saveurs raffinées, fraîches et complexes qui évoquent les fruits rouges et la noisette.</v>
          </cell>
          <cell r="Y470"/>
          <cell r="Z470" t="str">
            <v>Ingrédient : thé noir*. *Issu de l'agriculture biologique.</v>
          </cell>
          <cell r="AA470" t="str">
            <v>/</v>
          </cell>
          <cell r="AB470" t="str">
            <v>Membre certifié World Fair Trade Organization, Les Jardins de Gaïa s’engagent pour un commerce plus juste et répondent aux exigences du commerce équitable. Pour en savoir plus : www.wfto.com.</v>
          </cell>
          <cell r="AC470">
            <v>80</v>
          </cell>
          <cell r="AD470" t="str">
            <v>3</v>
          </cell>
          <cell r="AE470">
            <v>90</v>
          </cell>
          <cell r="AF470">
            <v>2</v>
          </cell>
          <cell r="AG470">
            <v>40</v>
          </cell>
          <cell r="AH470">
            <v>3582810233924</v>
          </cell>
          <cell r="AI470" t="str">
            <v>/</v>
          </cell>
          <cell r="AJ470" t="str">
            <v>ETNN339V5</v>
          </cell>
          <cell r="AK470" t="str">
            <v>ETNN339V5</v>
          </cell>
          <cell r="AL470" t="str">
            <v>ETCNN3392V5</v>
          </cell>
          <cell r="AM470" t="str">
            <v>Création maison</v>
          </cell>
        </row>
        <row r="471">
          <cell r="A471" t="str">
            <v>TN4157</v>
          </cell>
          <cell r="B471"/>
          <cell r="C471"/>
          <cell r="D471"/>
          <cell r="E471"/>
          <cell r="F471"/>
          <cell r="G471"/>
          <cell r="H471" t="str">
            <v>LES GRAND CRUS</v>
          </cell>
          <cell r="I471"/>
          <cell r="J471" t="str">
            <v>Nepali Gold</v>
          </cell>
          <cell r="K471" t="str">
            <v>Bourgeons dorés</v>
          </cell>
          <cell r="L471" t="str">
            <v>Thé noir d'origine</v>
          </cell>
          <cell r="M471" t="str">
            <v>Népal - Panchthar</v>
          </cell>
          <cell r="N471" t="str">
            <v>AB</v>
          </cell>
          <cell r="O471" t="str">
            <v>WFTO</v>
          </cell>
          <cell r="P471" t="str">
            <v>/</v>
          </cell>
          <cell r="Q471" t="str">
            <v>/</v>
          </cell>
          <cell r="R471" t="str">
            <v>/</v>
          </cell>
          <cell r="S471" t="str">
            <v>/</v>
          </cell>
          <cell r="T471" t="str">
            <v>Agriculture Népal</v>
          </cell>
          <cell r="U471"/>
          <cell r="V471" t="str">
            <v>Récolte d’été des hauts plateaux de l’Himalaya, ce thé noir offre une belle concentration en bourgeons. Florale et sucrée au nez, la liqueur particulièrement dense libère de délicieux arômes de cassonade et de miel. Un thé idéal pour découvrir en famille toute l’originalité des thés noirs d’altitude.</v>
          </cell>
          <cell r="W471" t="str">
            <v>S25</v>
          </cell>
          <cell r="X471" t="str">
            <v>Fruit d’une récolte d’été sur les hauts plateaux de l’Himalaya, ce thé noir offre une belle concentration en bourgeons. Florale et sucrée au nez, sa liqueur particulièrement dense libère de délicieuses notes de cassonade et de miel. Un thé idéal pour découvrir l’originalité des thés noirs népalais.</v>
          </cell>
          <cell r="Y471"/>
          <cell r="Z471" t="str">
            <v xml:space="preserve">Ingrédient : thé noir*. *Issu de l'agriculture biologique. </v>
          </cell>
          <cell r="AA471" t="str">
            <v>/</v>
          </cell>
          <cell r="AB471" t="str">
            <v>Membre certifié World Fair Trade Organization, Les Jardins de Gaïa s’engagent pour un commerce plus juste et répondent aux exigences du commerce équitable. Pour en savoir plus : www.wfto.com.</v>
          </cell>
          <cell r="AC471">
            <v>1</v>
          </cell>
          <cell r="AD471" t="str">
            <v>3</v>
          </cell>
          <cell r="AE471">
            <v>95</v>
          </cell>
          <cell r="AF471">
            <v>2</v>
          </cell>
          <cell r="AG471">
            <v>500</v>
          </cell>
          <cell r="AH471">
            <v>3582811341574</v>
          </cell>
          <cell r="AI471" t="str">
            <v>/</v>
          </cell>
          <cell r="AJ471" t="str">
            <v>INTERNE</v>
          </cell>
          <cell r="AK471" t="str">
            <v>INTERNE</v>
          </cell>
          <cell r="AL471" t="str">
            <v>/</v>
          </cell>
          <cell r="AM471" t="str">
            <v>Kanchanjangha Tea Estate</v>
          </cell>
        </row>
        <row r="472">
          <cell r="A472" t="str">
            <v>TN4152</v>
          </cell>
          <cell r="B472"/>
          <cell r="C472"/>
          <cell r="D472"/>
          <cell r="E472"/>
          <cell r="F472"/>
          <cell r="G472"/>
          <cell r="H472" t="str">
            <v>LES GRAND CRUS</v>
          </cell>
          <cell r="I472"/>
          <cell r="J472" t="str">
            <v>Nepali Gold</v>
          </cell>
          <cell r="K472" t="str">
            <v>Bourgeons dorés</v>
          </cell>
          <cell r="L472" t="str">
            <v>Thé noir d'origine</v>
          </cell>
          <cell r="M472" t="str">
            <v>Népal - Panchthar</v>
          </cell>
          <cell r="N472" t="str">
            <v>AB</v>
          </cell>
          <cell r="O472" t="str">
            <v>WFTO</v>
          </cell>
          <cell r="P472" t="str">
            <v>/</v>
          </cell>
          <cell r="Q472" t="str">
            <v>/</v>
          </cell>
          <cell r="R472" t="str">
            <v>/</v>
          </cell>
          <cell r="S472" t="str">
            <v>/</v>
          </cell>
          <cell r="T472" t="str">
            <v>Agriculture Népal</v>
          </cell>
          <cell r="U472"/>
          <cell r="V472" t="str">
            <v>Récolte d’été des hauts plateaux de l’Himalaya, ce thé noir offre une belle concentration en bourgeons. Florale et sucrée au nez, la liqueur particulièrement dense libère de délicieux arômes de cassonade et de miel. Un thé idéal pour découvrir en famille toute l’originalité des thés noirs d’altitude.</v>
          </cell>
          <cell r="W472" t="str">
            <v>S25</v>
          </cell>
          <cell r="X472" t="str">
            <v>Fruit d’une récolte d’été sur les hauts plateaux de l’Himalaya, ce thé noir offre une belle concentration en bourgeons. Florale et sucrée au nez, sa liqueur particulièrement dense libère de délicieuses notes de cassonade et de miel. Un thé idéal pour découvrir l’originalité des thés noirs népalais.</v>
          </cell>
          <cell r="Y472"/>
          <cell r="Z472" t="str">
            <v xml:space="preserve">Ingrédient : thé noir*. *Issu de l'agriculture biologique. </v>
          </cell>
          <cell r="AA472" t="str">
            <v>/</v>
          </cell>
          <cell r="AB472" t="str">
            <v>Membre certifié World Fair Trade Organization, Les Jardins de Gaïa s’engagent pour un commerce plus juste et répondent aux exigences du commerce équitable. Pour en savoir plus : www.wfto.com.</v>
          </cell>
          <cell r="AC472">
            <v>80</v>
          </cell>
          <cell r="AD472" t="str">
            <v>3</v>
          </cell>
          <cell r="AE472">
            <v>95</v>
          </cell>
          <cell r="AF472">
            <v>2</v>
          </cell>
          <cell r="AG472">
            <v>40</v>
          </cell>
          <cell r="AH472">
            <v>3582811341529</v>
          </cell>
          <cell r="AI472" t="str">
            <v>/</v>
          </cell>
          <cell r="AJ472" t="str">
            <v>ETNN415V5</v>
          </cell>
          <cell r="AK472" t="str">
            <v>ETNN415V5</v>
          </cell>
          <cell r="AL472" t="str">
            <v>ETCNN4152V5</v>
          </cell>
          <cell r="AM472" t="str">
            <v>Kanchanjangha Tea Estate</v>
          </cell>
        </row>
        <row r="473">
          <cell r="A473" t="str">
            <v>TR2472</v>
          </cell>
          <cell r="B473"/>
          <cell r="C473" t="str">
            <v>X</v>
          </cell>
          <cell r="D473" t="str">
            <v>X</v>
          </cell>
          <cell r="E473" t="str">
            <v>X</v>
          </cell>
          <cell r="F473" t="str">
            <v>BRODART</v>
          </cell>
          <cell r="G473"/>
          <cell r="H473" t="str">
            <v>LES GRANDS CLASSIQUES</v>
          </cell>
          <cell r="I473"/>
          <cell r="J473" t="str">
            <v>Noël en famille</v>
          </cell>
          <cell r="K473" t="str">
            <v xml:space="preserve">Saveurs pruneau - mirabelle </v>
          </cell>
          <cell r="L473" t="str">
            <v>Rooibos aromatisé</v>
          </cell>
          <cell r="M473" t="str">
            <v>Afrique du Sud - Cap Occidental</v>
          </cell>
          <cell r="N473" t="str">
            <v>AB</v>
          </cell>
          <cell r="O473" t="str">
            <v>WFTO</v>
          </cell>
          <cell r="P473" t="str">
            <v>/</v>
          </cell>
          <cell r="Q473" t="str">
            <v>/</v>
          </cell>
          <cell r="R473" t="str">
            <v>/</v>
          </cell>
          <cell r="S473" t="str">
            <v>/</v>
          </cell>
          <cell r="T473" t="str">
            <v xml:space="preserve">Agriculture UE/non UE </v>
          </cell>
          <cell r="U473"/>
          <cell r="V473" t="str">
            <v>Passer du temps en famille, savourer de bons petits plats et se réchauffer le cœur en dégustant une infusion de rooibos qui sent bon le pruneau et la cannelle… Rien de tel pour resserrer les liens dans ces moments magiques !</v>
          </cell>
          <cell r="W473" t="str">
            <v>S16</v>
          </cell>
          <cell r="X473" t="str">
            <v>Passer du temps en famille, savourer de bons petits plats et se réchauffer le cœur en dégustant une infusion de rooibos qui sent bon le pruneau et la cannelle… Rien de tel pour resserrer les liens dans ces moments magiques !</v>
          </cell>
          <cell r="Y473"/>
          <cell r="Z473" t="str">
            <v>Ingrédients : rooibos*, arômes naturels de (mirabelle, pruneau*) 7%, morceaux de pomme*, cannelle*, fleurs de sureau*, amarante*. *Issu de l'agriculture biologique.</v>
          </cell>
          <cell r="AA473" t="str">
            <v>/</v>
          </cell>
          <cell r="AB473" t="str">
            <v>Membre certifié World Fair Trade Organization, Les Jardins de Gaïa s’engagent pour un commerce plus juste et répondent aux exigences du commerce équitable. Pour en savoir plus : www.wfto.com.</v>
          </cell>
          <cell r="AC473">
            <v>100</v>
          </cell>
          <cell r="AD473" t="str">
            <v>5-10</v>
          </cell>
          <cell r="AE473">
            <v>95</v>
          </cell>
          <cell r="AF473">
            <v>2</v>
          </cell>
          <cell r="AG473">
            <v>50</v>
          </cell>
          <cell r="AH473">
            <v>3582810924723</v>
          </cell>
          <cell r="AI473" t="str">
            <v>/</v>
          </cell>
          <cell r="AJ473" t="str">
            <v>ETRA247V5N</v>
          </cell>
          <cell r="AK473" t="str">
            <v>ETRA247V5N</v>
          </cell>
          <cell r="AL473" t="str">
            <v>ETCRA2472V5N</v>
          </cell>
          <cell r="AM473" t="str">
            <v>Création maison</v>
          </cell>
        </row>
        <row r="474">
          <cell r="A474" t="str">
            <v>TR2471</v>
          </cell>
          <cell r="B474"/>
          <cell r="C474"/>
          <cell r="D474"/>
          <cell r="E474"/>
          <cell r="F474"/>
          <cell r="G474"/>
          <cell r="H474" t="str">
            <v>LES GRANDS CLASSIQUES</v>
          </cell>
          <cell r="I474"/>
          <cell r="J474" t="str">
            <v>Noël en famille (mémé gourmandise)</v>
          </cell>
          <cell r="K474" t="str">
            <v xml:space="preserve">Saveurs pruneau - mirabelle </v>
          </cell>
          <cell r="L474" t="str">
            <v>Rooibos aromatisé</v>
          </cell>
          <cell r="M474" t="str">
            <v>Afrique du Sud - Cap Occidental</v>
          </cell>
          <cell r="N474" t="str">
            <v>AB</v>
          </cell>
          <cell r="O474" t="str">
            <v>WFTO</v>
          </cell>
          <cell r="P474" t="str">
            <v>/</v>
          </cell>
          <cell r="Q474" t="str">
            <v>/</v>
          </cell>
          <cell r="R474" t="str">
            <v>/</v>
          </cell>
          <cell r="S474" t="str">
            <v>/</v>
          </cell>
          <cell r="T474" t="str">
            <v xml:space="preserve">Agriculture UE/non UE </v>
          </cell>
          <cell r="U474"/>
          <cell r="V474" t="str">
            <v>Passer du temps en famille, savourer de bons petits plats et se réchauffer le cœur en dégustant une infusion de rooibos qui sent bon le pruneau et la cannelle… Rien de tel pour resserrer les liens dans ces moments magiques !</v>
          </cell>
          <cell r="W474" t="str">
            <v>S16</v>
          </cell>
          <cell r="X474" t="str">
            <v>Passer du temps en famille, savourer de bons petits plats et se réchauffer le cœur en dégustant une infusion de rooibos qui sent bon le pruneau et la cannelle… Rien de tel pour resserrer les liens dans ces moments magiques !</v>
          </cell>
          <cell r="Y474"/>
          <cell r="Z474" t="str">
            <v>Ingrédients : rooibos*, arômes naturels de (mirabelle, pruneau*) 7%, morceaux de pomme*, cannelle*, fleurs de sureau*, amarante*. *Issu de l'agriculture biologique.</v>
          </cell>
          <cell r="AA474" t="str">
            <v>/</v>
          </cell>
          <cell r="AB474" t="str">
            <v>Membre certifié World Fair Trade Organization, Les Jardins de Gaïa s’engagent pour un commerce plus juste et répondent aux exigences du commerce équitable. Pour en savoir plus : www.wfto.com.</v>
          </cell>
          <cell r="AC474">
            <v>1.5</v>
          </cell>
          <cell r="AD474" t="str">
            <v>5-10</v>
          </cell>
          <cell r="AE474">
            <v>95</v>
          </cell>
          <cell r="AF474">
            <v>2</v>
          </cell>
          <cell r="AG474">
            <v>750</v>
          </cell>
          <cell r="AH474">
            <v>3582810924716</v>
          </cell>
          <cell r="AI474" t="str">
            <v>/</v>
          </cell>
          <cell r="AJ474" t="str">
            <v>INTERNE</v>
          </cell>
          <cell r="AK474" t="str">
            <v>INTERNE</v>
          </cell>
          <cell r="AL474" t="str">
            <v>/</v>
          </cell>
          <cell r="AM474" t="str">
            <v>Création maison</v>
          </cell>
        </row>
        <row r="475">
          <cell r="A475" t="str">
            <v>TN5471</v>
          </cell>
          <cell r="B475"/>
          <cell r="C475"/>
          <cell r="D475"/>
          <cell r="E475"/>
          <cell r="F475"/>
          <cell r="G475"/>
          <cell r="H475" t="str">
            <v>LES GRANDS CLASSIQUES</v>
          </cell>
          <cell r="I475"/>
          <cell r="J475" t="str">
            <v>Noir du Laos</v>
          </cell>
          <cell r="K475" t="str">
            <v>OP</v>
          </cell>
          <cell r="L475" t="str">
            <v>Thé noir d'origine</v>
          </cell>
          <cell r="M475" t="str">
            <v>Laos - Phongsaly</v>
          </cell>
          <cell r="N475" t="str">
            <v>AB</v>
          </cell>
          <cell r="O475" t="str">
            <v>WFTO</v>
          </cell>
          <cell r="P475" t="str">
            <v>/</v>
          </cell>
          <cell r="Q475" t="str">
            <v>/</v>
          </cell>
          <cell r="R475" t="str">
            <v>/</v>
          </cell>
          <cell r="S475" t="str">
            <v>/</v>
          </cell>
          <cell r="T475" t="str">
            <v>Agriculture Laos</v>
          </cell>
          <cell r="U475"/>
          <cell r="V475" t="str">
            <v>Élaboré dans la province de Phongsaly au nord du Laos, ce thé noir est issu de théiers anciens qui poussent dans un cadre très semblable à celui du Yunnan proche. De ces belles grandes feuilles émaillées de bourgeons dorés naît une liqueur ambrée souple et aromatique. Ses saveurs chocolatées et vanillées sont agréablement ponctuées par une finale aux notes d'agrumes particulièrement longue en bouche.</v>
          </cell>
          <cell r="W475" t="str">
            <v>S16</v>
          </cell>
          <cell r="X475" t="str">
            <v>Élaboré dans la province de Phongsaly au nord du Laos, ce thé noir issu de théiers anciens est composé de grandes feuilles émaillées de bourgeons dorés. Sa liqueur ambrée souple et aromatique offre des saveurs chocolatées et vanillées agréablement ponctuées par des notes fruitées d'agrumes.</v>
          </cell>
          <cell r="Y475"/>
          <cell r="Z475" t="str">
            <v>Ingrédient : thé noir*. *Issu de l'agriculture biologique.</v>
          </cell>
          <cell r="AA475" t="str">
            <v>/</v>
          </cell>
          <cell r="AB475" t="str">
            <v>Membre certifié World Fair Trade Organization, Les Jardins de Gaïa s’engagent pour un commerce plus juste et répondent aux exigences du commerce équitable. Pour en savoir plus : www.wfto.com.</v>
          </cell>
          <cell r="AC475">
            <v>1.5</v>
          </cell>
          <cell r="AD475" t="str">
            <v>3-4</v>
          </cell>
          <cell r="AE475">
            <v>95</v>
          </cell>
          <cell r="AF475">
            <v>2</v>
          </cell>
          <cell r="AG475">
            <v>750</v>
          </cell>
          <cell r="AH475">
            <v>3582810254714</v>
          </cell>
          <cell r="AI475" t="str">
            <v>/</v>
          </cell>
          <cell r="AJ475" t="str">
            <v>INTERNE</v>
          </cell>
          <cell r="AK475" t="str">
            <v>INTERNE</v>
          </cell>
          <cell r="AL475" t="str">
            <v>/</v>
          </cell>
          <cell r="AM475" t="str">
            <v>Groupement de Communautés Paysannes du Sud du Laos (GCPSL)</v>
          </cell>
        </row>
        <row r="476">
          <cell r="A476" t="str">
            <v>TN5472</v>
          </cell>
          <cell r="B476"/>
          <cell r="C476" t="str">
            <v>X</v>
          </cell>
          <cell r="D476" t="str">
            <v>X</v>
          </cell>
          <cell r="E476" t="str">
            <v>X</v>
          </cell>
          <cell r="F476" t="str">
            <v>BRODART</v>
          </cell>
          <cell r="G476"/>
          <cell r="H476" t="str">
            <v>LES GRANDS CLASSIQUES</v>
          </cell>
          <cell r="I476"/>
          <cell r="J476" t="str">
            <v>Noir du Laos</v>
          </cell>
          <cell r="K476" t="str">
            <v>OP ?</v>
          </cell>
          <cell r="L476" t="str">
            <v>Thé noir d'origine</v>
          </cell>
          <cell r="M476" t="str">
            <v>Laos - Phongsaly</v>
          </cell>
          <cell r="N476" t="str">
            <v>AB</v>
          </cell>
          <cell r="O476" t="str">
            <v>WFTO</v>
          </cell>
          <cell r="P476" t="str">
            <v>/</v>
          </cell>
          <cell r="Q476" t="str">
            <v>/</v>
          </cell>
          <cell r="R476" t="str">
            <v>/</v>
          </cell>
          <cell r="S476" t="str">
            <v>/</v>
          </cell>
          <cell r="T476" t="str">
            <v>Agriculture Laos</v>
          </cell>
          <cell r="U476"/>
          <cell r="V476" t="str">
            <v>Élaboré dans la province de Phongsaly au nord du Laos, ce thé noir est issu de théiers anciens qui poussent dans un cadre très semblable à celui du Yunnan proche. De ces belles grandes feuilles émaillées de bourgeons dorés naît une liqueur ambrée souple et aromatique. Ses saveurs chocolatées et vanillées sont agréablement ponctuées par une finale aux notes d'agrumes particulièrement longue en bouche.</v>
          </cell>
          <cell r="W476" t="str">
            <v>S16</v>
          </cell>
          <cell r="X476" t="str">
            <v>Élaboré dans la province de Phongsaly au nord du Laos, ce thé noir issu de théiers anciens est composé de grandes feuilles émaillées de bourgeons dorés. Sa liqueur ambrée souple et aromatique offre des saveurs chocolatées et vanillées agréablement ponctuées par des notes fruitées d'agrumes.</v>
          </cell>
          <cell r="Y476"/>
          <cell r="Z476" t="str">
            <v>Ingrédient : thé noir*. *Issu de l'agriculture biologique.</v>
          </cell>
          <cell r="AA476" t="str">
            <v>/</v>
          </cell>
          <cell r="AB476" t="str">
            <v>Membre certifié World Fair Trade Organization, Les Jardins de Gaïa s’engagent pour un commerce plus juste et répondent aux exigences du commerce équitable. Pour en savoir plus : www.wfto.com.</v>
          </cell>
          <cell r="AC476">
            <v>90</v>
          </cell>
          <cell r="AD476" t="str">
            <v>3-4</v>
          </cell>
          <cell r="AE476">
            <v>95</v>
          </cell>
          <cell r="AF476">
            <v>2</v>
          </cell>
          <cell r="AG476">
            <v>45</v>
          </cell>
          <cell r="AH476">
            <v>3582810254721</v>
          </cell>
          <cell r="AI476" t="str">
            <v>/</v>
          </cell>
          <cell r="AJ476" t="str">
            <v>ETNN547</v>
          </cell>
          <cell r="AK476" t="str">
            <v>ETNN547V5</v>
          </cell>
          <cell r="AL476" t="str">
            <v>ETCNN5472V5</v>
          </cell>
          <cell r="AM476" t="str">
            <v>Groupement de Communautés Paysannes du Sud du Laos (GCPSL)</v>
          </cell>
        </row>
        <row r="477">
          <cell r="A477" t="str">
            <v>TM0231</v>
          </cell>
          <cell r="B477"/>
          <cell r="C477"/>
          <cell r="D477"/>
          <cell r="E477"/>
          <cell r="F477"/>
          <cell r="G477"/>
          <cell r="H477" t="str">
            <v>LES BIENFAITRICES</v>
          </cell>
          <cell r="I477" t="str">
            <v>LES INFUSIONS DE PLANTES</v>
          </cell>
          <cell r="J477" t="str">
            <v>Objectif minceur</v>
          </cell>
          <cell r="K477" t="str">
            <v xml:space="preserve">Drainante
Menthe poivrée - Maté - Thé - Ortie </v>
          </cell>
          <cell r="L477" t="str">
            <v xml:space="preserve">Infusion de plantes </v>
          </cell>
          <cell r="M477" t="str">
            <v>/</v>
          </cell>
          <cell r="N477" t="str">
            <v>AB</v>
          </cell>
          <cell r="O477" t="str">
            <v>/</v>
          </cell>
          <cell r="P477" t="str">
            <v>/</v>
          </cell>
          <cell r="Q477" t="str">
            <v>/</v>
          </cell>
          <cell r="R477" t="str">
            <v>/</v>
          </cell>
          <cell r="S477" t="str">
            <v>/</v>
          </cell>
          <cell r="T477" t="str">
            <v>Agriculture UE/non UE</v>
          </cell>
          <cell r="U477"/>
          <cell r="V477" t="str">
            <v xml:space="preserve">Cette infusion drainante aux saveurs fraîches et agréables, dominée par une note mentholée, est idéale pour stimuler la perte de poids tout en douceur. Pour se faire plaisir tout en éloignant les kilos superflus… </v>
          </cell>
          <cell r="W477" t="str">
            <v>S12</v>
          </cell>
          <cell r="X477" t="str">
            <v xml:space="preserve">Cette infusion drainante aux saveurs fraîches et agréables, dominée par une note mentholée, est idéale pour stimuler la perte de poids tout en douceur. Pour se faire plaisir tout en éloignant les kilos superflus… </v>
          </cell>
          <cell r="Y477"/>
          <cell r="Z477" t="str">
            <v>Ingrédients : menthe poivrée* 25% (Mentha piperita), honeybush* (Cyclopia subternata), maté* 17% (Ilex paraguariensis), ortie* 13% (Urtica dioica), thé vert* 12% (Camellia sinensis), thé sombre pu'er* 8% (Camellia sinensis). *Issu de l'agriculture biologique.</v>
          </cell>
          <cell r="AA477"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477" t="str">
            <v>/</v>
          </cell>
          <cell r="AC477">
            <v>1.5</v>
          </cell>
          <cell r="AD477" t="str">
            <v>4-5</v>
          </cell>
          <cell r="AE477">
            <v>95</v>
          </cell>
          <cell r="AF477">
            <v>2</v>
          </cell>
          <cell r="AG477">
            <v>750</v>
          </cell>
          <cell r="AH477">
            <v>3582811202318</v>
          </cell>
          <cell r="AI477" t="str">
            <v>/</v>
          </cell>
          <cell r="AJ477" t="str">
            <v>INTERNE</v>
          </cell>
          <cell r="AK477" t="str">
            <v>INTERNE</v>
          </cell>
          <cell r="AL477" t="str">
            <v>/</v>
          </cell>
          <cell r="AM477" t="str">
            <v>Création maison</v>
          </cell>
        </row>
        <row r="478">
          <cell r="A478" t="str">
            <v>TM0232</v>
          </cell>
          <cell r="B478"/>
          <cell r="C478" t="str">
            <v>X</v>
          </cell>
          <cell r="D478" t="str">
            <v>x</v>
          </cell>
          <cell r="E478"/>
          <cell r="F478" t="str">
            <v>GRAI</v>
          </cell>
          <cell r="G478">
            <v>45408</v>
          </cell>
          <cell r="H478" t="str">
            <v>LES BIENFAITRICES</v>
          </cell>
          <cell r="I478" t="str">
            <v>LES INFUSIONS DE PLANTES</v>
          </cell>
          <cell r="J478" t="str">
            <v>Objectif minceur</v>
          </cell>
          <cell r="K478" t="str">
            <v xml:space="preserve">Drainante
Menthe poivrée - Maté - Thé - Ortie </v>
          </cell>
          <cell r="L478" t="str">
            <v xml:space="preserve">Infusion de plantes </v>
          </cell>
          <cell r="M478" t="str">
            <v>/</v>
          </cell>
          <cell r="N478" t="str">
            <v>AB</v>
          </cell>
          <cell r="O478" t="str">
            <v>/</v>
          </cell>
          <cell r="P478" t="str">
            <v>/</v>
          </cell>
          <cell r="Q478" t="str">
            <v>/</v>
          </cell>
          <cell r="R478" t="str">
            <v>/</v>
          </cell>
          <cell r="S478" t="str">
            <v>/</v>
          </cell>
          <cell r="T478" t="str">
            <v>Agriculture UE/non UE</v>
          </cell>
          <cell r="U478"/>
          <cell r="V478" t="str">
            <v xml:space="preserve">Cette infusion drainante aux saveurs fraîches et agréables, dominée par une note mentholée, est idéale pour stimuler la perte de poids tout en douceur. Pour se faire plaisir tout en éloignant les kilos superflus… </v>
          </cell>
          <cell r="W478" t="str">
            <v>S12</v>
          </cell>
          <cell r="X478" t="str">
            <v xml:space="preserve">Cette infusion drainante aux saveurs fraîches et agréables, dominée par une note mentholée, est idéale pour stimuler la perte de poids tout en douceur. Pour se faire plaisir tout en éloignant les kilos superflus… </v>
          </cell>
          <cell r="Y478"/>
          <cell r="Z478" t="str">
            <v>Ingrédients : menthe poivrée* 25% (Mentha piperita), honeybush* (Cyclopia subternata), maté* 17% (Ilex paraguariensis), ortie* 13% (Urtica dioica), thé vert* 12% (Camellia sinensis), thé sombre pu'er* 8% (Camellia sinensis). *Issu de l'agriculture biologique.</v>
          </cell>
          <cell r="AA478"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478" t="str">
            <v>/</v>
          </cell>
          <cell r="AC478">
            <v>100</v>
          </cell>
          <cell r="AD478" t="str">
            <v>4-5</v>
          </cell>
          <cell r="AE478">
            <v>95</v>
          </cell>
          <cell r="AF478">
            <v>2</v>
          </cell>
          <cell r="AG478">
            <v>50</v>
          </cell>
          <cell r="AH478">
            <v>3582811202325</v>
          </cell>
          <cell r="AI478" t="str">
            <v>/</v>
          </cell>
          <cell r="AJ478" t="str">
            <v>ETHM023</v>
          </cell>
          <cell r="AK478" t="str">
            <v>ETHM0232V5</v>
          </cell>
          <cell r="AL478" t="str">
            <v>ETCHM0232V5</v>
          </cell>
          <cell r="AM478" t="str">
            <v>Création maison</v>
          </cell>
        </row>
        <row r="479">
          <cell r="A479" t="str">
            <v>TA6921</v>
          </cell>
          <cell r="B479"/>
          <cell r="C479"/>
          <cell r="D479"/>
          <cell r="E479"/>
          <cell r="F479"/>
          <cell r="G479"/>
          <cell r="H479" t="str">
            <v>LES GRANDS CLASSIQUES</v>
          </cell>
          <cell r="I479"/>
          <cell r="J479" t="str">
            <v>Océan de fraîcheur</v>
          </cell>
          <cell r="K479" t="str">
            <v>Agrumes</v>
          </cell>
          <cell r="L479" t="str">
            <v>Thé vert aromatisé</v>
          </cell>
          <cell r="M479" t="str">
            <v>Inde - Chine - Vietnam ?</v>
          </cell>
          <cell r="N479" t="str">
            <v>AB</v>
          </cell>
          <cell r="O479" t="str">
            <v>WFTO</v>
          </cell>
          <cell r="P479" t="str">
            <v>/</v>
          </cell>
          <cell r="Q479" t="str">
            <v>/</v>
          </cell>
          <cell r="R479" t="str">
            <v>/</v>
          </cell>
          <cell r="S479" t="str">
            <v>/</v>
          </cell>
          <cell r="T479" t="str">
            <v>Agriculture UE/non UE</v>
          </cell>
          <cell r="U479"/>
          <cell r="V479" t="str">
            <v>Vent sucré et frais venu d'un jardin de citronniers… Ce mariage irrésistible du thé vert et d’un mélange d’agrumes agréablement acidulé est idéal pendant les moments de chaleur. Un régal chaud ou glacé !</v>
          </cell>
          <cell r="W479"/>
          <cell r="X479" t="str">
            <v>Ce mariage des saveurs végétales du thé vert avec les saveurs fruitées et légèrement acidulées d’une association d’agrumes ne laisse pas indifférent. Un véritable océan de fraîcheur pour les papilles qui se déguste aussi bien en infusion chaude que glacée.</v>
          </cell>
          <cell r="Y479"/>
          <cell r="Z479" t="str">
            <v>Ingrédients : thé vert*, huiles essentielles d'agrumes (pamplemousse*, mandarine*, orange douce*, bergamote* et orange sanguine*) 3%, arôme naturel de citron vert* 1%, écorces d'orange* 1%, écorces de mandarine* 1%, pétales de bleuet bleu*. *Issu de l'agriculture biologique.</v>
          </cell>
          <cell r="AA479" t="str">
            <v>/</v>
          </cell>
          <cell r="AB479" t="str">
            <v>Membre certifié World Fair Trade Organization, Les Jardins de Gaïa s’engagent pour un commerce plus juste et répondent aux exigences du commerce équitable. Pour en savoir plus : www.wfto.com.</v>
          </cell>
          <cell r="AC479">
            <v>1.5</v>
          </cell>
          <cell r="AD479" t="str">
            <v>3</v>
          </cell>
          <cell r="AE479">
            <v>75</v>
          </cell>
          <cell r="AF479">
            <v>2</v>
          </cell>
          <cell r="AG479">
            <v>750</v>
          </cell>
          <cell r="AH479">
            <v>3582810869215</v>
          </cell>
          <cell r="AI479" t="str">
            <v>/</v>
          </cell>
          <cell r="AJ479" t="str">
            <v>INTERNE</v>
          </cell>
          <cell r="AK479" t="str">
            <v>INTERNE</v>
          </cell>
          <cell r="AL479" t="str">
            <v>/</v>
          </cell>
          <cell r="AM479" t="str">
            <v>Création maison</v>
          </cell>
        </row>
        <row r="480">
          <cell r="A480" t="str">
            <v>TA6922</v>
          </cell>
          <cell r="B480"/>
          <cell r="C480" t="str">
            <v>X</v>
          </cell>
          <cell r="D480" t="str">
            <v>x</v>
          </cell>
          <cell r="E480" t="str">
            <v>x</v>
          </cell>
          <cell r="F480" t="str">
            <v>GRAI</v>
          </cell>
          <cell r="G480">
            <v>45383</v>
          </cell>
          <cell r="H480" t="str">
            <v>LES GRANDS CLASSIQUES</v>
          </cell>
          <cell r="I480"/>
          <cell r="J480" t="str">
            <v>Océan de fraîcheur</v>
          </cell>
          <cell r="K480" t="str">
            <v>Agrumes</v>
          </cell>
          <cell r="L480" t="str">
            <v>Thé vert aromatisé</v>
          </cell>
          <cell r="M480" t="str">
            <v xml:space="preserve">Inde - Chine - Vietnam </v>
          </cell>
          <cell r="N480" t="str">
            <v>AB</v>
          </cell>
          <cell r="O480" t="str">
            <v>WFTO</v>
          </cell>
          <cell r="P480" t="str">
            <v>/</v>
          </cell>
          <cell r="Q480" t="str">
            <v>/</v>
          </cell>
          <cell r="R480" t="str">
            <v>/</v>
          </cell>
          <cell r="S480" t="str">
            <v>/</v>
          </cell>
          <cell r="T480" t="str">
            <v>Agriculture UE/non UE</v>
          </cell>
          <cell r="U480"/>
          <cell r="V480" t="str">
            <v>Vent sucré et frais venu d'un jardin de citronniers… Ce mariage irrésistible du thé vert et d’un mélange d’agrumes agréablement acidulé est idéal pendant les moments de chaleur. Un régal chaud ou glacé !</v>
          </cell>
          <cell r="W480"/>
          <cell r="X480" t="str">
            <v>Ce mariage des saveurs végétales du thé vert avec les saveurs fruitées et légèrement acidulées d’une association d’agrumes ne laisse pas indifférent. Un véritable océan de fraîcheur pour les papilles qui se déguste aussi bien en infusion chaude que glacée.</v>
          </cell>
          <cell r="Y480"/>
          <cell r="Z480" t="str">
            <v>Ingrédients : thé vert*, huiles essentielles d'agrumes (pamplemousse*, mandarine*, orange douce*, bergamote* et orange sanguine*) 3%, arôme naturel de citron vert* 1%, écorces d'orange* 1%, écorces de mandarine* 1%, pétales de bleuet bleu*. *Issu de l'agriculture biologique.</v>
          </cell>
          <cell r="AA480" t="str">
            <v>/</v>
          </cell>
          <cell r="AB480" t="str">
            <v>Membre certifié World Fair Trade Organization, Les Jardins de Gaïa s’engagent pour un commerce plus juste et répondent aux exigences du commerce équitable. Pour en savoir plus : www.wfto.com.</v>
          </cell>
          <cell r="AC480">
            <v>100</v>
          </cell>
          <cell r="AD480" t="str">
            <v>3</v>
          </cell>
          <cell r="AE480">
            <v>75</v>
          </cell>
          <cell r="AF480">
            <v>2</v>
          </cell>
          <cell r="AG480">
            <v>50</v>
          </cell>
          <cell r="AH480">
            <v>3582813569228</v>
          </cell>
          <cell r="AI480" t="str">
            <v>/</v>
          </cell>
          <cell r="AJ480" t="str">
            <v>ETVA692</v>
          </cell>
          <cell r="AK480" t="str">
            <v>ETVA692V5</v>
          </cell>
          <cell r="AL480" t="str">
            <v>ETCVA6922V5</v>
          </cell>
          <cell r="AM480" t="str">
            <v>Guzhang Gaofeng Organic Tea Association + Korakundah + Ban Lien</v>
          </cell>
        </row>
        <row r="481">
          <cell r="A481" t="str">
            <v>TO1205</v>
          </cell>
          <cell r="B481"/>
          <cell r="C481"/>
          <cell r="D481"/>
          <cell r="E481"/>
          <cell r="F481"/>
          <cell r="G481"/>
          <cell r="H481" t="str">
            <v>LES GRAND CRUS</v>
          </cell>
          <cell r="I481"/>
          <cell r="J481" t="str">
            <v>Oceanic wulong</v>
          </cell>
          <cell r="K481" t="str">
            <v>/</v>
          </cell>
          <cell r="L481" t="str">
            <v>Thé wulong d'origine</v>
          </cell>
          <cell r="M481" t="str">
            <v>Nouvelle-Zélande - Waikato</v>
          </cell>
          <cell r="N481" t="str">
            <v>AB</v>
          </cell>
          <cell r="O481" t="str">
            <v>/</v>
          </cell>
          <cell r="P481" t="str">
            <v>/</v>
          </cell>
          <cell r="Q481" t="str">
            <v>/</v>
          </cell>
          <cell r="R481" t="str">
            <v>/</v>
          </cell>
          <cell r="S481" t="str">
            <v>/</v>
          </cell>
          <cell r="T481" t="str">
            <v>Agriculture Nouvelle-Zélande</v>
          </cell>
          <cell r="U481"/>
          <cell r="V481" t="str">
            <v>wulong longuement cuit. Notes de fruits jaunes, raisin de Corinthe, noisette et croûte de pain grillé.</v>
          </cell>
          <cell r="W481" t="str">
            <v>S25</v>
          </cell>
          <cell r="X481" t="str">
            <v>Ce thé wulong de caractère reflète l'exceptionnelle richesse la région préservée de Waikato au nord de la Nouvelle-Zélande. Ses feuilles longuement cuites offrent une liqueur riche et dense dont les notes d’abricot, de raisin de Corinthe, de pain grillé et de fruits à coque sont irrésistibles.</v>
          </cell>
          <cell r="Y481"/>
          <cell r="Z481" t="str">
            <v>Ingrédient : thé wulong*. *Issu de l'agriculture biologique.</v>
          </cell>
          <cell r="AA481" t="str">
            <v>/</v>
          </cell>
          <cell r="AB481" t="str">
            <v>/</v>
          </cell>
          <cell r="AC481">
            <v>500</v>
          </cell>
          <cell r="AD481" t="str">
            <v>4-5</v>
          </cell>
          <cell r="AE481">
            <v>95</v>
          </cell>
          <cell r="AF481">
            <v>2</v>
          </cell>
          <cell r="AG481">
            <v>250</v>
          </cell>
          <cell r="AH481">
            <v>3582810712054</v>
          </cell>
          <cell r="AI481" t="str">
            <v>Plusieurs infusions</v>
          </cell>
          <cell r="AJ481" t="str">
            <v>INTERNE</v>
          </cell>
          <cell r="AK481" t="str">
            <v>INTERNE</v>
          </cell>
          <cell r="AL481" t="str">
            <v>/</v>
          </cell>
          <cell r="AM481" t="str">
            <v>Zealong Tea Estate LTD</v>
          </cell>
        </row>
        <row r="482">
          <cell r="A482" t="str">
            <v>TO1202</v>
          </cell>
          <cell r="B482"/>
          <cell r="C482"/>
          <cell r="D482"/>
          <cell r="E482"/>
          <cell r="F482"/>
          <cell r="G482"/>
          <cell r="H482" t="str">
            <v>LES GRAND CRUS</v>
          </cell>
          <cell r="I482"/>
          <cell r="J482" t="str">
            <v>Oceanic wulong</v>
          </cell>
          <cell r="K482" t="str">
            <v>/</v>
          </cell>
          <cell r="L482" t="str">
            <v>Thé wulong d'origine</v>
          </cell>
          <cell r="M482" t="str">
            <v>Nouvelle-Zélande - Waikato</v>
          </cell>
          <cell r="N482" t="str">
            <v>AB</v>
          </cell>
          <cell r="O482" t="str">
            <v>/</v>
          </cell>
          <cell r="P482" t="str">
            <v>/</v>
          </cell>
          <cell r="Q482" t="str">
            <v>/</v>
          </cell>
          <cell r="R482" t="str">
            <v>/</v>
          </cell>
          <cell r="S482" t="str">
            <v>/</v>
          </cell>
          <cell r="T482" t="str">
            <v>Agriculture Nouvelle-Zélande</v>
          </cell>
          <cell r="U482"/>
          <cell r="V482" t="str">
            <v>wulong longuement cuit. Notes de fruits jaunes, raisin de Corinthe, noisette et croûte de pain grillé.</v>
          </cell>
          <cell r="W482" t="str">
            <v>S25</v>
          </cell>
          <cell r="X482" t="str">
            <v>Ce thé wulong de caractère reflète l'exceptionnelle richesse la région préservée de Waikato au nord de la Nouvelle-Zélande. Ses feuilles longuement cuites offrent une liqueur riche et dense dont les notes d’abricot, de raisin de Corinthe, de pain grillé et de fruits à coque sont irrésistibles.</v>
          </cell>
          <cell r="Y482"/>
          <cell r="Z482" t="str">
            <v>Ingrédient : thé wulong*. *Issu de l'agriculture biologique.</v>
          </cell>
          <cell r="AA482" t="str">
            <v>/</v>
          </cell>
          <cell r="AB482" t="str">
            <v>/</v>
          </cell>
          <cell r="AC482">
            <v>80</v>
          </cell>
          <cell r="AD482" t="str">
            <v>4-5</v>
          </cell>
          <cell r="AE482">
            <v>95</v>
          </cell>
          <cell r="AF482">
            <v>2</v>
          </cell>
          <cell r="AG482">
            <v>40</v>
          </cell>
          <cell r="AH482">
            <v>3582810712023</v>
          </cell>
          <cell r="AI482" t="str">
            <v>Plusieurs infusions</v>
          </cell>
          <cell r="AJ482" t="str">
            <v>ETON120V5</v>
          </cell>
          <cell r="AK482" t="str">
            <v>ETON120V5</v>
          </cell>
          <cell r="AL482" t="str">
            <v>Q de tube</v>
          </cell>
          <cell r="AM482" t="str">
            <v>Zealong Tea Estate LTD</v>
          </cell>
        </row>
        <row r="483">
          <cell r="A483" t="str">
            <v>TA6161</v>
          </cell>
          <cell r="B483"/>
          <cell r="C483"/>
          <cell r="D483"/>
          <cell r="E483"/>
          <cell r="F483"/>
          <cell r="G483"/>
          <cell r="H483" t="str">
            <v>LES ENGAGÉS</v>
          </cell>
          <cell r="I483" t="str">
            <v>AGIR POUR LA NATURE</v>
          </cell>
          <cell r="J483" t="str">
            <v>Oiseau lune</v>
          </cell>
          <cell r="K483" t="str">
            <v>Saveurs poire - fleur de sureau</v>
          </cell>
          <cell r="L483" t="str">
            <v>Thé vert aromatisé</v>
          </cell>
          <cell r="M483" t="str">
            <v>Chine</v>
          </cell>
          <cell r="N483" t="str">
            <v>AB</v>
          </cell>
          <cell r="O483" t="str">
            <v>WFTO</v>
          </cell>
          <cell r="P483" t="str">
            <v>/</v>
          </cell>
          <cell r="Q483" t="str">
            <v>/</v>
          </cell>
          <cell r="R483" t="str">
            <v>/</v>
          </cell>
          <cell r="S483" t="str">
            <v>/</v>
          </cell>
          <cell r="T483" t="str">
            <v>Agriculture UE/non UE</v>
          </cell>
          <cell r="U483"/>
          <cell r="V483" t="str">
            <v>Thé vert délicieusement orné des gourmandises de notre région. Les fleurs de sureau, la poire et les pétales de tournesol viennent saluer le courlis cendré, oiseau emblématique du Ried dont la courbe du bec rappelle la lune. Ce thé doux et frais lui est dédié pour que son chant magique accompagne encore longtemps vos dégustations !</v>
          </cell>
          <cell r="W483" t="str">
            <v>S25</v>
          </cell>
          <cell r="X483" t="str">
            <v>Ce thé vert joliment émaillé de pétales de tournesol, aux douces saveurs de fleurs de sureau et de poire, soutient la protection du courlis cendré, oiseau emblématique du Ried alsacien dont la courbe du bec rappelle la lune. Pour que son chant magique accompagne encore longtemps nos dégustations !</v>
          </cell>
          <cell r="Y483" t="str">
            <v>La Ligue pour la Protection des Oiseaux (LPO) agit depuis 1912 pour la protection des oiseaux et la sauvegarde de la biodiversité. lpo.fr</v>
          </cell>
          <cell r="Z483" t="str">
            <v>Ingrédients : thé vert*, arômes naturels de (poire*, fleur de sureau*) 7%, extrait de vanille*, pétales de tournesol*. *Issu de l'agriculture biologique.</v>
          </cell>
          <cell r="AA483" t="str">
            <v>/</v>
          </cell>
          <cell r="AB483" t="str">
            <v>Membre certifié World Fair Trade Organization, Les Jardins de Gaïa s’engagent pour un commerce plus juste et répondent aux exigences du commerce équitable. Pour en savoir plus : www.wfto.com.</v>
          </cell>
          <cell r="AC483">
            <v>1.5</v>
          </cell>
          <cell r="AD483" t="str">
            <v>3</v>
          </cell>
          <cell r="AE483">
            <v>80</v>
          </cell>
          <cell r="AF483">
            <v>2</v>
          </cell>
          <cell r="AG483">
            <v>750</v>
          </cell>
          <cell r="AH483">
            <v>3582810361610</v>
          </cell>
          <cell r="AI483" t="str">
            <v>/</v>
          </cell>
          <cell r="AJ483" t="str">
            <v>INTERNE</v>
          </cell>
          <cell r="AK483" t="str">
            <v>INTERNE</v>
          </cell>
          <cell r="AL483" t="str">
            <v>/</v>
          </cell>
          <cell r="AM483" t="str">
            <v>Création maison</v>
          </cell>
        </row>
        <row r="484">
          <cell r="A484" t="str">
            <v>TA6162</v>
          </cell>
          <cell r="B484"/>
          <cell r="C484"/>
          <cell r="D484"/>
          <cell r="E484"/>
          <cell r="F484"/>
          <cell r="G484"/>
          <cell r="H484" t="str">
            <v>LES ENGAGÉS</v>
          </cell>
          <cell r="I484" t="str">
            <v>AGIR POUR LA NATURE</v>
          </cell>
          <cell r="J484" t="str">
            <v>Oiseau lune</v>
          </cell>
          <cell r="K484" t="str">
            <v>Saveurs poire - fleur de sureau</v>
          </cell>
          <cell r="L484" t="str">
            <v>Thé vert aromatisé</v>
          </cell>
          <cell r="M484" t="str">
            <v>Chine</v>
          </cell>
          <cell r="N484" t="str">
            <v>AB</v>
          </cell>
          <cell r="O484" t="str">
            <v>WFTO</v>
          </cell>
          <cell r="P484" t="str">
            <v>/</v>
          </cell>
          <cell r="Q484" t="str">
            <v>/</v>
          </cell>
          <cell r="R484" t="str">
            <v>/</v>
          </cell>
          <cell r="S484" t="str">
            <v>/</v>
          </cell>
          <cell r="T484" t="str">
            <v>Agriculture UE/non UE</v>
          </cell>
          <cell r="U484"/>
          <cell r="V484" t="str">
            <v>Thé vert délicieusement orné des gourmandises de notre région. Les fleurs de sureau, la poire et les pétales de tournesol viennent saluer le courlis cendré, oiseau emblématique du Ried dont la courbe du bec rappelle la lune. Ce thé doux et frais lui est dédié pour que son chant magique accompagne encore longtemps vos dégustations !</v>
          </cell>
          <cell r="W484" t="str">
            <v>S25</v>
          </cell>
          <cell r="X484" t="str">
            <v>Ce thé vert joliment émaillé de pétales de tournesol, aux douces saveurs de fleurs de sureau et de poire, soutient la protection du courlis cendré, oiseau emblématique du Ried alsacien dont la courbe du bec rappelle la lune. Pour que son chant magique accompagne encore longtemps nos dégustations !</v>
          </cell>
          <cell r="Y484" t="str">
            <v>La Ligue pour la Protection des Oiseaux (LPO) agit depuis 1912 pour la protection des oiseaux et la sauvegarde de la biodiversité. lpo.fr</v>
          </cell>
          <cell r="Z484" t="str">
            <v>Ingrédients : thé vert*, arômes naturels de (poire*, fleur de sureau*) 7%, extrait de vanille*, pétales de tournesol*. *Issu de l'agriculture biologique.</v>
          </cell>
          <cell r="AA484" t="str">
            <v>/</v>
          </cell>
          <cell r="AB484" t="str">
            <v>Membre certifié World Fair Trade Organization, Les Jardins de Gaïa s’engagent pour un commerce plus juste et répondent aux exigences du commerce équitable. Pour en savoir plus : www.wfto.com.</v>
          </cell>
          <cell r="AC484">
            <v>100</v>
          </cell>
          <cell r="AD484" t="str">
            <v>3-4</v>
          </cell>
          <cell r="AE484">
            <v>80</v>
          </cell>
          <cell r="AF484">
            <v>2</v>
          </cell>
          <cell r="AG484">
            <v>50</v>
          </cell>
          <cell r="AH484">
            <v>3582810361627</v>
          </cell>
          <cell r="AI484" t="str">
            <v>/</v>
          </cell>
          <cell r="AJ484" t="str">
            <v>ETVA616V5</v>
          </cell>
          <cell r="AK484" t="str">
            <v>ETVA616V5</v>
          </cell>
          <cell r="AL484" t="str">
            <v>ETCVA6162V5</v>
          </cell>
          <cell r="AM484" t="str">
            <v>Création maison</v>
          </cell>
        </row>
        <row r="485">
          <cell r="A485" t="str">
            <v>TO4177</v>
          </cell>
          <cell r="B485"/>
          <cell r="C485"/>
          <cell r="D485"/>
          <cell r="E485"/>
          <cell r="F485"/>
          <cell r="G485"/>
          <cell r="H485" t="str">
            <v>LES GRANDS CLASSIQUES</v>
          </cell>
          <cell r="I485"/>
          <cell r="J485" t="str">
            <v>Oriental beauty</v>
          </cell>
          <cell r="K485" t="str">
            <v>Dong Fang Mei Ren</v>
          </cell>
          <cell r="L485" t="str">
            <v>Thé wulong d'origine</v>
          </cell>
          <cell r="M485" t="str">
            <v>Chine - Anhui</v>
          </cell>
          <cell r="N485" t="str">
            <v>AB</v>
          </cell>
          <cell r="O485" t="str">
            <v>/</v>
          </cell>
          <cell r="P485" t="str">
            <v>/</v>
          </cell>
          <cell r="Q485" t="str">
            <v>/</v>
          </cell>
          <cell r="R485" t="str">
            <v>/</v>
          </cell>
          <cell r="S485" t="str">
            <v>/</v>
          </cell>
          <cell r="T485" t="str">
            <v>Agriculture Chine</v>
          </cell>
          <cell r="U485"/>
          <cell r="V485" t="str">
            <v>Empreint d'histoire, ce cru précieux traverse le temps. Ses feuilles aux tons d'automne, torsadées, fortement oxydées, libèrent à l’infusion un parfum de torréfaction très agréable. Concentrée en arômes, sa liqueur moelleuse laisse en bouche des notes sucrées comme le miel, fruitées, légèrement cacaotées. Un plaisir à partager !</v>
          </cell>
          <cell r="W485" t="str">
            <v>S16</v>
          </cell>
          <cell r="X485" t="str">
            <v>Les nombreuses nuances des feuilles torsadées de l’Oriental Beauty donnent à ce célèbre thé wulong à l’oxydation prononcée, sa rare élégance. Très aromatique, il offre en bouche une liqueur souple aux saveurs miellées, fruitées accompagnées d’une petite touche cacaotée. Un thé de toute beauté !</v>
          </cell>
          <cell r="Y485"/>
          <cell r="Z485" t="str">
            <v>Ingrédient : thé wulong*. *Issu de l'agriculture biologique.</v>
          </cell>
          <cell r="AA485" t="str">
            <v>/</v>
          </cell>
          <cell r="AB485" t="str">
            <v>/</v>
          </cell>
          <cell r="AC485">
            <v>1</v>
          </cell>
          <cell r="AD485" t="str">
            <v>4</v>
          </cell>
          <cell r="AE485">
            <v>95</v>
          </cell>
          <cell r="AF485">
            <v>2</v>
          </cell>
          <cell r="AG485">
            <v>500</v>
          </cell>
          <cell r="AH485">
            <v>3582810741771</v>
          </cell>
          <cell r="AI485" t="str">
            <v>/</v>
          </cell>
          <cell r="AJ485" t="str">
            <v>INTERNE</v>
          </cell>
          <cell r="AK485" t="str">
            <v>INTERNE</v>
          </cell>
          <cell r="AL485" t="str">
            <v>/</v>
          </cell>
          <cell r="AM485" t="str">
            <v>Huangshan MaoFeng Tea Farm</v>
          </cell>
        </row>
        <row r="486">
          <cell r="A486" t="str">
            <v>TO4172</v>
          </cell>
          <cell r="B486"/>
          <cell r="C486" t="str">
            <v>X</v>
          </cell>
          <cell r="D486" t="str">
            <v>X</v>
          </cell>
          <cell r="E486" t="str">
            <v>X</v>
          </cell>
          <cell r="F486" t="str">
            <v>BRODART</v>
          </cell>
          <cell r="G486"/>
          <cell r="H486" t="str">
            <v>LES GRANDS CLASSIQUES</v>
          </cell>
          <cell r="I486"/>
          <cell r="J486" t="str">
            <v>Oriental beauty</v>
          </cell>
          <cell r="K486" t="str">
            <v>Dong Fang Mei Ren</v>
          </cell>
          <cell r="L486" t="str">
            <v>Thé wulong d'origine</v>
          </cell>
          <cell r="M486" t="str">
            <v>Chine - Anhui</v>
          </cell>
          <cell r="N486" t="str">
            <v>AB</v>
          </cell>
          <cell r="O486" t="str">
            <v>/</v>
          </cell>
          <cell r="P486" t="str">
            <v>/</v>
          </cell>
          <cell r="Q486" t="str">
            <v>/</v>
          </cell>
          <cell r="R486" t="str">
            <v>/</v>
          </cell>
          <cell r="S486" t="str">
            <v>/</v>
          </cell>
          <cell r="T486" t="str">
            <v>Agriculture Chine</v>
          </cell>
          <cell r="U486"/>
          <cell r="V486" t="str">
            <v>Empreint d'histoire, ce cru précieux traverse le temps. Ses feuilles aux tons d'automne, torsadées, fortement oxydées, libèrent à l’infusion un parfum de torréfaction très agréable. Concentrée en arômes, sa liqueur moelleuse laisse en bouche des notes sucrées comme le miel, fruitées, légèrement cacaotées. Un plaisir à partager !</v>
          </cell>
          <cell r="W486" t="str">
            <v>S16</v>
          </cell>
          <cell r="X486" t="str">
            <v>Les nombreuses nuances des feuilles torsadées de l’Oriental Beauty donnent à ce célèbre thé wulong à l’oxydation prononcée, sa rare élégance. Très aromatique, il offre en bouche une liqueur souple aux saveurs miellées, fruitées accompagnées d’une petite touche cacaotée. Un thé de toute beauté !</v>
          </cell>
          <cell r="Y486"/>
          <cell r="Z486" t="str">
            <v>Ingrédient : thé wulong*. *Issu de l'agriculture biologique.</v>
          </cell>
          <cell r="AA486" t="str">
            <v>/</v>
          </cell>
          <cell r="AB486" t="str">
            <v>/</v>
          </cell>
          <cell r="AC486">
            <v>80</v>
          </cell>
          <cell r="AD486" t="str">
            <v>4</v>
          </cell>
          <cell r="AE486">
            <v>95</v>
          </cell>
          <cell r="AF486">
            <v>2</v>
          </cell>
          <cell r="AG486">
            <v>40</v>
          </cell>
          <cell r="AH486">
            <v>3582810741726</v>
          </cell>
          <cell r="AI486" t="str">
            <v>/</v>
          </cell>
          <cell r="AJ486" t="str">
            <v>ETON417V5</v>
          </cell>
          <cell r="AK486" t="str">
            <v>ETON417V5</v>
          </cell>
          <cell r="AL486" t="str">
            <v>ETCON4172V5</v>
          </cell>
          <cell r="AM486" t="str">
            <v>Huangshan MaoFeng Tea Farm</v>
          </cell>
        </row>
        <row r="487">
          <cell r="A487" t="str">
            <v>TH1871</v>
          </cell>
          <cell r="B487"/>
          <cell r="C487"/>
          <cell r="D487"/>
          <cell r="E487"/>
          <cell r="F487"/>
          <cell r="G487"/>
          <cell r="H487" t="str">
            <v>LES BIENFAITRICES</v>
          </cell>
          <cell r="I487" t="str">
            <v>LES INFUSIONS DE PLANTES</v>
          </cell>
          <cell r="J487" t="str">
            <v>Ortie piquante</v>
          </cell>
          <cell r="K487" t="str">
            <v>Drainante</v>
          </cell>
          <cell r="L487" t="str">
            <v>Infusion de plante</v>
          </cell>
          <cell r="M487" t="str">
            <v>France</v>
          </cell>
          <cell r="N487" t="str">
            <v>AB</v>
          </cell>
          <cell r="O487" t="str">
            <v>/</v>
          </cell>
          <cell r="P487" t="str">
            <v>/</v>
          </cell>
          <cell r="Q487" t="str">
            <v>/</v>
          </cell>
          <cell r="R487" t="str">
            <v>/</v>
          </cell>
          <cell r="S487" t="str">
            <v>/</v>
          </cell>
          <cell r="T487" t="str">
            <v>Agriculture UE</v>
          </cell>
          <cell r="U487"/>
          <cell r="V487" t="str">
            <v>Parfois mal aimée pour son caractère un peu “piquant”, la plus connue de nos plantes sauvages est pourtant un trésor à portée de main qui s’invite même sur les grandes tables étoilées. Son infusion particulièrement onctueuse aux notes lactées, sucrées et herbacées est reconnue pour ses qualités drainantes qui en font une alliée précieuse pour soutenir les fonctions rénales. Une plante à redécouvrir…</v>
          </cell>
          <cell r="W487" t="str">
            <v>S12</v>
          </cell>
          <cell r="X487" t="str">
            <v>Parfois mal aimée pour son caractère un peu “piquant”, l’ortie délivre une infusion très agréable dont on apprécie l’onctuosité et les jolies notes lactées, sucrées et herbacées. Ses qualités drainantes en font une alliée précieuse pour soutenir les fonctions rénales. Une plante à redécouvrir…</v>
          </cell>
          <cell r="Y487"/>
          <cell r="Z487" t="str">
            <v>Ingrédient : ortie piquante* (Urtica dioica L.). *Issu de l'agriculture biologique.</v>
          </cell>
          <cell r="AA487"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487" t="str">
            <v>/</v>
          </cell>
          <cell r="AC487">
            <v>500</v>
          </cell>
          <cell r="AD487" t="str">
            <v>5-10</v>
          </cell>
          <cell r="AE487">
            <v>95</v>
          </cell>
          <cell r="AF487">
            <v>2</v>
          </cell>
          <cell r="AG487">
            <v>250</v>
          </cell>
          <cell r="AH487">
            <v>3582811018711</v>
          </cell>
          <cell r="AI487" t="str">
            <v>/</v>
          </cell>
          <cell r="AJ487" t="str">
            <v>INTERNE</v>
          </cell>
          <cell r="AK487" t="str">
            <v>INTERNE</v>
          </cell>
          <cell r="AL487" t="str">
            <v>/</v>
          </cell>
          <cell r="AM487" t="str">
            <v>?</v>
          </cell>
        </row>
        <row r="488">
          <cell r="A488" t="str">
            <v>TH1872</v>
          </cell>
          <cell r="B488"/>
          <cell r="C488" t="str">
            <v>X</v>
          </cell>
          <cell r="D488" t="str">
            <v>X</v>
          </cell>
          <cell r="E488"/>
          <cell r="F488" t="str">
            <v>GRAI</v>
          </cell>
          <cell r="G488">
            <v>45408</v>
          </cell>
          <cell r="H488" t="str">
            <v>LES BIENFAITRICES</v>
          </cell>
          <cell r="I488" t="str">
            <v>LES INFUSIONS DE PLANTES</v>
          </cell>
          <cell r="J488" t="str">
            <v>Ortie piquante</v>
          </cell>
          <cell r="K488" t="str">
            <v>Drainante</v>
          </cell>
          <cell r="L488" t="str">
            <v>Infusion de plante</v>
          </cell>
          <cell r="M488" t="str">
            <v>France</v>
          </cell>
          <cell r="N488" t="str">
            <v>AB</v>
          </cell>
          <cell r="O488" t="str">
            <v>/</v>
          </cell>
          <cell r="P488" t="str">
            <v>/</v>
          </cell>
          <cell r="Q488" t="str">
            <v>/</v>
          </cell>
          <cell r="R488" t="str">
            <v>/</v>
          </cell>
          <cell r="S488" t="str">
            <v>/</v>
          </cell>
          <cell r="T488" t="str">
            <v>Agriculture UE</v>
          </cell>
          <cell r="U488"/>
          <cell r="V488" t="str">
            <v>Parfois mal aimée pour son caractère un peu “piquant”, la plus connue de nos plantes sauvages est pourtant un trésor à portée de main qui s’invite même sur les grandes tables étoilées. Son infusion particulièrement onctueuse aux notes lactées, sucrées et herbacées est reconnue pour ses qualités drainantes qui en font une alliée précieuse pour soutenir les fonctions rénales. Une plante à redécouvrir…</v>
          </cell>
          <cell r="W488" t="str">
            <v>S12</v>
          </cell>
          <cell r="X488" t="str">
            <v>Parfois mal aimée pour son caractère un peu “piquant”, l’ortie délivre une infusion très agréable dont on apprécie l’onctuosité et les jolies notes lactées, sucrées et herbacées. Ses qualités drainantes en font une alliée précieuse pour soutenir les fonctions rénales. Une plante à redécouvrir…</v>
          </cell>
          <cell r="Y488"/>
          <cell r="Z488" t="str">
            <v>Ingrédient : ortie piquante* (Urtica dioica L.). *Issu de l'agriculture biologique.</v>
          </cell>
          <cell r="AA488"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488" t="str">
            <v>/</v>
          </cell>
          <cell r="AC488">
            <v>90</v>
          </cell>
          <cell r="AD488" t="str">
            <v>5-10</v>
          </cell>
          <cell r="AE488">
            <v>95</v>
          </cell>
          <cell r="AF488">
            <v>2</v>
          </cell>
          <cell r="AG488">
            <v>45</v>
          </cell>
          <cell r="AH488">
            <v>3582811018728</v>
          </cell>
          <cell r="AI488" t="str">
            <v>/</v>
          </cell>
          <cell r="AJ488" t="str">
            <v>ETHN1870V5</v>
          </cell>
          <cell r="AK488" t="str">
            <v>ETHN1870V5</v>
          </cell>
          <cell r="AL488" t="str">
            <v>/</v>
          </cell>
          <cell r="AM488" t="str">
            <v>?</v>
          </cell>
        </row>
        <row r="489">
          <cell r="A489" t="str">
            <v>TH5401</v>
          </cell>
          <cell r="B489"/>
          <cell r="C489"/>
          <cell r="D489"/>
          <cell r="E489"/>
          <cell r="F489"/>
          <cell r="G489"/>
          <cell r="H489" t="str">
            <v>LES BIENFAITRICES</v>
          </cell>
          <cell r="I489" t="str">
            <v>LES INFUSIONS DE PLANTES</v>
          </cell>
          <cell r="J489" t="str">
            <v>Par tous les temps</v>
          </cell>
          <cell r="K489" t="str">
            <v>Fortifiante
Menthe poivrée - Fenouil - Lavande</v>
          </cell>
          <cell r="L489" t="str">
            <v>Infusion de plantes</v>
          </cell>
          <cell r="M489" t="str">
            <v>/</v>
          </cell>
          <cell r="N489" t="str">
            <v>AB</v>
          </cell>
          <cell r="O489" t="str">
            <v>/</v>
          </cell>
          <cell r="P489" t="str">
            <v>/</v>
          </cell>
          <cell r="Q489" t="str">
            <v>/</v>
          </cell>
          <cell r="R489" t="str">
            <v>/</v>
          </cell>
          <cell r="S489" t="str">
            <v>/</v>
          </cell>
          <cell r="T489" t="str">
            <v>AT-BIO-302
Agriculture UE
recette en cours d'internalisation oct 23</v>
          </cell>
          <cell r="U489"/>
          <cell r="V489" t="str">
            <v>Par tous les temps, cette recette aux vertus apaisantes se révèle précieuse pour s'offrir un moment de détente. Sa liqueur légèrement épicée facilite les fins de repas et permet de vivre les changements quotidiens de manière plus sereine.</v>
          </cell>
          <cell r="W489" t="str">
            <v>S12</v>
          </cell>
          <cell r="X489" t="str">
            <v>Par tous les temps vous pouvez compter sur cette tisane aux vertus fortifiantes. Son infusion légèrement épicée aux notes de menthe, de fenouil et de lavande facilite les fins de repas, permet un moment de détente récupérateur et de vivre les changements quotidiens plus sereinement.</v>
          </cell>
          <cell r="Y489"/>
          <cell r="Z489" t="str">
            <v>Ingrédients : menthe poivrée* 40% (Mentha piperita), feuilles de framboisier* (Rubus idaeus), origan* (Origanum vulgare), feuilles de noisetier* (Corylus avellana), fenouil* 10% (Foeniculum vulgare), lavande* 5% (Lavandula angustifolia). *Issu de l'agriculture biologique.</v>
          </cell>
          <cell r="AA489" t="str">
            <v>Consommation journalière conseillée : 5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489" t="str">
            <v>/</v>
          </cell>
          <cell r="AC489">
            <v>300</v>
          </cell>
          <cell r="AD489" t="str">
            <v>5-10</v>
          </cell>
          <cell r="AE489">
            <v>95</v>
          </cell>
          <cell r="AF489">
            <v>2</v>
          </cell>
          <cell r="AG489">
            <v>150</v>
          </cell>
          <cell r="AH489">
            <v>3582811054016</v>
          </cell>
          <cell r="AI489" t="str">
            <v>/</v>
          </cell>
          <cell r="AJ489" t="str">
            <v>INTERNE</v>
          </cell>
          <cell r="AK489" t="str">
            <v>INTERNE</v>
          </cell>
          <cell r="AL489" t="str">
            <v>/</v>
          </cell>
          <cell r="AM489" t="str">
            <v>Sonnentor</v>
          </cell>
        </row>
        <row r="490">
          <cell r="A490" t="str">
            <v>TH540</v>
          </cell>
          <cell r="B490"/>
          <cell r="C490" t="str">
            <v>X</v>
          </cell>
          <cell r="D490" t="str">
            <v>X</v>
          </cell>
          <cell r="E490"/>
          <cell r="F490" t="str">
            <v>GRAI</v>
          </cell>
          <cell r="G490">
            <v>45408</v>
          </cell>
          <cell r="H490" t="str">
            <v>LES BIENFAITRICES</v>
          </cell>
          <cell r="I490" t="str">
            <v>LES INFUSIONS DE PLANTES</v>
          </cell>
          <cell r="J490" t="str">
            <v>Par tous les temps</v>
          </cell>
          <cell r="K490" t="str">
            <v>Fortifiante
Menthe poivrée - Fenouil - Lavande</v>
          </cell>
          <cell r="L490" t="str">
            <v>Infusion de plantes</v>
          </cell>
          <cell r="M490" t="str">
            <v>/</v>
          </cell>
          <cell r="N490" t="str">
            <v>AB</v>
          </cell>
          <cell r="O490" t="str">
            <v>/</v>
          </cell>
          <cell r="P490" t="str">
            <v>/</v>
          </cell>
          <cell r="Q490" t="str">
            <v>/</v>
          </cell>
          <cell r="R490" t="str">
            <v>/</v>
          </cell>
          <cell r="S490" t="str">
            <v>/</v>
          </cell>
          <cell r="T490" t="str">
            <v>AT-BIO-302
Agriculture UE
recette en cours d'internalisation oct 23</v>
          </cell>
          <cell r="U490"/>
          <cell r="V490" t="str">
            <v>Par tous les temps, cette recette aux vertus apaisantes se révèle précieuse pour s'offrir un moment de détente. Sa liqueur légèrement épicée facilite les fins de repas et permet de vivre les changements quotidiens de manière plus sereine.</v>
          </cell>
          <cell r="W490" t="str">
            <v>S12</v>
          </cell>
          <cell r="X490" t="str">
            <v>Par tous les temps vous pouvez compter sur cette tisane aux vertus fortifiantes. Son infusion légèrement épicée aux notes de menthe, de fenouil et de lavande facilite les fins de repas, permet un moment de détente récupérateur et de vivre les changements quotidiens plus sereinement.</v>
          </cell>
          <cell r="Y490"/>
          <cell r="Z490" t="str">
            <v>Ingrédients : menthe poivrée* 40% (Mentha piperita), feuilles de framboisier* (Rubus idaeus), origan* (Origanum vulgare), feuilles de noisetier* (Corylus avellana), fenouil* 10% (Foeniculum vulgare), lavande* 5% (Lavandula angustifolia). *Issu de l'agriculture biologique.</v>
          </cell>
          <cell r="AA490" t="str">
            <v>Consommation journalière conseillée : 5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490" t="str">
            <v>/</v>
          </cell>
          <cell r="AC490">
            <v>50</v>
          </cell>
          <cell r="AD490" t="str">
            <v>5-10</v>
          </cell>
          <cell r="AE490">
            <v>95</v>
          </cell>
          <cell r="AF490">
            <v>2</v>
          </cell>
          <cell r="AG490">
            <v>25</v>
          </cell>
          <cell r="AH490">
            <v>3582811005407</v>
          </cell>
          <cell r="AI490" t="str">
            <v>/</v>
          </cell>
          <cell r="AJ490" t="str">
            <v>ETHN5400V5</v>
          </cell>
          <cell r="AK490" t="str">
            <v>ETHN5400V5</v>
          </cell>
          <cell r="AL490" t="str">
            <v>/</v>
          </cell>
          <cell r="AM490" t="str">
            <v>Sonnentor</v>
          </cell>
        </row>
        <row r="491">
          <cell r="A491" t="str">
            <v>TM0181</v>
          </cell>
          <cell r="B491"/>
          <cell r="C491"/>
          <cell r="D491"/>
          <cell r="E491"/>
          <cell r="F491"/>
          <cell r="G491"/>
          <cell r="H491" t="str">
            <v>LES GRANDS CLASSIQUES</v>
          </cell>
          <cell r="I491" t="str">
            <v>LES INFUSIONS DE PLANTES</v>
          </cell>
          <cell r="J491" t="str">
            <v>Parenthèse gourmande</v>
          </cell>
          <cell r="K491" t="str">
            <v>Ecorces de cacao et plantes à infusion</v>
          </cell>
          <cell r="L491" t="str">
            <v xml:space="preserve">Infusion de plantes </v>
          </cell>
          <cell r="M491" t="str">
            <v>?</v>
          </cell>
          <cell r="N491" t="str">
            <v>AB</v>
          </cell>
          <cell r="O491" t="str">
            <v>/</v>
          </cell>
          <cell r="P491" t="str">
            <v>/</v>
          </cell>
          <cell r="Q491" t="str">
            <v>/</v>
          </cell>
          <cell r="R491" t="str">
            <v>/</v>
          </cell>
          <cell r="S491" t="str">
            <v>/</v>
          </cell>
          <cell r="T491" t="str">
            <v>Agriculture UE/non UE</v>
          </cell>
          <cell r="U491"/>
          <cell r="V491" t="str">
            <v>L’onctuosité et la chaleur du cacao avec la richesse aromatique des épices font ici merveille. Une recette si gourmande qu'elle procure une agréable sensation d'euphorie dès les premières gorgées.</v>
          </cell>
          <cell r="W491" t="str">
            <v>S12</v>
          </cell>
          <cell r="X491" t="str">
            <v>L’onctuosité et la chaleur du cacao mêlée à la richesse aromatique des épices font merveille dans cette infusion. Une recette originale et si gourmande qu'elle procure une délicieuse sensation d'euphorie dès les premières gorgées.</v>
          </cell>
          <cell r="Y491"/>
          <cell r="Z491" t="str">
            <v>Ingrédients : écorces de cacao* 72% (Theobroma cacao), fenouil* (Foeniculum vulgare), réglisse* (Glycyrrhizza glabra), fèves tonka* (Dipterix odorata), pétales de souci* (Calendula officinalis). *Issu de l’agriculture biologique. Contient de la réglisse : les personnes souffrant d'hypertension doivent éviter toute consommation excessive.</v>
          </cell>
          <cell r="AA491" t="str">
            <v>/</v>
          </cell>
          <cell r="AB491" t="str">
            <v>/</v>
          </cell>
          <cell r="AC491">
            <v>1.5</v>
          </cell>
          <cell r="AD491" t="str">
            <v>8</v>
          </cell>
          <cell r="AE491">
            <v>95</v>
          </cell>
          <cell r="AF491">
            <v>2</v>
          </cell>
          <cell r="AG491">
            <v>750</v>
          </cell>
          <cell r="AH491">
            <v>3582811201816</v>
          </cell>
          <cell r="AI491" t="str">
            <v>/</v>
          </cell>
          <cell r="AJ491" t="str">
            <v>INTERNE</v>
          </cell>
          <cell r="AK491" t="str">
            <v>INTERNE</v>
          </cell>
          <cell r="AL491" t="str">
            <v>/</v>
          </cell>
          <cell r="AM491" t="str">
            <v>Création maison</v>
          </cell>
        </row>
        <row r="492">
          <cell r="A492" t="str">
            <v>TM0182</v>
          </cell>
          <cell r="B492"/>
          <cell r="C492" t="str">
            <v>X</v>
          </cell>
          <cell r="D492" t="str">
            <v>x</v>
          </cell>
          <cell r="E492"/>
          <cell r="F492" t="str">
            <v>GRAI</v>
          </cell>
          <cell r="G492">
            <v>45408</v>
          </cell>
          <cell r="H492" t="str">
            <v>LES GRANDS CLASSIQUES</v>
          </cell>
          <cell r="I492" t="str">
            <v>LES INFUSIONS DE PLANTES</v>
          </cell>
          <cell r="J492" t="str">
            <v>Parenthèse gourmande</v>
          </cell>
          <cell r="K492" t="str">
            <v>Ecorces de cacao et plantes à infusion</v>
          </cell>
          <cell r="L492" t="str">
            <v xml:space="preserve">Infusion de plantes </v>
          </cell>
          <cell r="M492" t="str">
            <v>?</v>
          </cell>
          <cell r="N492" t="str">
            <v>AB</v>
          </cell>
          <cell r="O492" t="str">
            <v>/</v>
          </cell>
          <cell r="P492" t="str">
            <v>/</v>
          </cell>
          <cell r="Q492" t="str">
            <v>/</v>
          </cell>
          <cell r="R492" t="str">
            <v>/</v>
          </cell>
          <cell r="S492" t="str">
            <v>/</v>
          </cell>
          <cell r="T492" t="str">
            <v>Agriculture UE/non UE</v>
          </cell>
          <cell r="U492"/>
          <cell r="V492" t="str">
            <v>L’onctuosité et la chaleur du cacao avec la richesse aromatique des épices font ici merveille. Une recette si gourmande qu'elle procure une agréable sensation d'euphorie dès les premières gorgées.</v>
          </cell>
          <cell r="W492" t="str">
            <v>S12</v>
          </cell>
          <cell r="X492" t="str">
            <v>L’onctuosité et la chaleur du cacao mêlée à la richesse aromatique des épices font merveille dans cette infusion. Une recette originale et si gourmande qu'elle procure une délicieuse sensation d'euphorie dès les premières gorgées.</v>
          </cell>
          <cell r="Y492"/>
          <cell r="Z492" t="str">
            <v>Ingrédients : écorces de cacao* 72% (Theobroma cacao), fenouil* (Foeniculum vulgare), réglisse* (Glycyrrhizza glabra), fèves tonka* (Dipterix odorata), pétales de souci* (Calendula officinalis). *Issu de l’agriculture biologique. Contient de la réglisse : les personnes souffrant d'hypertension doivent éviter toute consommation excessive.</v>
          </cell>
          <cell r="AA492" t="str">
            <v>/</v>
          </cell>
          <cell r="AB492" t="str">
            <v>/</v>
          </cell>
          <cell r="AC492">
            <v>100</v>
          </cell>
          <cell r="AD492" t="str">
            <v>8</v>
          </cell>
          <cell r="AE492">
            <v>95</v>
          </cell>
          <cell r="AF492">
            <v>2</v>
          </cell>
          <cell r="AG492">
            <v>50</v>
          </cell>
          <cell r="AH492">
            <v>3582811201823</v>
          </cell>
          <cell r="AI492" t="str">
            <v>/</v>
          </cell>
          <cell r="AJ492" t="str">
            <v>ETHM018V5</v>
          </cell>
          <cell r="AK492" t="str">
            <v>ETHM0180V5</v>
          </cell>
          <cell r="AL492" t="str">
            <v>ETCHM01820V5</v>
          </cell>
          <cell r="AM492" t="str">
            <v>Création maison</v>
          </cell>
        </row>
        <row r="493">
          <cell r="A493" t="str">
            <v>TA6881</v>
          </cell>
          <cell r="B493"/>
          <cell r="C493"/>
          <cell r="D493"/>
          <cell r="E493"/>
          <cell r="F493"/>
          <cell r="G493"/>
          <cell r="H493" t="str">
            <v>LES GRANDS CLASSIQUES</v>
          </cell>
          <cell r="I493"/>
          <cell r="J493" t="str">
            <v>Parfum d’Eden</v>
          </cell>
          <cell r="K493" t="str">
            <v>Mandarine - Saveur vanille</v>
          </cell>
          <cell r="L493" t="str">
            <v>Thé vert aromatisé</v>
          </cell>
          <cell r="M493" t="str">
            <v>Inde - Chine - Vietnam</v>
          </cell>
          <cell r="N493" t="str">
            <v>AB</v>
          </cell>
          <cell r="O493" t="str">
            <v>WFTO</v>
          </cell>
          <cell r="P493" t="str">
            <v>/</v>
          </cell>
          <cell r="Q493" t="str">
            <v>/</v>
          </cell>
          <cell r="R493" t="str">
            <v>/</v>
          </cell>
          <cell r="S493" t="str">
            <v>/</v>
          </cell>
          <cell r="T493" t="str">
            <v>Agriculture UE/non UE</v>
          </cell>
          <cell r="U493"/>
          <cell r="V493" t="str">
            <v>Association paradisiaque d’un thé vert et de l’arôme délicat et sucré de la mandarine très légèrement arrondi par la vanille. Breuvage savoureux et raffiné d’une absolue harmonie. Magique !</v>
          </cell>
          <cell r="W493" t="str">
            <v>S16</v>
          </cell>
          <cell r="X493" t="str">
            <v>Ce mariage de la fraîcheur du thé vert avec le velouté de la vanille et l’arôme délicat et sucré de la mandarine a comme un avant-goût de paradis. Fermez les yeux et laisser vous transporter vers des contrées gourmandes où tout n’est que saveurs, luxe, calme et volupté…</v>
          </cell>
          <cell r="Y493"/>
          <cell r="Z493" t="str">
            <v>Ingrédients : thé vert*, extrait de vanille* 3%, écorces de mandarine* 2%, huile essentielle de mandarine* 2%, pétales de tournesol*. *Issu de l'agriculture biologique.</v>
          </cell>
          <cell r="AA493" t="str">
            <v>/</v>
          </cell>
          <cell r="AB493" t="str">
            <v>Membre certifié World Fair Trade Organization, Les Jardins de Gaïa s’engagent pour un commerce plus juste et répondent aux exigences du commerce équitable. Pour en savoir plus : www.wfto.com.</v>
          </cell>
          <cell r="AC493">
            <v>1.5</v>
          </cell>
          <cell r="AD493" t="str">
            <v>3</v>
          </cell>
          <cell r="AE493">
            <v>75</v>
          </cell>
          <cell r="AF493">
            <v>2</v>
          </cell>
          <cell r="AG493">
            <v>750</v>
          </cell>
          <cell r="AH493">
            <v>3582810868812</v>
          </cell>
          <cell r="AI493" t="str">
            <v>/</v>
          </cell>
          <cell r="AJ493" t="str">
            <v>INTERNE</v>
          </cell>
          <cell r="AK493" t="str">
            <v>INTERNE</v>
          </cell>
          <cell r="AL493" t="str">
            <v>/</v>
          </cell>
          <cell r="AM493" t="str">
            <v>Création maison</v>
          </cell>
        </row>
        <row r="494">
          <cell r="A494" t="str">
            <v>TA6882</v>
          </cell>
          <cell r="B494"/>
          <cell r="C494" t="str">
            <v>X</v>
          </cell>
          <cell r="D494" t="str">
            <v>X</v>
          </cell>
          <cell r="E494" t="str">
            <v>X</v>
          </cell>
          <cell r="F494" t="str">
            <v>BRODART</v>
          </cell>
          <cell r="G494"/>
          <cell r="H494" t="str">
            <v>LES GRANDS CLASSIQUES</v>
          </cell>
          <cell r="I494"/>
          <cell r="J494" t="str">
            <v>Parfum d’Eden</v>
          </cell>
          <cell r="K494" t="str">
            <v>Mandarine - Saveur vanille</v>
          </cell>
          <cell r="L494" t="str">
            <v>Thé vert aromatisé</v>
          </cell>
          <cell r="M494" t="str">
            <v>Inde - Chine</v>
          </cell>
          <cell r="N494" t="str">
            <v>AB</v>
          </cell>
          <cell r="O494" t="str">
            <v>WFTO</v>
          </cell>
          <cell r="P494" t="str">
            <v>/</v>
          </cell>
          <cell r="Q494" t="str">
            <v>/</v>
          </cell>
          <cell r="R494" t="str">
            <v>/</v>
          </cell>
          <cell r="S494" t="str">
            <v>/</v>
          </cell>
          <cell r="T494" t="str">
            <v>Agriculture UE/non UE</v>
          </cell>
          <cell r="U494"/>
          <cell r="V494" t="str">
            <v>Association paradisiaque d’un thé vert et de l’arôme délicat et sucré de la mandarine très légèrement arrondi par la vanille. Breuvage savoureux et raffiné d’une absolue harmonie. Magique !</v>
          </cell>
          <cell r="W494" t="str">
            <v>S16</v>
          </cell>
          <cell r="X494" t="str">
            <v>Ce mariage de la fraîcheur du thé vert avec le velouté de la vanille et l’arôme délicat et sucré de la mandarine a comme un avant-goût de paradis. Fermez les yeux et laisser vous transporter vers des contrées gourmandes où tout n’est que saveurs, luxe, calme et volupté…</v>
          </cell>
          <cell r="Y494"/>
          <cell r="Z494" t="str">
            <v>Ingrédients : thé vert*, extrait de vanille* 3%, écorces de mandarine* 2%, huile essentielle de mandarine* 2%, pétales de tournesol*. *Issu de l'agriculture biologique.</v>
          </cell>
          <cell r="AA494" t="str">
            <v>/</v>
          </cell>
          <cell r="AB494" t="str">
            <v>Membre certifié World Fair Trade Organization, Les Jardins de Gaïa s’engagent pour un commerce plus juste et répondent aux exigences du commerce équitable. Pour en savoir plus : www.wfto.com.</v>
          </cell>
          <cell r="AC494">
            <v>100</v>
          </cell>
          <cell r="AD494" t="str">
            <v>3</v>
          </cell>
          <cell r="AE494">
            <v>75</v>
          </cell>
          <cell r="AF494">
            <v>2</v>
          </cell>
          <cell r="AG494">
            <v>50</v>
          </cell>
          <cell r="AH494">
            <v>3582813568825</v>
          </cell>
          <cell r="AI494" t="str">
            <v>/</v>
          </cell>
          <cell r="AJ494" t="str">
            <v>ETVA688V5</v>
          </cell>
          <cell r="AK494" t="str">
            <v>ETVA688V5</v>
          </cell>
          <cell r="AL494" t="str">
            <v>ETCVA6882V5</v>
          </cell>
          <cell r="AM494" t="str">
            <v>Création maison</v>
          </cell>
        </row>
        <row r="495">
          <cell r="A495" t="str">
            <v>TM6931</v>
          </cell>
          <cell r="B495"/>
          <cell r="C495"/>
          <cell r="D495"/>
          <cell r="E495"/>
          <cell r="F495"/>
          <cell r="G495"/>
          <cell r="H495" t="str">
            <v>LES GRANDS CLASSIQUES</v>
          </cell>
          <cell r="I495"/>
          <cell r="J495" t="str">
            <v>Parfum de Médina</v>
          </cell>
          <cell r="K495" t="str">
            <v>Menthe douce</v>
          </cell>
          <cell r="L495" t="str">
            <v>Thé vert parfumé</v>
          </cell>
          <cell r="M495" t="str">
            <v>Chine</v>
          </cell>
          <cell r="N495" t="str">
            <v>AB</v>
          </cell>
          <cell r="O495" t="str">
            <v>WFTO</v>
          </cell>
          <cell r="P495" t="str">
            <v>/</v>
          </cell>
          <cell r="Q495" t="str">
            <v>/</v>
          </cell>
          <cell r="R495" t="str">
            <v>/</v>
          </cell>
          <cell r="S495" t="str">
            <v>/</v>
          </cell>
          <cell r="T495" t="str">
            <v>Agriculture non UE</v>
          </cell>
          <cell r="U495"/>
          <cell r="V495" t="str">
            <v>De la Médina de Marrakech à celle d’Alger, en passant par Tunis, prenez le temps d’une pause. Boisson nationale en Afrique du Nord, ce savoureux mélange de thé vert délicat et de menthe est idéal pour partager un instant convivial.</v>
          </cell>
          <cell r="W495"/>
          <cell r="X495" t="str">
            <v>Ce thé vert à la menthe est idéal pour partager un instant de convivialité. Retrouvez l’ambiance unique des médinas en savourant les charmes de la boisson typique d’Afrique du Nord.</v>
          </cell>
          <cell r="Y495"/>
          <cell r="Z495" t="str">
            <v>Ingrédients : thé vert*, menthe douce* 30%. *Issu de l'agriculture biologique.</v>
          </cell>
          <cell r="AA495" t="str">
            <v>/</v>
          </cell>
          <cell r="AB495" t="str">
            <v>Membre certifié World Fair Trade Organization, Les Jardins de Gaïa s’engagent pour un commerce plus juste et répondent aux exigences du commerce équitable. Pour en savoir plus : www.wfto.com.</v>
          </cell>
          <cell r="AC495">
            <v>1.5</v>
          </cell>
          <cell r="AD495" t="str">
            <v>3</v>
          </cell>
          <cell r="AE495">
            <v>75</v>
          </cell>
          <cell r="AF495">
            <v>2</v>
          </cell>
          <cell r="AG495">
            <v>750</v>
          </cell>
          <cell r="AH495">
            <v>3582811769316</v>
          </cell>
          <cell r="AI495" t="str">
            <v>/</v>
          </cell>
          <cell r="AJ495" t="str">
            <v>INTERNE</v>
          </cell>
          <cell r="AK495" t="str">
            <v>INTERNE</v>
          </cell>
          <cell r="AL495" t="str">
            <v>/</v>
          </cell>
          <cell r="AM495" t="str">
            <v>Création maison</v>
          </cell>
        </row>
        <row r="496">
          <cell r="A496" t="str">
            <v>TM6932</v>
          </cell>
          <cell r="B496"/>
          <cell r="C496" t="str">
            <v>X</v>
          </cell>
          <cell r="D496" t="str">
            <v>x</v>
          </cell>
          <cell r="E496" t="str">
            <v>x</v>
          </cell>
          <cell r="F496" t="str">
            <v>GRAI</v>
          </cell>
          <cell r="G496">
            <v>45383</v>
          </cell>
          <cell r="H496" t="str">
            <v>LES GRANDS CLASSIQUES</v>
          </cell>
          <cell r="I496"/>
          <cell r="J496" t="str">
            <v>Parfum de Médina</v>
          </cell>
          <cell r="K496" t="str">
            <v>Menthe douce</v>
          </cell>
          <cell r="L496" t="str">
            <v>Thé vert parfumé</v>
          </cell>
          <cell r="M496" t="str">
            <v>Chine</v>
          </cell>
          <cell r="N496" t="str">
            <v>AB</v>
          </cell>
          <cell r="O496" t="str">
            <v>WFTO</v>
          </cell>
          <cell r="P496" t="str">
            <v>/</v>
          </cell>
          <cell r="Q496" t="str">
            <v>/</v>
          </cell>
          <cell r="R496" t="str">
            <v>/</v>
          </cell>
          <cell r="S496" t="str">
            <v>/</v>
          </cell>
          <cell r="T496" t="str">
            <v>Agriculture non UE</v>
          </cell>
          <cell r="U496"/>
          <cell r="V496" t="str">
            <v>De la Médina de Marrakech à celle d’Alger, en passant par Tunis, prenez le temps d’une pause. Boisson nationale en Afrique du Nord, ce savoureux mélange de thé vert délicat et de menthe est idéal pour partager un instant convivial.</v>
          </cell>
          <cell r="W496"/>
          <cell r="X496" t="str">
            <v>Ce thé vert à la menthe est idéal pour partager un instant de convivialité. Retrouvez l’ambiance unique des médinas en savourant les charmes de la boisson typique d’Afrique du Nord.</v>
          </cell>
          <cell r="Y496"/>
          <cell r="Z496" t="str">
            <v>Ingrédients : thé vert*, menthe douce* 30%. *Issu de l'agriculture biologique.</v>
          </cell>
          <cell r="AA496" t="str">
            <v>/</v>
          </cell>
          <cell r="AB496" t="str">
            <v>Membre certifié World Fair Trade Organization, Les Jardins de Gaïa s’engagent pour un commerce plus juste et répondent aux exigences du commerce équitable. Pour en savoir plus : www.wfto.com.</v>
          </cell>
          <cell r="AC496">
            <v>100</v>
          </cell>
          <cell r="AD496" t="str">
            <v>3</v>
          </cell>
          <cell r="AE496">
            <v>75</v>
          </cell>
          <cell r="AF496">
            <v>2</v>
          </cell>
          <cell r="AG496">
            <v>50</v>
          </cell>
          <cell r="AH496">
            <v>3582811769323</v>
          </cell>
          <cell r="AI496" t="str">
            <v>/</v>
          </cell>
          <cell r="AJ496" t="str">
            <v>ETVM693</v>
          </cell>
          <cell r="AK496" t="str">
            <v>ETVM693V5</v>
          </cell>
          <cell r="AL496" t="str">
            <v>ETCVM6932V5</v>
          </cell>
          <cell r="AM496" t="str">
            <v>Guzhang Gaofeng Organic Tea Association</v>
          </cell>
        </row>
        <row r="497">
          <cell r="A497" t="str">
            <v>TUTM6932</v>
          </cell>
          <cell r="B497"/>
          <cell r="C497"/>
          <cell r="D497"/>
          <cell r="E497"/>
          <cell r="F497"/>
          <cell r="G497"/>
          <cell r="H497" t="str">
            <v>LES GRANDS CLASSIQUES</v>
          </cell>
          <cell r="I497"/>
          <cell r="J497" t="str">
            <v>Parfum de Médina</v>
          </cell>
          <cell r="K497" t="str">
            <v>Menthe douce</v>
          </cell>
          <cell r="L497" t="str">
            <v>Thé vert parfumé</v>
          </cell>
          <cell r="M497" t="str">
            <v>Chine</v>
          </cell>
          <cell r="N497" t="str">
            <v>AB</v>
          </cell>
          <cell r="O497" t="str">
            <v>WFTO</v>
          </cell>
          <cell r="P497" t="str">
            <v>/</v>
          </cell>
          <cell r="Q497" t="str">
            <v>/</v>
          </cell>
          <cell r="R497" t="str">
            <v>/</v>
          </cell>
          <cell r="S497" t="str">
            <v>/</v>
          </cell>
          <cell r="T497" t="str">
            <v>Agriculture non UE</v>
          </cell>
          <cell r="U497"/>
          <cell r="V497" t="str">
            <v>De la Médina de Marrakech à celle d’Alger, en passant par Tunis, prenez le temps d’une pause. Boisson nationale en Afrique du Nord, ce savoureux mélange de thé vert délicat et de menthe est idéal pour partager un instant convivial.</v>
          </cell>
          <cell r="W497"/>
          <cell r="X497" t="str">
            <v>Ce thé vert à la menthe est idéal pour partager un instant de convivialité. Retrouvez l’ambiance unique des médinas en savourant les charmes de la boisson typique d’Afrique du Nord.</v>
          </cell>
          <cell r="Y497"/>
          <cell r="Z497" t="str">
            <v>Ingrédients : thé vert*, menthe douce* 30%. *Issu de l'agriculture biologique.</v>
          </cell>
          <cell r="AA497" t="str">
            <v>/</v>
          </cell>
          <cell r="AB497" t="str">
            <v>Membre certifié World Fair Trade Organization, Les Jardins de Gaïa s’engagent pour un commerce plus juste et répondent aux exigences du commerce équitable. Pour en savoir plus : www.wfto.com.</v>
          </cell>
          <cell r="AC497">
            <v>100</v>
          </cell>
          <cell r="AD497" t="str">
            <v>3</v>
          </cell>
          <cell r="AE497">
            <v>75</v>
          </cell>
          <cell r="AF497">
            <v>2</v>
          </cell>
          <cell r="AG497">
            <v>50</v>
          </cell>
          <cell r="AH497">
            <v>3582815669322</v>
          </cell>
          <cell r="AI497" t="str">
            <v>/</v>
          </cell>
          <cell r="AJ497" t="str">
            <v>ETTUTM6932V5</v>
          </cell>
          <cell r="AK497" t="str">
            <v>ETTUTM6932V5</v>
          </cell>
          <cell r="AL497" t="str">
            <v>/</v>
          </cell>
          <cell r="AM497" t="str">
            <v>Création maison</v>
          </cell>
        </row>
        <row r="498">
          <cell r="A498" t="str">
            <v>TA7411</v>
          </cell>
          <cell r="B498"/>
          <cell r="C498"/>
          <cell r="D498"/>
          <cell r="E498"/>
          <cell r="F498"/>
          <cell r="G498"/>
          <cell r="H498" t="str">
            <v>LES ENGAGÉS</v>
          </cell>
          <cell r="I498" t="str">
            <v>AGIR POUR LA NATURE</v>
          </cell>
          <cell r="J498" t="str">
            <v>Parfum de résistance</v>
          </cell>
          <cell r="K498" t="str">
            <v>Huile essentielle d'orange - Réglisse - Cacao</v>
          </cell>
          <cell r="L498" t="str">
            <v>Thé noir aromatisé</v>
          </cell>
          <cell r="M498" t="str">
            <v>Vietnam</v>
          </cell>
          <cell r="N498" t="str">
            <v>AB</v>
          </cell>
          <cell r="O498" t="str">
            <v>WFTO</v>
          </cell>
          <cell r="P498" t="str">
            <v>/</v>
          </cell>
          <cell r="Q498" t="str">
            <v>WT</v>
          </cell>
          <cell r="R498" t="str">
            <v>/</v>
          </cell>
          <cell r="S498" t="str">
            <v>/</v>
          </cell>
          <cell r="T498" t="str">
            <v>Agriculture UE/non UE</v>
          </cell>
          <cell r="U498"/>
          <cell r="V498" t="str">
            <v>Une alliance d’arômes libérés par ce thé noir issu de théiers anciens. Cacao, réglisse et orange, les papilles sont successivement menées vers un mélange rond et fruité. Une liqueur pour tous les moments où nous agissons en respect de nos valeurs et savourons leur parfum enivrant !</v>
          </cell>
          <cell r="W498" t="str">
            <v>S25</v>
          </cell>
          <cell r="X498" t="str">
            <v>Il y a comme un parfum de résistance dans cette farandole de saveurs qui entourent ce thé noir issu de théiers anciens. Cacao, réglisse et orange, cette boisson est autant une fête pour les papilles qu’une source d’inspiration et de motivation pour toujours agir en respectant la vie qui nous entoure.</v>
          </cell>
          <cell r="Y498" t="str">
            <v>Depuis 1999, l'association Kokopelli milite pour la libération des semences et contre la brevetabilité du vivant. www.kokopelli-semences.fr</v>
          </cell>
          <cell r="Z498" t="str">
            <v>Ingrédients : thé noir*, réglisse* 13%, cacao* 9%, huile essentielle d'orange* 3%, chips de carottes*. *Issu de l'agriculture biologique. Contient de la réglisse, les personnes souffrant d'hypertension doivent éviter toute consommation excessive.</v>
          </cell>
          <cell r="AA498" t="str">
            <v>/</v>
          </cell>
          <cell r="AB498" t="str">
            <v>Membre certifié World Fair Trade Organization, Les Jardins de Gaïa s’engagent pour un commerce plus juste et répondent aux exigences du commerce équitable. Pour en savoir plus : www.wfto.com.</v>
          </cell>
          <cell r="AC498">
            <v>1.5</v>
          </cell>
          <cell r="AD498" t="str">
            <v>3-4</v>
          </cell>
          <cell r="AE498">
            <v>95</v>
          </cell>
          <cell r="AF498">
            <v>2</v>
          </cell>
          <cell r="AG498">
            <v>750</v>
          </cell>
          <cell r="AH498">
            <v>3582810274118</v>
          </cell>
          <cell r="AI498" t="str">
            <v>/</v>
          </cell>
          <cell r="AJ498" t="str">
            <v>INTERNE</v>
          </cell>
          <cell r="AK498" t="str">
            <v>INTERNE</v>
          </cell>
          <cell r="AL498" t="str">
            <v>/</v>
          </cell>
          <cell r="AM498" t="str">
            <v>Création maison</v>
          </cell>
        </row>
        <row r="499">
          <cell r="A499" t="str">
            <v>TA7412</v>
          </cell>
          <cell r="B499"/>
          <cell r="C499"/>
          <cell r="D499"/>
          <cell r="E499"/>
          <cell r="F499"/>
          <cell r="G499"/>
          <cell r="H499" t="str">
            <v>LES ENGAGÉS</v>
          </cell>
          <cell r="I499" t="str">
            <v>AGIR POUR LA NATURE</v>
          </cell>
          <cell r="J499" t="str">
            <v>Parfum de résistance</v>
          </cell>
          <cell r="K499" t="str">
            <v>Huile essentielle d'orange - Réglisse - Cacao</v>
          </cell>
          <cell r="L499" t="str">
            <v>Thé noir aromatisé</v>
          </cell>
          <cell r="M499" t="str">
            <v>Vietnam</v>
          </cell>
          <cell r="N499" t="str">
            <v>AB</v>
          </cell>
          <cell r="O499" t="str">
            <v>WFTO</v>
          </cell>
          <cell r="P499" t="str">
            <v>/</v>
          </cell>
          <cell r="Q499" t="str">
            <v>WT</v>
          </cell>
          <cell r="R499" t="str">
            <v>/</v>
          </cell>
          <cell r="S499" t="str">
            <v>/</v>
          </cell>
          <cell r="T499" t="str">
            <v>Agriculture UE/non UE</v>
          </cell>
          <cell r="U499"/>
          <cell r="V499" t="str">
            <v>Une alliance d’arômes libérés par ce thé noir issu de théiers anciens. Cacao, réglisse et orange, les papilles sont successivement menées vers un mélange rond et fruité. Une liqueur pour tous les moments où nous agissons en respect de nos valeurs et savourons leur parfum enivrant !</v>
          </cell>
          <cell r="W499" t="str">
            <v>S25</v>
          </cell>
          <cell r="X499" t="str">
            <v>Il y a comme un parfum de résistance dans cette farandole de saveurs qui entourent ce thé noir issu de théiers anciens. Cacao, réglisse et orange, cette boisson est autant une fête pour les papilles qu’une source d’inspiration et de motivation pour toujours agir en respectant la vie qui nous entoure.</v>
          </cell>
          <cell r="Y499" t="str">
            <v>Depuis 1999, l'association Kokopelli milite pour la libération des semences et contre la brevetabilité du vivant. www.kokopelli-semences.fr</v>
          </cell>
          <cell r="Z499" t="str">
            <v>Ingrédients : thé noir*, réglisse* 13%, cacao* 9%, huile essentielle d'orange* 3%, chips de carottes*. *Issu de l'agriculture biologique. Contient de la réglisse, les personnes souffrant d'hypertension doivent éviter toute consommation excessive.</v>
          </cell>
          <cell r="AA499" t="str">
            <v>/</v>
          </cell>
          <cell r="AB499" t="str">
            <v>Membre certifié World Fair Trade Organization, Les Jardins de Gaïa s’engagent pour un commerce plus juste et répondent aux exigences du commerce équitable. Pour en savoir plus : www.wfto.com.</v>
          </cell>
          <cell r="AC499">
            <v>100</v>
          </cell>
          <cell r="AD499" t="str">
            <v>3-4</v>
          </cell>
          <cell r="AE499">
            <v>95</v>
          </cell>
          <cell r="AF499">
            <v>2</v>
          </cell>
          <cell r="AG499">
            <v>50</v>
          </cell>
          <cell r="AH499">
            <v>3582810274125</v>
          </cell>
          <cell r="AI499" t="str">
            <v>/</v>
          </cell>
          <cell r="AJ499" t="str">
            <v>ETNA741</v>
          </cell>
          <cell r="AK499" t="str">
            <v>ETNA741V5</v>
          </cell>
          <cell r="AL499" t="str">
            <v>ETCNA7412V5</v>
          </cell>
          <cell r="AM499" t="str">
            <v>Création maison</v>
          </cell>
        </row>
        <row r="500">
          <cell r="A500" t="str">
            <v>TR2101</v>
          </cell>
          <cell r="B500"/>
          <cell r="C500"/>
          <cell r="D500"/>
          <cell r="E500"/>
          <cell r="F500"/>
          <cell r="G500"/>
          <cell r="H500" t="str">
            <v>LES GRANDS CLASSIQUES</v>
          </cell>
          <cell r="I500"/>
          <cell r="J500" t="str">
            <v>Parfum de Soleil</v>
          </cell>
          <cell r="K500" t="str">
            <v>Abricot - Pêche</v>
          </cell>
          <cell r="L500" t="str">
            <v>Rooibos aromatisé</v>
          </cell>
          <cell r="M500" t="str">
            <v>Afrique du Sud - Cap Occidental</v>
          </cell>
          <cell r="N500" t="str">
            <v>AB</v>
          </cell>
          <cell r="O500" t="str">
            <v>WFTO</v>
          </cell>
          <cell r="P500" t="str">
            <v>/</v>
          </cell>
          <cell r="Q500" t="str">
            <v>/</v>
          </cell>
          <cell r="R500" t="str">
            <v>/</v>
          </cell>
          <cell r="S500" t="str">
            <v>/</v>
          </cell>
          <cell r="T500" t="str">
            <v>Agriculture UE/non UE</v>
          </cell>
          <cell r="U500"/>
          <cell r="V500" t="str">
            <v>D’une rare finesse et d’une saveur fruitée exquise, ce rooibos agrémenté du velouté de la pêche et de la touche acidulée de l’abricot est une merveilleuse promenade au cœur des jardins d’été ensoleillé.</v>
          </cell>
          <cell r="W500"/>
          <cell r="X500" t="str">
            <v xml:space="preserve">Comme un parfum de soleil, ce rooibos associe la chaleur de ses origines au velouté de la pêche et aux notes acidulées de l’abricot. Pour une pause fruitée qui évoque à chaque gorgée la douceur des beaux jours. </v>
          </cell>
          <cell r="Y500"/>
          <cell r="Z500" t="str">
            <v xml:space="preserve">Ingrédients : rooibos*, arômes naturels de (pêche*, abricot*) 8%, morceaux de fruits (abricot*, pêche*) 1%, pétales de souci*. *Issu de l'agriculture biologique. </v>
          </cell>
          <cell r="AA500" t="str">
            <v>/</v>
          </cell>
          <cell r="AB500" t="str">
            <v>Membre certifié World Fair Trade Organization, Les Jardins de Gaïa s’engagent pour un commerce plus juste et répondent aux exigences du commerce équitable. Pour en savoir plus : www.wfto.com.</v>
          </cell>
          <cell r="AC500">
            <v>1.5</v>
          </cell>
          <cell r="AD500" t="str">
            <v>5-10</v>
          </cell>
          <cell r="AE500">
            <v>95</v>
          </cell>
          <cell r="AF500">
            <v>2</v>
          </cell>
          <cell r="AG500">
            <v>750</v>
          </cell>
          <cell r="AH500">
            <v>3582810921012</v>
          </cell>
          <cell r="AI500" t="str">
            <v>/</v>
          </cell>
          <cell r="AJ500" t="str">
            <v>INTERNE</v>
          </cell>
          <cell r="AK500" t="str">
            <v>INTERNE</v>
          </cell>
          <cell r="AL500" t="str">
            <v>/</v>
          </cell>
          <cell r="AM500" t="str">
            <v>Création maison</v>
          </cell>
        </row>
        <row r="501">
          <cell r="A501" t="str">
            <v>TR2102</v>
          </cell>
          <cell r="B501"/>
          <cell r="C501" t="str">
            <v>X</v>
          </cell>
          <cell r="D501" t="str">
            <v>X</v>
          </cell>
          <cell r="E501" t="str">
            <v>X</v>
          </cell>
          <cell r="F501" t="str">
            <v>GRAI</v>
          </cell>
          <cell r="G501">
            <v>45383</v>
          </cell>
          <cell r="H501" t="str">
            <v>LES GRANDS CLASSIQUES</v>
          </cell>
          <cell r="I501"/>
          <cell r="J501" t="str">
            <v>Parfum de Soleil</v>
          </cell>
          <cell r="K501" t="str">
            <v>Abricot - Pêche</v>
          </cell>
          <cell r="L501" t="str">
            <v>Rooibos aromatisé</v>
          </cell>
          <cell r="M501" t="str">
            <v>Afrique du Sud - Cap Occidental</v>
          </cell>
          <cell r="N501" t="str">
            <v>AB</v>
          </cell>
          <cell r="O501" t="str">
            <v>WFTO</v>
          </cell>
          <cell r="P501" t="str">
            <v>/</v>
          </cell>
          <cell r="Q501" t="str">
            <v>/</v>
          </cell>
          <cell r="R501" t="str">
            <v>/</v>
          </cell>
          <cell r="S501" t="str">
            <v>/</v>
          </cell>
          <cell r="T501" t="str">
            <v>Agriculture UE/non UE</v>
          </cell>
          <cell r="U501"/>
          <cell r="V501" t="str">
            <v>D’une rare finesse et d’une saveur fruitée exquise, ce rooibos agrémenté du velouté de la pêche et de la touche acidulée de l’abricot est une merveilleuse promenade au cœur des jardins d’été ensoleillé.</v>
          </cell>
          <cell r="W501"/>
          <cell r="X501" t="str">
            <v xml:space="preserve">Comme un parfum de soleil, ce rooibos associe la chaleur de ses origines au velouté de la pêche et aux notes acidulées de l’abricot. Pour une pause fruitée qui évoque à chaque gorgée la douceur des beaux jours. </v>
          </cell>
          <cell r="Y501"/>
          <cell r="Z501" t="str">
            <v xml:space="preserve">Ingrédients : rooibos*, arômes naturels de (pêche*, abricot*) 8%, morceaux de fruits (abricot*, pêche*) 1%, pétales de souci*. *Issu de l'agriculture biologique. </v>
          </cell>
          <cell r="AA501" t="str">
            <v>/</v>
          </cell>
          <cell r="AB501" t="str">
            <v>Membre certifié World Fair Trade Organization, Les Jardins de Gaïa s’engagent pour un commerce plus juste et répondent aux exigences du commerce équitable. Pour en savoir plus : www.wfto.com.</v>
          </cell>
          <cell r="AC501">
            <v>100</v>
          </cell>
          <cell r="AD501" t="str">
            <v>5-10</v>
          </cell>
          <cell r="AE501">
            <v>95</v>
          </cell>
          <cell r="AF501">
            <v>2</v>
          </cell>
          <cell r="AG501">
            <v>50</v>
          </cell>
          <cell r="AH501">
            <v>3582810921029</v>
          </cell>
          <cell r="AI501" t="str">
            <v>/</v>
          </cell>
          <cell r="AJ501" t="str">
            <v>ETRA210V5</v>
          </cell>
          <cell r="AK501" t="str">
            <v>ETRA210V5</v>
          </cell>
          <cell r="AL501" t="str">
            <v>ETCRA2102V5</v>
          </cell>
          <cell r="AM501" t="str">
            <v>Wupperthal Original Rooibos Cooperative et Heiveld Cooperative</v>
          </cell>
        </row>
        <row r="502">
          <cell r="A502" t="str">
            <v>TR2031</v>
          </cell>
          <cell r="B502"/>
          <cell r="C502"/>
          <cell r="D502"/>
          <cell r="E502"/>
          <cell r="F502"/>
          <cell r="G502"/>
          <cell r="H502" t="str">
            <v>LES GRANDS CLASSIQUES</v>
          </cell>
          <cell r="I502"/>
          <cell r="J502" t="str">
            <v>Parfum des îles</v>
          </cell>
          <cell r="K502" t="str">
            <v>Vanille</v>
          </cell>
          <cell r="L502" t="str">
            <v>Rooibos aromatisé</v>
          </cell>
          <cell r="M502" t="str">
            <v>Afrique du Sud - Cap Occidental</v>
          </cell>
          <cell r="N502" t="str">
            <v>AB</v>
          </cell>
          <cell r="O502" t="str">
            <v>WFTO</v>
          </cell>
          <cell r="P502" t="str">
            <v>/</v>
          </cell>
          <cell r="Q502" t="str">
            <v>/</v>
          </cell>
          <cell r="R502" t="str">
            <v>/</v>
          </cell>
          <cell r="S502" t="str">
            <v>/</v>
          </cell>
          <cell r="T502" t="str">
            <v>Agriculture UE/non UE</v>
          </cell>
          <cell r="U502"/>
          <cell r="V502" t="str">
            <v>Parfumée avec la vanille la plus fine, cette boisson envoûtante et ensoleillée nous fait voyager et rêver tout en douceur… À déguster sur un air de ukulélé !</v>
          </cell>
          <cell r="W502"/>
          <cell r="X502" t="str">
            <v>Ce mariage chaleureux et gourmand de rooibos et de vanille est une invitation à prendre le large et rêver d’îles lointaines et de moments suaves et ensoleillés… Sans théine, il se partage en famille. À déguster idéalement sur un air de ukulélé !</v>
          </cell>
          <cell r="Y502"/>
          <cell r="Z502" t="str">
            <v>Ingrédients : rooibos*, extrait de vanille* 4%, morceaux de vanille* 2%, pétales de souci*. *Issu de l'agriculture biologique.</v>
          </cell>
          <cell r="AA502" t="str">
            <v>/</v>
          </cell>
          <cell r="AB502" t="str">
            <v>Membre certifié World Fair Trade Organization, Les Jardins de Gaïa s’engagent pour un commerce plus juste et répondent aux exigences du commerce équitable. Pour en savoir plus : www.wfto.com.</v>
          </cell>
          <cell r="AC502">
            <v>1.5</v>
          </cell>
          <cell r="AD502" t="str">
            <v>5-10</v>
          </cell>
          <cell r="AE502">
            <v>95</v>
          </cell>
          <cell r="AF502">
            <v>2</v>
          </cell>
          <cell r="AG502">
            <v>750</v>
          </cell>
          <cell r="AH502">
            <v>3582810920312</v>
          </cell>
          <cell r="AI502" t="str">
            <v>/</v>
          </cell>
          <cell r="AJ502" t="str">
            <v>INTERNE</v>
          </cell>
          <cell r="AK502" t="str">
            <v>INTERNE</v>
          </cell>
          <cell r="AL502" t="str">
            <v>/</v>
          </cell>
          <cell r="AM502" t="str">
            <v>Création maison</v>
          </cell>
        </row>
        <row r="503">
          <cell r="A503" t="str">
            <v>TR2032</v>
          </cell>
          <cell r="B503"/>
          <cell r="C503" t="str">
            <v>X</v>
          </cell>
          <cell r="D503" t="str">
            <v>x</v>
          </cell>
          <cell r="E503" t="str">
            <v>x</v>
          </cell>
          <cell r="F503" t="str">
            <v>GRAI</v>
          </cell>
          <cell r="G503">
            <v>45383</v>
          </cell>
          <cell r="H503" t="str">
            <v>LES GRANDS CLASSIQUES</v>
          </cell>
          <cell r="I503"/>
          <cell r="J503" t="str">
            <v>Parfum des îles</v>
          </cell>
          <cell r="K503" t="str">
            <v>Vanille</v>
          </cell>
          <cell r="L503" t="str">
            <v>Rooibos aromatisé</v>
          </cell>
          <cell r="M503" t="str">
            <v>Afrique du Sud - Cap Occidental</v>
          </cell>
          <cell r="N503" t="str">
            <v>AB</v>
          </cell>
          <cell r="O503" t="str">
            <v>WFTO</v>
          </cell>
          <cell r="P503" t="str">
            <v>/</v>
          </cell>
          <cell r="Q503" t="str">
            <v>/</v>
          </cell>
          <cell r="R503" t="str">
            <v>/</v>
          </cell>
          <cell r="S503" t="str">
            <v>/</v>
          </cell>
          <cell r="T503" t="str">
            <v>Agriculture UE/non UE</v>
          </cell>
          <cell r="U503"/>
          <cell r="V503" t="str">
            <v>Parfumée avec la vanille la plus fine, cette boisson envoûtante et ensoleillée nous fait voyager et rêver tout en douceur… À déguster sur un air de ukulélé !</v>
          </cell>
          <cell r="W503"/>
          <cell r="X503" t="str">
            <v>Ce mariage chaleureux et gourmand de rooibos et de vanille est une invitation à prendre le large et rêver d’îles lointaines et de moments suaves et ensoleillés… Sans théine, il se partage en famille. À déguster idéalement sur un air de ukulélé !</v>
          </cell>
          <cell r="Y503"/>
          <cell r="Z503" t="str">
            <v>Ingrédients : rooibos*, extrait de vanille* 4%, morceaux de vanille* 2%, pétales de souci*. *Issu de l'agriculture biologique.</v>
          </cell>
          <cell r="AA503" t="str">
            <v>/</v>
          </cell>
          <cell r="AB503" t="str">
            <v>Membre certifié World Fair Trade Organization, Les Jardins de Gaïa s’engagent pour un commerce plus juste et répondent aux exigences du commerce équitable. Pour en savoir plus : www.wfto.com.</v>
          </cell>
          <cell r="AC503">
            <v>100</v>
          </cell>
          <cell r="AD503" t="str">
            <v>5-10</v>
          </cell>
          <cell r="AE503">
            <v>95</v>
          </cell>
          <cell r="AF503">
            <v>2</v>
          </cell>
          <cell r="AG503">
            <v>50</v>
          </cell>
          <cell r="AH503">
            <v>3582810920329</v>
          </cell>
          <cell r="AI503" t="str">
            <v>/</v>
          </cell>
          <cell r="AJ503" t="str">
            <v>ETRA203V5</v>
          </cell>
          <cell r="AK503" t="str">
            <v>ETRA203V5</v>
          </cell>
          <cell r="AL503" t="str">
            <v>ETCRA2032V5</v>
          </cell>
          <cell r="AM503" t="str">
            <v>Wupperthal Original Rooibos Cooperative et Heiveld Cooperative</v>
          </cell>
        </row>
        <row r="504">
          <cell r="A504" t="str">
            <v>TU0025</v>
          </cell>
          <cell r="B504"/>
          <cell r="C504"/>
          <cell r="D504"/>
          <cell r="E504"/>
          <cell r="F504"/>
          <cell r="G504"/>
          <cell r="H504" t="str">
            <v>LES GRAND CRUS</v>
          </cell>
          <cell r="I504"/>
          <cell r="J504" t="str">
            <v>Peace, Love &amp; Tea</v>
          </cell>
          <cell r="K504" t="str">
            <v>Pu'er sheng</v>
          </cell>
          <cell r="L504" t="str">
            <v>Thé sombre pu'er compressé</v>
          </cell>
          <cell r="M504" t="str">
            <v>Chine - Yunnan</v>
          </cell>
          <cell r="N504" t="str">
            <v>AB</v>
          </cell>
          <cell r="O504" t="str">
            <v>WFTO</v>
          </cell>
          <cell r="P504" t="str">
            <v>/</v>
          </cell>
          <cell r="Q504" t="str">
            <v>WT</v>
          </cell>
          <cell r="R504" t="str">
            <v>/</v>
          </cell>
          <cell r="S504" t="str">
            <v>/</v>
          </cell>
          <cell r="T504" t="str">
            <v>Agriculture Chine</v>
          </cell>
          <cell r="U504"/>
          <cell r="V504" t="str">
            <v>Fraîcheur printanière de la montagne des Wa. Cette galette millésimée de pu’er cru a été confectionnée pour fêter nos 25 ans à partir d’une sélection spéciale de feuilles printanières (récolte 2018) de théiers anciens de Lincang. Sa jeunesse lui confère des notes fruitées et sucrées d’une belle longueur en bouche qui évoquent notamment l’abricot. Dans de bonnes conditions de fermentation, elle pourra lentement évoluer vers les arômes tertiaires typiques des vieux pu’er. Un collector !</v>
          </cell>
          <cell r="W504" t="str">
            <v>S25</v>
          </cell>
          <cell r="X504" t="str">
            <v>Cette galette de pu’er cru a été confectionnée pour fêter nos 25 ans à partir d’une sélection spéciale de feuilles printanières récoltées en 2018, sur des théiers anciens de Lincang. Ses notes jeunes et fruitées évolueront lentement vers les arômes tertiaires typiques des vieux pu’er. Un collector !</v>
          </cell>
          <cell r="Y504"/>
          <cell r="Z504" t="str">
            <v xml:space="preserve">Ingrédient : thé pu’er sheng compressé en galette*. *Issu de l’agriculture biologique. </v>
          </cell>
          <cell r="AA504" t="str">
            <v>/</v>
          </cell>
          <cell r="AB504" t="str">
            <v>Membre certifié World Fair Trade Organization, Les Jardins de Gaïa s’engagent pour un commerce plus juste et répondent aux exigences du commerce équitable. Pour en savoir plus : www.wfto.com.</v>
          </cell>
          <cell r="AC504">
            <v>125</v>
          </cell>
          <cell r="AD504" t="str">
            <v>4-5</v>
          </cell>
          <cell r="AE504">
            <v>90</v>
          </cell>
          <cell r="AF504">
            <v>2</v>
          </cell>
          <cell r="AG504">
            <v>63</v>
          </cell>
          <cell r="AH504">
            <v>3582810300251</v>
          </cell>
          <cell r="AI504" t="str">
            <v>Plusieurs infusions</v>
          </cell>
          <cell r="AJ504" t="str">
            <v>ETVN0025</v>
          </cell>
          <cell r="AK504" t="str">
            <v>ETVN0025V5</v>
          </cell>
          <cell r="AL504" t="str">
            <v>ETCVN0025</v>
          </cell>
          <cell r="AM504" t="str">
            <v>Lincang Shuangfeng Organic Tea Specialized  Cooperative</v>
          </cell>
        </row>
        <row r="505">
          <cell r="A505" t="str">
            <v>TA7061</v>
          </cell>
          <cell r="B505"/>
          <cell r="C505"/>
          <cell r="D505"/>
          <cell r="E505"/>
          <cell r="F505"/>
          <cell r="G505"/>
          <cell r="H505" t="str">
            <v>LES GRANDS CLASSIQUES</v>
          </cell>
          <cell r="I505"/>
          <cell r="J505" t="str">
            <v>Péché gourmand</v>
          </cell>
          <cell r="K505" t="str">
            <v>Caramel</v>
          </cell>
          <cell r="L505" t="str">
            <v>Thé noir aromatisé</v>
          </cell>
          <cell r="M505"/>
          <cell r="N505" t="str">
            <v>AB</v>
          </cell>
          <cell r="O505" t="str">
            <v>WFTO</v>
          </cell>
          <cell r="P505" t="str">
            <v>/</v>
          </cell>
          <cell r="Q505" t="str">
            <v>/</v>
          </cell>
          <cell r="R505" t="str">
            <v>/</v>
          </cell>
          <cell r="S505" t="str">
            <v>/</v>
          </cell>
          <cell r="T505" t="str">
            <v>Agriculture UE/non UE</v>
          </cell>
          <cell r="U505"/>
          <cell r="V505" t="str">
            <v>Variation gourmande autour d’un thé noir indien. Ce thé s’installe en bouche avec la douceur d’un caramel mou. À déguster avec délectation tout au long de la journée.</v>
          </cell>
          <cell r="W505" t="str">
            <v>S16</v>
          </cell>
          <cell r="X505" t="str">
            <v>Laissez-vous tenter par ce péché gourmand né de la rencontre des saveurs rondes et fruitées d’un thé noir indien avec les notes onctueuses et sucrées du caramel. Une irrésistible tentation à déguster et partager sans culpabilité tout au long de la journée…</v>
          </cell>
          <cell r="Y505"/>
          <cell r="Z505" t="str">
            <v>Ingrédients : thé noir*, arômes naturels de (caramel* 7%, vanille*), morceaux de caramel* 5 % (sucre de canne*, sirop de glucose*, beurre de cacao*, poudre de lait de coco*, protéine de pois*, dextrose*, fleur de sel, arôme naturel de vanille bourbon*, lécithine de tournesol*).*Issu de l'agriculture biologique.
Informations nutritionnelles moyennes pour 100 ml : Energie 3 kJ/1 kcal. Contient des quantités négligeables de matières grasses dont acides gras saturés, de glucides dont sucres, de protéines et de sel.</v>
          </cell>
          <cell r="AA505" t="str">
            <v>/</v>
          </cell>
          <cell r="AB505" t="str">
            <v>Membre certifié World Fair Trade Organization, Les Jardins de Gaïa s’engagent pour un commerce plus juste et répondent aux exigences du commerce équitable. Pour en savoir plus : www.wfto.com.</v>
          </cell>
          <cell r="AC505">
            <v>1.5</v>
          </cell>
          <cell r="AD505" t="str">
            <v>3-4</v>
          </cell>
          <cell r="AE505">
            <v>90</v>
          </cell>
          <cell r="AF505">
            <v>2</v>
          </cell>
          <cell r="AG505">
            <v>750</v>
          </cell>
          <cell r="AH505">
            <v>3582810470619</v>
          </cell>
          <cell r="AI505" t="str">
            <v>/</v>
          </cell>
          <cell r="AJ505" t="str">
            <v>INTERNE</v>
          </cell>
          <cell r="AK505" t="str">
            <v>INTERNE</v>
          </cell>
          <cell r="AL505" t="str">
            <v>/</v>
          </cell>
          <cell r="AM505" t="str">
            <v>Création maison</v>
          </cell>
        </row>
        <row r="506">
          <cell r="A506" t="str">
            <v>TA7062</v>
          </cell>
          <cell r="B506"/>
          <cell r="C506" t="str">
            <v>X</v>
          </cell>
          <cell r="D506" t="str">
            <v>X</v>
          </cell>
          <cell r="E506" t="str">
            <v>X</v>
          </cell>
          <cell r="F506" t="str">
            <v>BRODART</v>
          </cell>
          <cell r="G506"/>
          <cell r="H506" t="str">
            <v>LES GRANDS CLASSIQUES</v>
          </cell>
          <cell r="I506"/>
          <cell r="J506" t="str">
            <v>Péché gourmand</v>
          </cell>
          <cell r="K506" t="str">
            <v xml:space="preserve">Caramel </v>
          </cell>
          <cell r="L506" t="str">
            <v>Thé noir aromatisé</v>
          </cell>
          <cell r="M506"/>
          <cell r="N506" t="str">
            <v>AB</v>
          </cell>
          <cell r="O506" t="str">
            <v>WFTO</v>
          </cell>
          <cell r="P506" t="str">
            <v>/</v>
          </cell>
          <cell r="Q506" t="str">
            <v>/</v>
          </cell>
          <cell r="R506" t="str">
            <v>/</v>
          </cell>
          <cell r="S506" t="str">
            <v>/</v>
          </cell>
          <cell r="T506" t="str">
            <v>Agriculture UE/non UE</v>
          </cell>
          <cell r="U506"/>
          <cell r="V506" t="str">
            <v>Variation gourmande autour d’un thé noir indien. Ce thé s’installe en bouche avec la douceur d’un caramel mou. À déguster avec délectation tout au long de la journée.</v>
          </cell>
          <cell r="W506" t="str">
            <v>S16</v>
          </cell>
          <cell r="X506" t="str">
            <v>Laissez-vous tenter par ce péché gourmand né de la rencontre des saveurs rondes et fruitées d’un thé noir indien avec les notes onctueuses et sucrées du caramel. Une irrésistible tentation à déguster et partager sans culpabilité tout au long de la journée…</v>
          </cell>
          <cell r="Y506"/>
          <cell r="Z506" t="str">
            <v>Ingrédients : thé noir*, arômes naturels de (caramel* 7%, vanille*), morceaux de caramel* 5 % (sucre de canne*, sirop de glucose*, beurre de cacao*, poudre de lait de coco*, protéine de pois*, dextrose*, fleur de sel, arôme naturel de vanille bourbon*, lécithine de tournesol*).*Issu de l'agriculture biologique.
Informations nutritionnelles moyennes pour 100 ml : Energie 3 kJ/1 kcal. Contient des quantités négligeables de matières grasses dont acides gras saturés, de glucides dont sucres, de protéines et de sel.</v>
          </cell>
          <cell r="AA506" t="str">
            <v>/</v>
          </cell>
          <cell r="AB506" t="str">
            <v>Membre certifié World Fair Trade Organization, Les Jardins de Gaïa s’engagent pour un commerce plus juste et répondent aux exigences du commerce équitable. Pour en savoir plus : www.wfto.com.</v>
          </cell>
          <cell r="AC506">
            <v>100</v>
          </cell>
          <cell r="AD506" t="str">
            <v>3-4</v>
          </cell>
          <cell r="AE506">
            <v>90</v>
          </cell>
          <cell r="AF506">
            <v>2</v>
          </cell>
          <cell r="AG506">
            <v>50</v>
          </cell>
          <cell r="AH506">
            <v>3582810470626</v>
          </cell>
          <cell r="AI506" t="str">
            <v>/</v>
          </cell>
          <cell r="AJ506" t="str">
            <v>ETNA706V5</v>
          </cell>
          <cell r="AK506" t="str">
            <v>ETNA706V5</v>
          </cell>
          <cell r="AL506" t="str">
            <v>ETCNA7062V5</v>
          </cell>
          <cell r="AM506" t="str">
            <v>Création maison</v>
          </cell>
        </row>
        <row r="507">
          <cell r="A507" t="str">
            <v>TA6871</v>
          </cell>
          <cell r="B507"/>
          <cell r="C507"/>
          <cell r="D507"/>
          <cell r="E507"/>
          <cell r="F507"/>
          <cell r="G507"/>
          <cell r="H507" t="str">
            <v>LES GRANDS CLASSIQUES</v>
          </cell>
          <cell r="I507"/>
          <cell r="J507" t="str">
            <v>Pêche Melba</v>
          </cell>
          <cell r="K507" t="str">
            <v>Pêche - Framboise - Saveur vanille</v>
          </cell>
          <cell r="L507" t="str">
            <v>Thé vert aromatisé</v>
          </cell>
          <cell r="M507" t="str">
            <v>Chine</v>
          </cell>
          <cell r="N507" t="str">
            <v>AB</v>
          </cell>
          <cell r="O507" t="str">
            <v>WFTO</v>
          </cell>
          <cell r="P507" t="str">
            <v>/</v>
          </cell>
          <cell r="Q507" t="str">
            <v>/</v>
          </cell>
          <cell r="R507" t="str">
            <v>/</v>
          </cell>
          <cell r="S507" t="str">
            <v>/</v>
          </cell>
          <cell r="T507" t="str">
            <v>Agriculture UE/non UE</v>
          </cell>
          <cell r="U507"/>
          <cell r="V507" t="str">
            <v>Ce clin d’œil gourmand au célèbre dessert associe le velouté de la pêche, l’acidulé de la framboise et la douceur de la vanille à la fraîcheur du thé vert. Une recette à la saveur intense et longue en bouche. Irrésistible !</v>
          </cell>
          <cell r="W507"/>
          <cell r="X507" t="str">
            <v>Ce clin d’œil gourmand au célèbre dessert associe la fraîcheur du thé vert, le velouté de la pêche, les notes acidulées de la framboise et la douceur de la vanille. Une recette à la saveur intense et longue en bouche, à déguster chaude ou glacée. Irrésistible !</v>
          </cell>
          <cell r="Y507"/>
          <cell r="Z507" t="str">
            <v>Ingrédients : thé vert*, arômes naturels de (pêche* 4%, framboise* 2%, fraise*), morceaux de fruits (pêche*, framboise*) 3%, extrait de vanille* 2%. *Issu de l’agriculture biologique.</v>
          </cell>
          <cell r="AA507" t="str">
            <v>/</v>
          </cell>
          <cell r="AB507" t="str">
            <v>Membre certifié World Fair Trade Organization, Les Jardins de Gaïa s’engagent pour un commerce plus juste et répondent aux exigences du commerce équitable. Pour en savoir plus : www.wfto.com.</v>
          </cell>
          <cell r="AC507">
            <v>1.5</v>
          </cell>
          <cell r="AD507" t="str">
            <v>3</v>
          </cell>
          <cell r="AE507">
            <v>75</v>
          </cell>
          <cell r="AF507">
            <v>2</v>
          </cell>
          <cell r="AG507">
            <v>750</v>
          </cell>
          <cell r="AH507">
            <v>3582810868713</v>
          </cell>
          <cell r="AI507" t="str">
            <v>/</v>
          </cell>
          <cell r="AJ507" t="str">
            <v>INTERNE</v>
          </cell>
          <cell r="AK507" t="str">
            <v>INTERNE</v>
          </cell>
          <cell r="AL507" t="str">
            <v>/</v>
          </cell>
          <cell r="AM507" t="str">
            <v>Création maison</v>
          </cell>
        </row>
        <row r="508">
          <cell r="A508" t="str">
            <v>TA6872</v>
          </cell>
          <cell r="B508"/>
          <cell r="C508" t="str">
            <v>X</v>
          </cell>
          <cell r="D508" t="str">
            <v>x</v>
          </cell>
          <cell r="E508" t="str">
            <v>x</v>
          </cell>
          <cell r="F508" t="str">
            <v>GRAI</v>
          </cell>
          <cell r="G508">
            <v>45383</v>
          </cell>
          <cell r="H508" t="str">
            <v>LES GRANDS CLASSIQUES</v>
          </cell>
          <cell r="I508"/>
          <cell r="J508" t="str">
            <v>Pêche Melba</v>
          </cell>
          <cell r="K508" t="str">
            <v>Pêche - Framboise - Saveur vanille</v>
          </cell>
          <cell r="L508" t="str">
            <v>Thé vert aromatisé</v>
          </cell>
          <cell r="M508" t="str">
            <v>Chine</v>
          </cell>
          <cell r="N508" t="str">
            <v>AB</v>
          </cell>
          <cell r="O508" t="str">
            <v>WFTO</v>
          </cell>
          <cell r="P508" t="str">
            <v>/</v>
          </cell>
          <cell r="Q508" t="str">
            <v>/</v>
          </cell>
          <cell r="R508" t="str">
            <v>/</v>
          </cell>
          <cell r="S508" t="str">
            <v>/</v>
          </cell>
          <cell r="T508" t="str">
            <v>Agriculture UE/non UE</v>
          </cell>
          <cell r="U508"/>
          <cell r="V508" t="str">
            <v>Ce clin d’œil gourmand au célèbre dessert associe le velouté de la pêche, l’acidulé de la framboise et la douceur de la vanille à la fraîcheur du thé vert. Une recette à la saveur intense et longue en bouche. Irrésistible !</v>
          </cell>
          <cell r="W508"/>
          <cell r="X508" t="str">
            <v>Ce clin d’œil gourmand au célèbre dessert associe la fraîcheur du thé vert, le velouté de la pêche, les notes acidulées de la framboise et la douceur de la vanille. Une recette à la saveur intense et longue en bouche, à déguster chaude ou glacée. Irrésistible !</v>
          </cell>
          <cell r="Y508"/>
          <cell r="Z508" t="str">
            <v>Ingrédients : thé vert*, arômes naturels de (pêche* 4%, framboise* 2%, fraise*), morceaux de fruits (pêche*, framboise*) 3%, extrait de vanille* 2%. *Issu de l’agriculture biologique.</v>
          </cell>
          <cell r="AA508" t="str">
            <v>/</v>
          </cell>
          <cell r="AB508" t="str">
            <v>Membre certifié World Fair Trade Organization, Les Jardins de Gaïa s’engagent pour un commerce plus juste et répondent aux exigences du commerce équitable. Pour en savoir plus : www.wfto.com.</v>
          </cell>
          <cell r="AC508">
            <v>100</v>
          </cell>
          <cell r="AD508" t="str">
            <v>3</v>
          </cell>
          <cell r="AE508">
            <v>75</v>
          </cell>
          <cell r="AF508">
            <v>2</v>
          </cell>
          <cell r="AG508">
            <v>50</v>
          </cell>
          <cell r="AH508">
            <v>3582810868720</v>
          </cell>
          <cell r="AI508" t="str">
            <v>/</v>
          </cell>
          <cell r="AJ508" t="str">
            <v>ETVA687V5</v>
          </cell>
          <cell r="AK508" t="str">
            <v>ETVA687V5</v>
          </cell>
          <cell r="AL508" t="str">
            <v>ETCVA6872V5</v>
          </cell>
          <cell r="AM508" t="str">
            <v>Guzhang Gaofeng Organic Tea Association</v>
          </cell>
        </row>
        <row r="509">
          <cell r="A509" t="str">
            <v>TA6841</v>
          </cell>
          <cell r="B509"/>
          <cell r="C509"/>
          <cell r="D509"/>
          <cell r="E509"/>
          <cell r="F509"/>
          <cell r="G509"/>
          <cell r="H509" t="str">
            <v>LES GRANDS CLASSIQUES</v>
          </cell>
          <cell r="I509"/>
          <cell r="J509" t="str">
            <v>Pêche-Abricot</v>
          </cell>
          <cell r="K509" t="str">
            <v>Pêche - Abricot</v>
          </cell>
          <cell r="L509" t="str">
            <v>Thé vert aromatisé</v>
          </cell>
          <cell r="M509" t="str">
            <v>Chine</v>
          </cell>
          <cell r="N509" t="str">
            <v>AB</v>
          </cell>
          <cell r="O509" t="str">
            <v>WFTO</v>
          </cell>
          <cell r="P509" t="str">
            <v>/</v>
          </cell>
          <cell r="Q509" t="str">
            <v>/</v>
          </cell>
          <cell r="R509" t="str">
            <v>/</v>
          </cell>
          <cell r="S509" t="str">
            <v>/</v>
          </cell>
          <cell r="T509" t="str">
            <v>Agriculture UE/non UE</v>
          </cell>
          <cell r="U509"/>
          <cell r="V509" t="str">
            <v>Cette association de fruits d’été, dorés et juteux, mariée à la finesse du thé vert libère une infusion suave à la saveur sucrée et tendre. Ensoleillée et douce, cette boisson est un ravissement à chaque époque de l’année.</v>
          </cell>
          <cell r="W509"/>
          <cell r="X509" t="str">
            <v>Cette recette qui marie la fraîcheur du thé vert aux saveurs suaves et tendres de la pêche et de l’abricot a comme un avant-goût d’été. Elle évoque des moments délicieux, partagés autour d’une bonne salade de fruits par une belle journée ensoleillée...</v>
          </cell>
          <cell r="Y509"/>
          <cell r="Z509" t="str">
            <v>Ingrédients : thé vert*, arômes naturels de (pêche*, abricot*) 8%, morceaux de fruits (pêche*, abricot*) 2%, pétales de souci*. *Issu de l'agriculture biologique.</v>
          </cell>
          <cell r="AA509" t="str">
            <v>/</v>
          </cell>
          <cell r="AB509" t="str">
            <v>Membre certifié World Fair Trade Organization, Les Jardins de Gaïa s’engagent pour un commerce plus juste et répondent aux exigences du commerce équitable. Pour en savoir plus : www.wfto.com.</v>
          </cell>
          <cell r="AC509">
            <v>1.5</v>
          </cell>
          <cell r="AD509" t="str">
            <v>3</v>
          </cell>
          <cell r="AE509">
            <v>75</v>
          </cell>
          <cell r="AF509">
            <v>2</v>
          </cell>
          <cell r="AG509">
            <v>750</v>
          </cell>
          <cell r="AH509">
            <v>3582810868416</v>
          </cell>
          <cell r="AI509" t="str">
            <v>/</v>
          </cell>
          <cell r="AJ509" t="str">
            <v>INTERNE</v>
          </cell>
          <cell r="AK509" t="str">
            <v>INTERNE</v>
          </cell>
          <cell r="AL509" t="str">
            <v>/</v>
          </cell>
          <cell r="AM509" t="str">
            <v>Création maison</v>
          </cell>
        </row>
        <row r="510">
          <cell r="A510" t="str">
            <v>TA6842</v>
          </cell>
          <cell r="B510"/>
          <cell r="C510" t="str">
            <v>X</v>
          </cell>
          <cell r="D510" t="str">
            <v>x</v>
          </cell>
          <cell r="E510" t="str">
            <v>x</v>
          </cell>
          <cell r="F510" t="str">
            <v>GRAI</v>
          </cell>
          <cell r="G510">
            <v>45383</v>
          </cell>
          <cell r="H510" t="str">
            <v>LES GRANDS CLASSIQUES</v>
          </cell>
          <cell r="I510"/>
          <cell r="J510" t="str">
            <v>Pêche-Abricot</v>
          </cell>
          <cell r="K510" t="str">
            <v>Pêche - Abricot</v>
          </cell>
          <cell r="L510" t="str">
            <v>Thé vert aromatisé</v>
          </cell>
          <cell r="M510" t="str">
            <v>Chine</v>
          </cell>
          <cell r="N510" t="str">
            <v>AB</v>
          </cell>
          <cell r="O510" t="str">
            <v>WFTO</v>
          </cell>
          <cell r="P510" t="str">
            <v>/</v>
          </cell>
          <cell r="Q510" t="str">
            <v>/</v>
          </cell>
          <cell r="R510" t="str">
            <v>/</v>
          </cell>
          <cell r="S510" t="str">
            <v>/</v>
          </cell>
          <cell r="T510" t="str">
            <v>Agriculture UE/non UE</v>
          </cell>
          <cell r="U510"/>
          <cell r="V510" t="str">
            <v>Cette association de fruits d’été, dorés et juteux, mariée à la finesse du thé vert libère une infusion suave à la saveur sucrée et tendre. Ensoleillée et douce, cette boisson est un ravissement à chaque époque de l’année.</v>
          </cell>
          <cell r="W510"/>
          <cell r="X510" t="str">
            <v>Cette recette qui marie la fraîcheur du thé vert aux saveurs suaves et tendres de la pêche et de l’abricot a comme un avant-goût d’été. Elle évoque des moments délicieux, partagés autour d’une bonne salade de fruits par une belle journée ensoleillée...</v>
          </cell>
          <cell r="Y510"/>
          <cell r="Z510" t="str">
            <v>Ingrédients : thé vert*, arômes naturels de (pêche*, abricot*) 8%, morceaux de fruits (pêche*, abricot*) 2%, pétales de souci*. *Issu de l'agriculture biologique.</v>
          </cell>
          <cell r="AA510" t="str">
            <v>/</v>
          </cell>
          <cell r="AB510" t="str">
            <v>Membre certifié World Fair Trade Organization, Les Jardins de Gaïa s’engagent pour un commerce plus juste et répondent aux exigences du commerce équitable. Pour en savoir plus : www.wfto.com.</v>
          </cell>
          <cell r="AC510">
            <v>100</v>
          </cell>
          <cell r="AD510" t="str">
            <v>3</v>
          </cell>
          <cell r="AE510">
            <v>75</v>
          </cell>
          <cell r="AF510">
            <v>2</v>
          </cell>
          <cell r="AG510">
            <v>50</v>
          </cell>
          <cell r="AH510">
            <v>3582810868423</v>
          </cell>
          <cell r="AI510" t="str">
            <v>/</v>
          </cell>
          <cell r="AJ510" t="str">
            <v>ETVA684V5</v>
          </cell>
          <cell r="AK510" t="str">
            <v>ETVA684V5</v>
          </cell>
          <cell r="AL510" t="str">
            <v>ETCVA684V5</v>
          </cell>
          <cell r="AM510" t="str">
            <v>Guzhang Gaofeng Organic Tea Association</v>
          </cell>
        </row>
        <row r="511">
          <cell r="A511" t="str">
            <v>TN5487</v>
          </cell>
          <cell r="B511"/>
          <cell r="C511"/>
          <cell r="D511"/>
          <cell r="E511"/>
          <cell r="F511"/>
          <cell r="G511"/>
          <cell r="H511" t="str">
            <v>LES GRAND CRUS</v>
          </cell>
          <cell r="I511"/>
          <cell r="J511" t="str">
            <v>Perles du Laos</v>
          </cell>
          <cell r="K511" t="str">
            <v>/</v>
          </cell>
          <cell r="L511" t="str">
            <v>Thé noir d'origine</v>
          </cell>
          <cell r="M511" t="str">
            <v>Laos - Phongsaly</v>
          </cell>
          <cell r="N511" t="str">
            <v>AB</v>
          </cell>
          <cell r="O511" t="str">
            <v>WFTO</v>
          </cell>
          <cell r="P511" t="str">
            <v>/</v>
          </cell>
          <cell r="Q511" t="str">
            <v>/</v>
          </cell>
          <cell r="R511" t="str">
            <v>/</v>
          </cell>
          <cell r="S511" t="str">
            <v>/</v>
          </cell>
          <cell r="T511" t="str">
            <v>Agriculture Laos</v>
          </cell>
          <cell r="U511"/>
          <cell r="V511" t="str">
            <v>Composé de nombreux bourgeons dorés joliment ourlés, ce thé noir du Laos aux parfums chocolatés offre une expérience gustative d'une grande gourmandise. Sa liqueur dense et cuivrée enveloppe tout le palais qu'elle séduit avec ses notes de fruits cuits, de miel de fleurs sauvages, de cannelle, de crème brûlée vanillée… Un thé noir puissant, d'une grande complexité et au caractère très gourmand.</v>
          </cell>
          <cell r="W511" t="str">
            <v>S22</v>
          </cell>
          <cell r="X511" t="str">
            <v>Composé de nombreux bourgeons dorés joliment ourlés, ce thé noir du Laos aux parfums chocolatés est tout en gourmandise. Sa liqueur dense et cuivrée enveloppe délicieusement le palais avec ses notes de fruits cuits, de miel de fleurs sauvages, de cannelle, de crème brûlée vanillée… Enivrant !</v>
          </cell>
          <cell r="Y511"/>
          <cell r="Z511" t="str">
            <v xml:space="preserve">Ingrédient : thé noir*. *Issu de l'agriculture biologique. </v>
          </cell>
          <cell r="AA511" t="str">
            <v>/</v>
          </cell>
          <cell r="AB511" t="str">
            <v>Membre certifié World Fair Trade Organization, Les Jardins de Gaïa s’engagent pour un commerce plus juste et répondent aux exigences du commerce équitable. Pour en savoir plus : www.wfto.com.</v>
          </cell>
          <cell r="AC511">
            <v>1</v>
          </cell>
          <cell r="AD511" t="str">
            <v>3-4</v>
          </cell>
          <cell r="AE511">
            <v>95</v>
          </cell>
          <cell r="AF511">
            <v>2</v>
          </cell>
          <cell r="AG511">
            <v>500</v>
          </cell>
          <cell r="AH511">
            <v>3582810254875</v>
          </cell>
          <cell r="AI511" t="str">
            <v>/</v>
          </cell>
          <cell r="AJ511" t="str">
            <v>INTERNE</v>
          </cell>
          <cell r="AK511" t="str">
            <v>INTERNE</v>
          </cell>
          <cell r="AL511" t="str">
            <v>/</v>
          </cell>
          <cell r="AM511" t="str">
            <v>?</v>
          </cell>
        </row>
        <row r="512">
          <cell r="A512" t="str">
            <v>TN5482</v>
          </cell>
          <cell r="B512"/>
          <cell r="C512" t="str">
            <v>X</v>
          </cell>
          <cell r="D512"/>
          <cell r="E512"/>
          <cell r="F512"/>
          <cell r="G512"/>
          <cell r="H512" t="str">
            <v>LES GRAND CRUS</v>
          </cell>
          <cell r="I512"/>
          <cell r="J512" t="str">
            <v>Perles du Laos</v>
          </cell>
          <cell r="K512" t="str">
            <v>/</v>
          </cell>
          <cell r="L512" t="str">
            <v>Thé noir d'origine</v>
          </cell>
          <cell r="M512" t="str">
            <v>Laos - Phongsaly</v>
          </cell>
          <cell r="N512" t="str">
            <v>AB</v>
          </cell>
          <cell r="O512" t="str">
            <v>WFTO</v>
          </cell>
          <cell r="P512" t="str">
            <v>/</v>
          </cell>
          <cell r="Q512" t="str">
            <v>/</v>
          </cell>
          <cell r="R512" t="str">
            <v>/</v>
          </cell>
          <cell r="S512" t="str">
            <v>/</v>
          </cell>
          <cell r="T512" t="str">
            <v>Agriculture Laos</v>
          </cell>
          <cell r="U512"/>
          <cell r="V512" t="str">
            <v>Composé de nombreux bourgeons dorés joliment ourlés, ce thé noir du Laos aux parfums chocolatés offre une expérience gustative d'une grande gourmandise. Sa liqueur dense et cuivrée enveloppe tout le palais qu'elle séduit avec ses notes de fruits cuits, de miel de fleurs sauvages, de cannelle, de crème brûlée vanillée… Un thé noir puissant, d'une grande complexité et au caractère très gourmand.</v>
          </cell>
          <cell r="W512" t="str">
            <v>S22</v>
          </cell>
          <cell r="X512" t="str">
            <v>Composé de nombreux bourgeons dorés joliment ourlés, ce thé noir du Laos aux parfums chocolatés est tout en gourmandise. Sa liqueur dense et cuivrée enveloppe délicieusement le palais avec ses notes de fruits cuits, de miel de fleurs sauvages, de cannelle, de crème brûlée vanillée… Enivrant !</v>
          </cell>
          <cell r="Y512"/>
          <cell r="Z512" t="str">
            <v xml:space="preserve">Ingrédient : thé noir*. *Issu de l'agriculture biologique. </v>
          </cell>
          <cell r="AA512" t="str">
            <v>/</v>
          </cell>
          <cell r="AB512" t="str">
            <v>Membre certifié World Fair Trade Organization, Les Jardins de Gaïa s’engagent pour un commerce plus juste et répondent aux exigences du commerce équitable. Pour en savoir plus : www.wfto.com.</v>
          </cell>
          <cell r="AC512">
            <v>100</v>
          </cell>
          <cell r="AD512" t="str">
            <v>3-4</v>
          </cell>
          <cell r="AE512">
            <v>95</v>
          </cell>
          <cell r="AF512">
            <v>2</v>
          </cell>
          <cell r="AG512">
            <v>500</v>
          </cell>
          <cell r="AH512">
            <v>3582810254820</v>
          </cell>
          <cell r="AI512" t="str">
            <v>/</v>
          </cell>
          <cell r="AJ512" t="str">
            <v>ETNN548V5</v>
          </cell>
          <cell r="AK512" t="str">
            <v>ETNN548V5</v>
          </cell>
          <cell r="AL512" t="str">
            <v>ETCNN5482V5</v>
          </cell>
          <cell r="AM512" t="str">
            <v>?</v>
          </cell>
        </row>
        <row r="513">
          <cell r="A513" t="str">
            <v>TA7321</v>
          </cell>
          <cell r="B513"/>
          <cell r="C513"/>
          <cell r="D513"/>
          <cell r="E513"/>
          <cell r="F513"/>
          <cell r="G513"/>
          <cell r="H513" t="str">
            <v>LES GRANDS CLASSIQUES</v>
          </cell>
          <cell r="I513"/>
          <cell r="J513" t="str">
            <v>Persian love</v>
          </cell>
          <cell r="K513" t="str">
            <v>Fumé doux - Huile essentielle de bergamote</v>
          </cell>
          <cell r="L513" t="str">
            <v>Thé noir aromatisé</v>
          </cell>
          <cell r="M513" t="str">
            <v>Chine - Vietnam</v>
          </cell>
          <cell r="N513" t="str">
            <v>AB</v>
          </cell>
          <cell r="O513" t="str">
            <v>WFTO</v>
          </cell>
          <cell r="P513" t="str">
            <v>/</v>
          </cell>
          <cell r="Q513" t="str">
            <v>/</v>
          </cell>
          <cell r="R513" t="str">
            <v>/</v>
          </cell>
          <cell r="S513" t="str">
            <v>/</v>
          </cell>
          <cell r="T513" t="str">
            <v>Agriculture UE/non UE</v>
          </cell>
          <cell r="U513"/>
          <cell r="V513" t="str">
            <v>Chant envoûtant des belles au jardin du paradis… Cette union de la bergamote et d'un thé de tradition légèrement fumé, le tout mêlé de pétales de roses est une invitation au rêve, celui de la Perse éternelle.</v>
          </cell>
          <cell r="W513" t="str">
            <v>S16</v>
          </cell>
          <cell r="X513" t="str">
            <v>L’union des saveurs fruitées et ensoleillées de la bergamote et d'un thé noir fumé de manière subtile, sur un lit de pétales de roses, est une invitation au rêve, celui de la Perse éternelle des grands poètes. Un thé né pour célébrer l’amour et la beauté des mots pour le décrire.</v>
          </cell>
          <cell r="Y513"/>
          <cell r="Z513" t="str">
            <v xml:space="preserve">Ingrédients : thé noir fumé*, pétales de rose*, lavande*, huile essentielle de bergamote* 2%. *Issu de l'agriculture biologique. </v>
          </cell>
          <cell r="AA513" t="str">
            <v>/</v>
          </cell>
          <cell r="AB513" t="str">
            <v>Membre certifié World Fair Trade Organization, Les Jardins de Gaïa s’engagent pour un commerce plus juste et répondent aux exigences du commerce équitable. Pour en savoir plus : www.wfto.com.</v>
          </cell>
          <cell r="AC513">
            <v>1.5</v>
          </cell>
          <cell r="AD513" t="str">
            <v>3-4</v>
          </cell>
          <cell r="AE513">
            <v>90</v>
          </cell>
          <cell r="AF513">
            <v>2</v>
          </cell>
          <cell r="AG513">
            <v>750</v>
          </cell>
          <cell r="AH513">
            <v>3582810473214</v>
          </cell>
          <cell r="AI513" t="str">
            <v>/</v>
          </cell>
          <cell r="AJ513" t="str">
            <v>INTERNE</v>
          </cell>
          <cell r="AK513" t="str">
            <v>INTERNE</v>
          </cell>
          <cell r="AL513" t="str">
            <v>/</v>
          </cell>
          <cell r="AM513" t="str">
            <v>Création maison</v>
          </cell>
        </row>
        <row r="514">
          <cell r="A514" t="str">
            <v>TA7322</v>
          </cell>
          <cell r="B514"/>
          <cell r="C514" t="str">
            <v>X</v>
          </cell>
          <cell r="D514" t="str">
            <v>X</v>
          </cell>
          <cell r="E514" t="str">
            <v>X</v>
          </cell>
          <cell r="F514" t="str">
            <v>BRODART</v>
          </cell>
          <cell r="G514"/>
          <cell r="H514" t="str">
            <v>LES GRANDS CLASSIQUES</v>
          </cell>
          <cell r="I514"/>
          <cell r="J514" t="str">
            <v>Persian love</v>
          </cell>
          <cell r="K514" t="str">
            <v>Fumé doux - Huile essentielle de bergamote</v>
          </cell>
          <cell r="L514" t="str">
            <v>Thé noir aromatisé</v>
          </cell>
          <cell r="M514" t="str">
            <v>Chine - Vietnam</v>
          </cell>
          <cell r="N514" t="str">
            <v>AB</v>
          </cell>
          <cell r="O514" t="str">
            <v>WFTO</v>
          </cell>
          <cell r="P514" t="str">
            <v>/</v>
          </cell>
          <cell r="Q514" t="str">
            <v>/</v>
          </cell>
          <cell r="R514" t="str">
            <v>/</v>
          </cell>
          <cell r="S514" t="str">
            <v>/</v>
          </cell>
          <cell r="T514" t="str">
            <v>Agriculture UE/non UE</v>
          </cell>
          <cell r="U514"/>
          <cell r="V514" t="str">
            <v>Chant envoûtant des belles au jardin du paradis… Cette union de la bergamote et d'un thé de tradition légèrement fumé, le tout mêlé de pétales de roses est une invitation au rêve, celui de la Perse éternelle.</v>
          </cell>
          <cell r="W514" t="str">
            <v>S16</v>
          </cell>
          <cell r="X514" t="str">
            <v>L’union des saveurs fruitées et ensoleillées de la bergamote et d'un thé noir fumé de manière subtile, sur un lit de pétales de roses, est une invitation au rêve, celui de la Perse éternelle des grands poètes. Un thé né pour célébrer l’amour et la beauté des mots pour le décrire.</v>
          </cell>
          <cell r="Y514"/>
          <cell r="Z514" t="str">
            <v xml:space="preserve">Ingrédients : thé noir fumé*, pétales de rose*, lavande*, huile essentielle de bergamote* 2%. *Issu de l'agriculture biologique. </v>
          </cell>
          <cell r="AA514" t="str">
            <v>/</v>
          </cell>
          <cell r="AB514" t="str">
            <v>Membre certifié World Fair Trade Organization, Les Jardins de Gaïa s’engagent pour un commerce plus juste et répondent aux exigences du commerce équitable. Pour en savoir plus : www.wfto.com.</v>
          </cell>
          <cell r="AC514">
            <v>100</v>
          </cell>
          <cell r="AD514" t="str">
            <v>3-4</v>
          </cell>
          <cell r="AE514">
            <v>90</v>
          </cell>
          <cell r="AF514">
            <v>2</v>
          </cell>
          <cell r="AG514">
            <v>50</v>
          </cell>
          <cell r="AH514">
            <v>3582810473221</v>
          </cell>
          <cell r="AI514" t="str">
            <v>/</v>
          </cell>
          <cell r="AJ514" t="str">
            <v>ETNA732V5</v>
          </cell>
          <cell r="AK514" t="str">
            <v>ETNA732V5</v>
          </cell>
          <cell r="AL514" t="str">
            <v>ETCNA7322V5</v>
          </cell>
          <cell r="AM514" t="str">
            <v>Création maison</v>
          </cell>
        </row>
        <row r="515">
          <cell r="A515" t="str">
            <v>BT3532</v>
          </cell>
          <cell r="B515"/>
          <cell r="C515"/>
          <cell r="D515"/>
          <cell r="E515"/>
          <cell r="F515"/>
          <cell r="G515"/>
          <cell r="H515" t="str">
            <v>LES GRAND CRUS</v>
          </cell>
          <cell r="I515"/>
          <cell r="J515" t="str">
            <v>Pétales d'argent</v>
          </cell>
          <cell r="K515" t="str">
            <v>3 pièces</v>
          </cell>
          <cell r="L515" t="str">
            <v>Thé wulong d'origine</v>
          </cell>
          <cell r="M515" t="str">
            <v>Inde - Darjeeling</v>
          </cell>
          <cell r="N515" t="str">
            <v>AB</v>
          </cell>
          <cell r="O515" t="str">
            <v>WFTO</v>
          </cell>
          <cell r="P515" t="str">
            <v>D</v>
          </cell>
          <cell r="Q515" t="str">
            <v>/</v>
          </cell>
          <cell r="R515" t="str">
            <v>IGP</v>
          </cell>
          <cell r="S515" t="str">
            <v>/</v>
          </cell>
          <cell r="T515" t="str">
            <v>Agriculture Inde</v>
          </cell>
          <cell r="U515"/>
          <cell r="V515" t="str">
            <v>Partiellement fermentés, ces jolis bourgeons aux reflets argentés sont façonnés avec mille précautions. Unis sous la forme d'une fleur, ils se développent doucement pour offrir une liqueur longue en bouche, limpide, couleur pêche au goût évoquant l'humidité des sous-bois. Rare et original !</v>
          </cell>
          <cell r="W515" t="str">
            <v>S25</v>
          </cell>
          <cell r="X515" t="str">
            <v>Partiellement oxydés, ces jolis bourgeons aux reflets argentés ont été façonnés avec précautions pour former un thé wulong original en forme de fleurs. En révélant cette beauté, ils offrent une liqueur limpide et longue en bouche aux délicieux accents boisés. Rare et original !</v>
          </cell>
          <cell r="Y515"/>
          <cell r="Z515" t="str">
            <v xml:space="preserve">Ingrédient : thé wulong**. **Issu de l'agriculture biologique et biodynamique. demeter est la marque des produits issus de l'agriculture biodynamique certifiée. </v>
          </cell>
          <cell r="AA515" t="str">
            <v>/</v>
          </cell>
          <cell r="AB515" t="str">
            <v>Membre certifié World Fair Trade Organization, Les Jardins de Gaïa s’engagent pour un commerce plus juste et répondent aux exigences du commerce équitable. Pour en savoir plus : www.wfto.com.</v>
          </cell>
          <cell r="AC515">
            <v>12</v>
          </cell>
          <cell r="AD515" t="str">
            <v>7-10</v>
          </cell>
          <cell r="AE515">
            <v>85</v>
          </cell>
          <cell r="AF515">
            <v>2</v>
          </cell>
          <cell r="AG515">
            <v>6</v>
          </cell>
          <cell r="AH515">
            <v>3582813335328</v>
          </cell>
          <cell r="AI515" t="str">
            <v>Plusieurs infusions</v>
          </cell>
          <cell r="AJ515" t="str">
            <v>INTERNE</v>
          </cell>
          <cell r="AK515" t="str">
            <v>INTERNE</v>
          </cell>
          <cell r="AL515" t="str">
            <v>INTERNE</v>
          </cell>
          <cell r="AM515" t="str">
            <v>Selimbong Tea Estate</v>
          </cell>
        </row>
        <row r="516">
          <cell r="A516" t="str">
            <v>TH5011</v>
          </cell>
          <cell r="B516"/>
          <cell r="C516"/>
          <cell r="D516"/>
          <cell r="E516"/>
          <cell r="F516"/>
          <cell r="G516"/>
          <cell r="H516" t="str">
            <v>LES GRANDS CLASSIQUES</v>
          </cell>
          <cell r="I516" t="str">
            <v>LES INFUSIONS DE PLANTES</v>
          </cell>
          <cell r="J516" t="str">
            <v>Petit déjeuner</v>
          </cell>
          <cell r="K516" t="str">
            <v>Feuilles de mûrier - menthe poivrée - feuilles de framboisier</v>
          </cell>
          <cell r="L516" t="str">
            <v>Infusion de plantes</v>
          </cell>
          <cell r="M516" t="str">
            <v>/</v>
          </cell>
          <cell r="N516" t="str">
            <v>AB</v>
          </cell>
          <cell r="O516" t="str">
            <v>/</v>
          </cell>
          <cell r="P516" t="str">
            <v>/</v>
          </cell>
          <cell r="Q516" t="str">
            <v>/</v>
          </cell>
          <cell r="R516" t="str">
            <v>/</v>
          </cell>
          <cell r="S516" t="str">
            <v>/</v>
          </cell>
          <cell r="T516" t="str">
            <v>AT-BIO-302
Agriculture UE</v>
          </cell>
          <cell r="U516"/>
          <cell r="V516" t="str">
            <v>Cette tisane est la compagne idéale d'un petit déjeuner sain et équilibré ! Tout en fraîcheur, ses notes légèrement mentholées sont parfaites pour un réveil en douceur et pour démarrer la journée du bon pied !</v>
          </cell>
          <cell r="W516"/>
          <cell r="X516" t="str">
            <v>Cette infusion est la compagne idéale d’un petit déjeuner sain et équilibré ! Tout en fraîcheur, ses notes légèrement mentholées sont la clé d’un réveil en douceur pour démarrer la journée du bon pied.</v>
          </cell>
          <cell r="Y516"/>
          <cell r="Z516" t="str">
            <v>Ingrédients : feuilles de mûrier* (Rubus fruticosus) 30%, menthe poivrée* (Mentha piperita) 30%, feuilles de framboisier* (Rubus idaeus) 20%, feuilles de fraisier* (Fragaria vescae), pétales de souci* (Calendula officinalis), pétales de bleuet* (Centaurea cyanus). *Issu de l'agriculture biologique.</v>
          </cell>
          <cell r="AA516" t="str">
            <v>/</v>
          </cell>
          <cell r="AB516" t="str">
            <v>/</v>
          </cell>
          <cell r="AC516" t="str">
            <v>?</v>
          </cell>
          <cell r="AD516" t="str">
            <v>5-10</v>
          </cell>
          <cell r="AE516">
            <v>95</v>
          </cell>
          <cell r="AF516">
            <v>2</v>
          </cell>
          <cell r="AG516" t="str">
            <v>?</v>
          </cell>
          <cell r="AH516" t="str">
            <v>?</v>
          </cell>
          <cell r="AI516" t="str">
            <v>/</v>
          </cell>
          <cell r="AJ516" t="str">
            <v>INTERNE</v>
          </cell>
          <cell r="AK516" t="str">
            <v>INTERNE</v>
          </cell>
          <cell r="AL516" t="str">
            <v>/</v>
          </cell>
          <cell r="AM516" t="str">
            <v>Sonnentor</v>
          </cell>
        </row>
        <row r="517">
          <cell r="A517" t="str">
            <v>TH501</v>
          </cell>
          <cell r="B517"/>
          <cell r="C517" t="str">
            <v>X</v>
          </cell>
          <cell r="D517" t="str">
            <v>X</v>
          </cell>
          <cell r="E517"/>
          <cell r="F517" t="str">
            <v>GRAI</v>
          </cell>
          <cell r="G517">
            <v>45383</v>
          </cell>
          <cell r="H517" t="str">
            <v>LES GRANDS CLASSIQUES</v>
          </cell>
          <cell r="I517" t="str">
            <v>LES INFUSIONS DE PLANTES</v>
          </cell>
          <cell r="J517" t="str">
            <v>Petit déjeuner</v>
          </cell>
          <cell r="K517" t="str">
            <v>Feuilles de mûrier - menthe poivrée - feuilles de framboisier</v>
          </cell>
          <cell r="L517" t="str">
            <v>Infusion de plantes</v>
          </cell>
          <cell r="M517" t="str">
            <v>/</v>
          </cell>
          <cell r="N517" t="str">
            <v>AB</v>
          </cell>
          <cell r="O517" t="str">
            <v>/</v>
          </cell>
          <cell r="P517" t="str">
            <v>/</v>
          </cell>
          <cell r="Q517" t="str">
            <v>/</v>
          </cell>
          <cell r="R517" t="str">
            <v>/</v>
          </cell>
          <cell r="S517" t="str">
            <v>/</v>
          </cell>
          <cell r="T517" t="str">
            <v>AT-BIO-302
Agriculture UE</v>
          </cell>
          <cell r="U517"/>
          <cell r="V517" t="str">
            <v>Cette tisane est la compagne idéale d'un petit déjeuner sain et équilibré ! Tout en fraîcheur, ses notes légèrement mentholées sont parfaites pour un réveil en douceur et pour démarrer la journée du bon pied !</v>
          </cell>
          <cell r="W517"/>
          <cell r="X517" t="str">
            <v>Cette infusion est la compagne idéale d’un petit déjeuner sain et équilibré ! Tout en fraîcheur, ses notes légèrement mentholées sont la clé d’un réveil en douceur pour démarrer la journée du bon pied.</v>
          </cell>
          <cell r="Y517"/>
          <cell r="Z517" t="str">
            <v>Ingrédients : feuilles de mûrier* (Rubus fruticosus) 30%, menthe poivrée* (Mentha piperita) 30%, feuilles de framboisier* (Rubus idaeus) 20%, feuilles de fraisier* (Fragaria vescae), pétales de souci* (Calendula officinalis), pétales de bleuet* (Centaurea cyanus). *Issu de l'agriculture biologique.</v>
          </cell>
          <cell r="AA517" t="str">
            <v>/</v>
          </cell>
          <cell r="AB517" t="str">
            <v>/</v>
          </cell>
          <cell r="AC517">
            <v>50</v>
          </cell>
          <cell r="AD517" t="str">
            <v>5-10</v>
          </cell>
          <cell r="AE517">
            <v>95</v>
          </cell>
          <cell r="AF517">
            <v>2</v>
          </cell>
          <cell r="AG517">
            <v>25</v>
          </cell>
          <cell r="AH517">
            <v>3582811005018</v>
          </cell>
          <cell r="AI517" t="str">
            <v>/</v>
          </cell>
          <cell r="AJ517" t="str">
            <v>ETHN5010V5</v>
          </cell>
          <cell r="AK517" t="str">
            <v>ETHN5010V5</v>
          </cell>
          <cell r="AL517" t="str">
            <v>/</v>
          </cell>
          <cell r="AM517" t="str">
            <v>Sonnentor</v>
          </cell>
        </row>
        <row r="518">
          <cell r="A518" t="str">
            <v>TV4311</v>
          </cell>
          <cell r="B518"/>
          <cell r="C518"/>
          <cell r="D518"/>
          <cell r="E518"/>
          <cell r="F518"/>
          <cell r="G518"/>
          <cell r="H518" t="str">
            <v>LES GRANDS CLASSIQUES</v>
          </cell>
          <cell r="I518"/>
          <cell r="J518" t="str">
            <v>Pin Ho Jade</v>
          </cell>
          <cell r="K518" t="str">
            <v>/</v>
          </cell>
          <cell r="L518" t="str">
            <v>Thé vert d'origine</v>
          </cell>
          <cell r="M518" t="str">
            <v>Vietnam - Yen Bai</v>
          </cell>
          <cell r="N518" t="str">
            <v>AB</v>
          </cell>
          <cell r="O518" t="str">
            <v>WFTO</v>
          </cell>
          <cell r="P518" t="str">
            <v>/</v>
          </cell>
          <cell r="Q518" t="str">
            <v>WT</v>
          </cell>
          <cell r="R518" t="str">
            <v>/</v>
          </cell>
          <cell r="S518" t="str">
            <v>/</v>
          </cell>
          <cell r="T518" t="str">
            <v>Agriculture Vietnam</v>
          </cell>
          <cell r="U518"/>
          <cell r="V518" t="str">
            <v>Belle récolte issue des théiers anciens des montagnes du nord-est vietnamien. Les feuilles, aux nombreuses nuances vertes, libèrent une infusion couleur pêche aux notes végétales et fleuries. Doux et frais, ce thé embaume le palais pour y laisser d’exquises empreintes sucrées. Sans amertume, très désaltérant, il convient à tout instant de la journée.</v>
          </cell>
          <cell r="W518"/>
          <cell r="X518" t="str">
            <v xml:space="preserve">C’est au cœur des montagnes du nord-est du Vietnam que ce thé vert issu de théiers anciens est né. Ses feuilles, aux nombreuses nuances vertes, libèrent une infusion couleur pêche aux notes végétales et florales. Doux et frais, ce thé laisse d’agréables empreintes fruitées sur le palais. </v>
          </cell>
          <cell r="Y518"/>
          <cell r="Z518" t="str">
            <v xml:space="preserve">Ingrédient : thé vert*. *Issu de l'agriculture biologique. </v>
          </cell>
          <cell r="AA518" t="str">
            <v>/</v>
          </cell>
          <cell r="AB518" t="str">
            <v>Membre certifié World Fair Trade Organization, Les Jardins de Gaïa s’engagent pour un commerce plus juste et répondent aux exigences du commerce équitable. Pour en savoir plus : www.wfto.com.</v>
          </cell>
          <cell r="AC518">
            <v>1.5</v>
          </cell>
          <cell r="AD518" t="str">
            <v>3</v>
          </cell>
          <cell r="AE518">
            <v>85</v>
          </cell>
          <cell r="AF518">
            <v>2</v>
          </cell>
          <cell r="AG518">
            <v>750</v>
          </cell>
          <cell r="AH518">
            <v>3582810343111</v>
          </cell>
          <cell r="AI518" t="str">
            <v>/</v>
          </cell>
          <cell r="AJ518" t="str">
            <v>INTERNE</v>
          </cell>
          <cell r="AK518" t="str">
            <v>INTERNE</v>
          </cell>
          <cell r="AL518" t="str">
            <v>/</v>
          </cell>
          <cell r="AM518" t="str">
            <v>Van Chan Bio Farmers Club</v>
          </cell>
        </row>
        <row r="519">
          <cell r="A519" t="str">
            <v>TV4312</v>
          </cell>
          <cell r="B519"/>
          <cell r="C519" t="str">
            <v>X</v>
          </cell>
          <cell r="D519" t="str">
            <v>x</v>
          </cell>
          <cell r="E519" t="str">
            <v>x</v>
          </cell>
          <cell r="F519" t="str">
            <v>GRAI</v>
          </cell>
          <cell r="G519">
            <v>45383</v>
          </cell>
          <cell r="H519" t="str">
            <v>LES GRANDS CLASSIQUES</v>
          </cell>
          <cell r="I519"/>
          <cell r="J519" t="str">
            <v>Pin Ho Jade</v>
          </cell>
          <cell r="K519" t="str">
            <v>/</v>
          </cell>
          <cell r="L519" t="str">
            <v>Thé vert d'origine</v>
          </cell>
          <cell r="M519" t="str">
            <v>Vietnam - Yen Bai</v>
          </cell>
          <cell r="N519" t="str">
            <v>AB</v>
          </cell>
          <cell r="O519" t="str">
            <v>WFTO</v>
          </cell>
          <cell r="P519" t="str">
            <v>/</v>
          </cell>
          <cell r="Q519" t="str">
            <v>WT</v>
          </cell>
          <cell r="R519" t="str">
            <v>/</v>
          </cell>
          <cell r="S519" t="str">
            <v>/</v>
          </cell>
          <cell r="T519" t="str">
            <v>Agriculture Vietnam</v>
          </cell>
          <cell r="U519"/>
          <cell r="V519" t="str">
            <v>Belle récolte issue des théiers anciens des montagnes du nord-est vietnamien. Les feuilles, aux nombreuses nuances vertes, libèrent une infusion couleur pêche aux notes végétales et fleuries. Doux et frais, ce thé embaume le palais pour y laisser d’exquises empreintes sucrées. Sans amertume, très désaltérant, il convient à tout instant de la journée.</v>
          </cell>
          <cell r="W519"/>
          <cell r="X519" t="str">
            <v xml:space="preserve">C’est au cœur des montagnes du nord-est du Vietnam que ce thé vert issu de théiers anciens est né. Ses feuilles, aux nombreuses nuances vertes, libèrent une infusion couleur pêche aux notes végétales et florales. Doux et frais, ce thé laisse d’agréables empreintes fruitées sur le palais. </v>
          </cell>
          <cell r="Y519"/>
          <cell r="Z519" t="str">
            <v xml:space="preserve">Ingrédient : thé vert*. *Issu de l'agriculture biologique. </v>
          </cell>
          <cell r="AA519" t="str">
            <v>/</v>
          </cell>
          <cell r="AB519" t="str">
            <v>Membre certifié World Fair Trade Organization, Les Jardins de Gaïa s’engagent pour un commerce plus juste et répondent aux exigences du commerce équitable. Pour en savoir plus : www.wfto.com.</v>
          </cell>
          <cell r="AC519">
            <v>100</v>
          </cell>
          <cell r="AD519" t="str">
            <v>3</v>
          </cell>
          <cell r="AE519">
            <v>85</v>
          </cell>
          <cell r="AF519">
            <v>2</v>
          </cell>
          <cell r="AG519">
            <v>50</v>
          </cell>
          <cell r="AH519">
            <v>3582810343128</v>
          </cell>
          <cell r="AI519" t="str">
            <v>/</v>
          </cell>
          <cell r="AJ519" t="str">
            <v>ETVN431</v>
          </cell>
          <cell r="AK519" t="str">
            <v>ETVN431V5</v>
          </cell>
          <cell r="AL519" t="str">
            <v>ETCVN4312V5</v>
          </cell>
          <cell r="AM519" t="str">
            <v>Van Chan Bio Farmers Club</v>
          </cell>
        </row>
        <row r="520">
          <cell r="A520" t="str">
            <v>BT3542</v>
          </cell>
          <cell r="B520"/>
          <cell r="C520"/>
          <cell r="D520"/>
          <cell r="E520"/>
          <cell r="F520"/>
          <cell r="G520"/>
          <cell r="H520" t="str">
            <v>LES GRAND CRUS</v>
          </cell>
          <cell r="I520"/>
          <cell r="J520" t="str">
            <v>Poésie en rose</v>
          </cell>
          <cell r="K520" t="str">
            <v>3 pièces</v>
          </cell>
          <cell r="L520" t="str">
            <v>Thé wulong parfumé</v>
          </cell>
          <cell r="M520" t="str">
            <v>Inde - Darjeeling</v>
          </cell>
          <cell r="N520" t="str">
            <v>AB</v>
          </cell>
          <cell r="O520" t="str">
            <v>WFTO</v>
          </cell>
          <cell r="P520" t="str">
            <v>D</v>
          </cell>
          <cell r="Q520" t="str">
            <v>/</v>
          </cell>
          <cell r="R520" t="str">
            <v>/</v>
          </cell>
          <cell r="S520" t="str">
            <v>/</v>
          </cell>
          <cell r="T520" t="str">
            <v>Agriculture Inde</v>
          </cell>
          <cell r="U520"/>
          <cell r="V520" t="str">
            <v>Éclosion de douceur et de délicatesse… Les bourgeons duvetés de ce wulong façonné laissent lentement s’épanouir la fleur gracieuse qu’ils gardent enfermée. L’infusion claire, ronde, au goût doux de fleurs des champs est un trésor des sommets ! Un instant de poésie à savourer…</v>
          </cell>
          <cell r="W520" t="str">
            <v>S25</v>
          </cell>
          <cell r="X520" t="str">
            <v>Les bourgeons duvetés de ce thé wulong ont été habilement façonnés pour qu’ils laissent lentement s’épanouir la fleur gracieuse qu’ils dissimulent. Une éclosion qui donne naissance à une infusion claire, soyeuse, aux douces saveurs de fleurs sauvages. Un instant de poésie à savourer…</v>
          </cell>
          <cell r="Y520"/>
          <cell r="Z520" t="str">
            <v>Ingrédients : thé wulong**, fleurs d'amarante* 4%. *Issu de l'agriculture biologique. **Issu de l'agriculture biologique et biodynamique. demeter est la marque des produits issus de l'agriculture biodynamique certifiée.</v>
          </cell>
          <cell r="AA520" t="str">
            <v>/</v>
          </cell>
          <cell r="AB520" t="str">
            <v>Membre certifié World Fair Trade Organization, Les Jardins de Gaïa s’engagent pour un commerce plus juste et répondent aux exigences du commerce équitable. Pour en savoir plus : www.wfto.com.</v>
          </cell>
          <cell r="AC520">
            <v>53</v>
          </cell>
          <cell r="AD520" t="str">
            <v>7-10</v>
          </cell>
          <cell r="AE520">
            <v>85</v>
          </cell>
          <cell r="AF520" t="str">
            <v>/</v>
          </cell>
          <cell r="AG520">
            <v>3</v>
          </cell>
          <cell r="AH520">
            <v>3582813335427</v>
          </cell>
          <cell r="AI520" t="str">
            <v>Plusieurs infusions</v>
          </cell>
          <cell r="AJ520" t="str">
            <v>INTERNE</v>
          </cell>
          <cell r="AK520" t="str">
            <v>INTERNE</v>
          </cell>
          <cell r="AL520" t="str">
            <v>INTERNE</v>
          </cell>
          <cell r="AM520" t="str">
            <v>Selimbong Tea Estate</v>
          </cell>
        </row>
        <row r="521">
          <cell r="A521" t="str">
            <v>TR2372</v>
          </cell>
          <cell r="B521"/>
          <cell r="C521" t="str">
            <v>X</v>
          </cell>
          <cell r="D521" t="str">
            <v>X</v>
          </cell>
          <cell r="E521" t="str">
            <v>X</v>
          </cell>
          <cell r="F521" t="str">
            <v>BRODART</v>
          </cell>
          <cell r="G521"/>
          <cell r="H521" t="str">
            <v>LES GRANDS CLASSIQUES</v>
          </cell>
          <cell r="I521"/>
          <cell r="J521" t="str">
            <v xml:space="preserve">Poire Belle-Hélène </v>
          </cell>
          <cell r="K521" t="str">
            <v>Saveurs poire - cacao</v>
          </cell>
          <cell r="L521" t="str">
            <v>Rooibos aromatisé</v>
          </cell>
          <cell r="M521" t="str">
            <v>Afrique du Sud - Cap Occidental</v>
          </cell>
          <cell r="N521" t="str">
            <v>AB</v>
          </cell>
          <cell r="O521" t="str">
            <v>WFTO</v>
          </cell>
          <cell r="P521" t="str">
            <v>/</v>
          </cell>
          <cell r="Q521" t="str">
            <v>/</v>
          </cell>
          <cell r="R521" t="str">
            <v>/</v>
          </cell>
          <cell r="S521" t="str">
            <v>/</v>
          </cell>
          <cell r="T521" t="str">
            <v>Agriculture UE/non UE</v>
          </cell>
          <cell r="U521"/>
          <cell r="V521" t="str">
            <v>Sensation délicieuse rappelant un dessert poire-chocolat gourmand à souhait… L’alliance du rooibos gorgé de soleil, de la poire juteuse et du fondant du chocolat laisse le palais empreint d’une douceur qui enchantera petits et grands. Un vrai régal !</v>
          </cell>
          <cell r="W521" t="str">
            <v>S16</v>
          </cell>
          <cell r="X521" t="str">
            <v>Ce rooibos gorgé de soleil, qui met en valeur la gourmandise et l’évidence de l’accord poire-cacao fait ouvertement référence aux délicieuses sensations que procure la dégustation d’une poire Belle-Hélène. Un clin d’œil au célèbre dessert qui enchantera petits et grands !</v>
          </cell>
          <cell r="Y521"/>
          <cell r="Z521" t="str">
            <v>Ingrédients : rooibos*, arômes naturels de (poire*, cacao*) 9%, amandes effilées*, morceaux de pomme*, pétales de souci*. *Issu de l'agriculture biologique.</v>
          </cell>
          <cell r="AA521" t="str">
            <v>/</v>
          </cell>
          <cell r="AB521" t="str">
            <v>Membre certifié World Fair Trade Organization, Les Jardins de Gaïa s’engagent pour un commerce plus juste et répondent aux exigences du commerce équitable. Pour en savoir plus : www.wfto.com.</v>
          </cell>
          <cell r="AC521">
            <v>100</v>
          </cell>
          <cell r="AD521" t="str">
            <v>5-10</v>
          </cell>
          <cell r="AE521">
            <v>95</v>
          </cell>
          <cell r="AF521">
            <v>2</v>
          </cell>
          <cell r="AG521">
            <v>50</v>
          </cell>
          <cell r="AH521">
            <v>3582810923726</v>
          </cell>
          <cell r="AI521" t="str">
            <v>/</v>
          </cell>
          <cell r="AJ521" t="str">
            <v>ETRA237V5</v>
          </cell>
          <cell r="AK521" t="str">
            <v>ETRA237V5</v>
          </cell>
          <cell r="AL521" t="str">
            <v>ETCRA2372V5</v>
          </cell>
          <cell r="AM521" t="str">
            <v>Création maison</v>
          </cell>
        </row>
        <row r="522">
          <cell r="A522" t="str">
            <v>TR2371</v>
          </cell>
          <cell r="B522"/>
          <cell r="C522"/>
          <cell r="D522"/>
          <cell r="E522"/>
          <cell r="F522"/>
          <cell r="G522"/>
          <cell r="H522" t="str">
            <v>LES GRANDS CLASSIQUES</v>
          </cell>
          <cell r="I522"/>
          <cell r="J522" t="str">
            <v xml:space="preserve">Poire Belle-Hélène </v>
          </cell>
          <cell r="K522" t="str">
            <v>Saveurs poire - cacao</v>
          </cell>
          <cell r="L522" t="str">
            <v>Rooibos aromatisé</v>
          </cell>
          <cell r="M522" t="str">
            <v>Afrique du Sud - Cap Occidental</v>
          </cell>
          <cell r="N522" t="str">
            <v>AB</v>
          </cell>
          <cell r="O522" t="str">
            <v>WFTO</v>
          </cell>
          <cell r="P522" t="str">
            <v>/</v>
          </cell>
          <cell r="Q522" t="str">
            <v>/</v>
          </cell>
          <cell r="R522" t="str">
            <v>/</v>
          </cell>
          <cell r="S522" t="str">
            <v>/</v>
          </cell>
          <cell r="T522" t="str">
            <v>Agriculture UE/non UE</v>
          </cell>
          <cell r="U522"/>
          <cell r="V522" t="str">
            <v>Sensation délicieuse rappelant un dessert poire-chocolat gourmand à souhait… L’alliance du rooibos gorgé de soleil, de la poire juteuse et du fondant du chocolat laisse le palais empreint d’une douceur qui enchantera petits et grands. Un vrai régal !</v>
          </cell>
          <cell r="W522" t="str">
            <v>S16</v>
          </cell>
          <cell r="X522" t="str">
            <v>Ce rooibos gorgé de soleil, qui met en valeur la gourmandise et l’évidence de l’accord poire-cacao fait ouvertement référence aux délicieuses sensations que procure la dégustation d’une poire Belle-Hélène. Un clin d’œil au célèbre dessert qui enchantera petits et grands !</v>
          </cell>
          <cell r="Y522"/>
          <cell r="Z522" t="str">
            <v>Ingrédients : rooibos*, arômes naturels de (poire*, cacao*) 9%, amandes effilées*, morceaux de pomme*, pétales de souci*. *Issu de l'agriculture biologique.</v>
          </cell>
          <cell r="AA522" t="str">
            <v>/</v>
          </cell>
          <cell r="AB522" t="str">
            <v>Membre certifié World Fair Trade Organization, Les Jardins de Gaïa s’engagent pour un commerce plus juste et répondent aux exigences du commerce équitable. Pour en savoir plus : www.wfto.com.</v>
          </cell>
          <cell r="AC522">
            <v>1.5</v>
          </cell>
          <cell r="AD522" t="str">
            <v>5-10</v>
          </cell>
          <cell r="AE522">
            <v>95</v>
          </cell>
          <cell r="AF522">
            <v>2</v>
          </cell>
          <cell r="AG522">
            <v>750</v>
          </cell>
          <cell r="AH522">
            <v>3582810923719</v>
          </cell>
          <cell r="AI522" t="str">
            <v>/</v>
          </cell>
          <cell r="AJ522" t="str">
            <v>INTERNE</v>
          </cell>
          <cell r="AK522" t="str">
            <v>INTERNE</v>
          </cell>
          <cell r="AL522" t="str">
            <v>/</v>
          </cell>
          <cell r="AM522" t="str">
            <v>Création maison</v>
          </cell>
        </row>
        <row r="523">
          <cell r="A523" t="str">
            <v>TR2372</v>
          </cell>
          <cell r="B523"/>
          <cell r="C523"/>
          <cell r="D523"/>
          <cell r="E523"/>
          <cell r="F523"/>
          <cell r="G523"/>
          <cell r="H523" t="str">
            <v>LES GRANDS CLASSIQUES</v>
          </cell>
          <cell r="I523"/>
          <cell r="J523" t="str">
            <v xml:space="preserve">Poire Belle-Hélène </v>
          </cell>
          <cell r="K523" t="str">
            <v>Saveurs poire - cacao</v>
          </cell>
          <cell r="L523" t="str">
            <v>Rooibos aromatisé</v>
          </cell>
          <cell r="M523" t="str">
            <v>Afrique du Sud - Cap Occidental</v>
          </cell>
          <cell r="N523" t="str">
            <v>AB</v>
          </cell>
          <cell r="O523" t="str">
            <v>WFTO</v>
          </cell>
          <cell r="P523" t="str">
            <v>/</v>
          </cell>
          <cell r="Q523" t="str">
            <v>/</v>
          </cell>
          <cell r="R523" t="str">
            <v>/</v>
          </cell>
          <cell r="S523" t="str">
            <v>/</v>
          </cell>
          <cell r="T523" t="str">
            <v>Agriculture UE/non UE</v>
          </cell>
          <cell r="U523"/>
          <cell r="V523" t="str">
            <v>Sensation délicieuse rappelant un dessert poire-chocolat gourmand à souhait… L’alliance du rooibos gorgé de soleil, de la poire juteuse et du fondant du chocolat laisse le palais empreint d’une douceur qui enchantera petits et grands. Un vrai régal !</v>
          </cell>
          <cell r="W523" t="str">
            <v>S16</v>
          </cell>
          <cell r="X523" t="str">
            <v>Ce rooibos gorgé de soleil, qui met en valeur la gourmandise et l’évidence de l’accord poire-cacao fait ouvertement référence aux délicieuses sensations que procure la dégustation d’une poire Belle-Hélène. Un clin d’œil au célèbre dessert qui enchantera petits et grands !</v>
          </cell>
          <cell r="Y523"/>
          <cell r="Z523" t="str">
            <v>Ingrédients : rooibos*, arômes naturels de (poire*, cacao*) 9%, amandes effilées*, morceaux de pomme*, pétales de souci*. *Issu de l'agriculture biologique.</v>
          </cell>
          <cell r="AA523" t="str">
            <v>/</v>
          </cell>
          <cell r="AB523" t="str">
            <v>Membre certifié World Fair Trade Organization, Les Jardins de Gaïa s’engagent pour un commerce plus juste et répondent aux exigences du commerce équitable. Pour en savoir plus : www.wfto.com.</v>
          </cell>
          <cell r="AC523">
            <v>100</v>
          </cell>
          <cell r="AD523" t="str">
            <v>5-10</v>
          </cell>
          <cell r="AE523">
            <v>95</v>
          </cell>
          <cell r="AF523">
            <v>2</v>
          </cell>
          <cell r="AG523">
            <v>50</v>
          </cell>
          <cell r="AH523">
            <v>3582810923726</v>
          </cell>
          <cell r="AI523" t="str">
            <v>/</v>
          </cell>
          <cell r="AJ523" t="str">
            <v>ETRA237V5N</v>
          </cell>
          <cell r="AK523" t="str">
            <v>ETRA237V5N</v>
          </cell>
          <cell r="AL523" t="str">
            <v>ETCRA2372V5N</v>
          </cell>
          <cell r="AM523" t="str">
            <v>Création maison</v>
          </cell>
        </row>
        <row r="524">
          <cell r="A524" t="str">
            <v>TA601</v>
          </cell>
          <cell r="B524"/>
          <cell r="C524"/>
          <cell r="D524"/>
          <cell r="E524"/>
          <cell r="F524"/>
          <cell r="G524"/>
          <cell r="H524" t="str">
            <v>LES GRANDS CLASSIQUES</v>
          </cell>
          <cell r="I524" t="str">
            <v>SELECTION DE NOËL</v>
          </cell>
          <cell r="J524" t="str">
            <v>Pomme de Noël / Pomme étoilée</v>
          </cell>
          <cell r="K524" t="str">
            <v>pomme - badiane</v>
          </cell>
          <cell r="L524" t="str">
            <v>Thé vert aromatisé</v>
          </cell>
          <cell r="M524"/>
          <cell r="N524" t="str">
            <v>AB</v>
          </cell>
          <cell r="O524" t="str">
            <v>WFTO</v>
          </cell>
          <cell r="P524" t="str">
            <v>/</v>
          </cell>
          <cell r="Q524" t="str">
            <v>/</v>
          </cell>
          <cell r="R524" t="str">
            <v>/</v>
          </cell>
          <cell r="S524" t="str">
            <v>/</v>
          </cell>
          <cell r="T524" t="str">
            <v>Agriculture UE/non UE</v>
          </cell>
          <cell r="U524"/>
          <cell r="V524" t="str">
            <v xml:space="preserve">Festive et originale, cette composition gourmande à base de thé vert met à l’honneur la pomme rouge qui décorait traditionnellement les sapins de Noël. Ses saveurs rondes et légèrement acidulées sont délicieusement accompagnées par les notes chaudes et anisées de la badiane. </v>
          </cell>
          <cell r="W524" t="str">
            <v>S16</v>
          </cell>
          <cell r="X524" t="str">
            <v>Festive et originale, cette composition gourmande à base de thé vert met à l’honneur la pomme rouge qui décorait traditionnellement les sapins de Noël. Ses saveurs rondes et légèrement acidulées sont délicieusement accompagnées par les notes chaudes et anisées de la badiane.</v>
          </cell>
          <cell r="Y524"/>
          <cell r="Z524" t="str">
            <v>ingrédients : thé vert*, cannelle*, gingembre*, badiane* 8%, arôme naturel de pomme* 4%, morceaux de pomme* 3%, baies roses*. *Issu de l’agriculture biologique.</v>
          </cell>
          <cell r="AA524" t="str">
            <v>/</v>
          </cell>
          <cell r="AB524" t="str">
            <v>Membre certifié World Fair Trade Organization, Les Jardins de Gaïa s’engagent pour un commerce plus juste et répondent aux exigences du commerce équitable. Pour en savoir plus : www.wfto.com.</v>
          </cell>
          <cell r="AC524">
            <v>100</v>
          </cell>
          <cell r="AD524" t="str">
            <v>4-5</v>
          </cell>
          <cell r="AE524">
            <v>90</v>
          </cell>
          <cell r="AF524">
            <v>2</v>
          </cell>
          <cell r="AG524">
            <v>50</v>
          </cell>
          <cell r="AH524">
            <v>3582810360125</v>
          </cell>
          <cell r="AI524" t="str">
            <v>/</v>
          </cell>
          <cell r="AJ524"/>
          <cell r="AK524" t="str">
            <v>/</v>
          </cell>
          <cell r="AL524" t="str">
            <v>/</v>
          </cell>
          <cell r="AM524" t="str">
            <v>Création maison</v>
          </cell>
        </row>
        <row r="525">
          <cell r="A525" t="str">
            <v>TN2077</v>
          </cell>
          <cell r="B525"/>
          <cell r="C525"/>
          <cell r="D525"/>
          <cell r="E525"/>
          <cell r="F525"/>
          <cell r="G525"/>
          <cell r="H525" t="str">
            <v>LES PRIMEURS</v>
          </cell>
          <cell r="I525"/>
          <cell r="J525" t="str">
            <v>Potong</v>
          </cell>
          <cell r="K525" t="str">
            <v>FTGFOP1 FF 
Top Quality 
cultivar Potong China</v>
          </cell>
          <cell r="L525" t="str">
            <v>Thé noir primeur</v>
          </cell>
          <cell r="M525" t="str">
            <v>Inde - Darjeeling - Potong garden</v>
          </cell>
          <cell r="N525" t="str">
            <v>AB</v>
          </cell>
          <cell r="O525" t="str">
            <v>/</v>
          </cell>
          <cell r="P525" t="str">
            <v>/</v>
          </cell>
          <cell r="Q525" t="str">
            <v>/</v>
          </cell>
          <cell r="R525" t="str">
            <v>IGP</v>
          </cell>
          <cell r="S525" t="str">
            <v>/</v>
          </cell>
          <cell r="T525" t="str">
            <v>Agriculture Inde</v>
          </cell>
          <cell r="U525"/>
          <cell r="V525" t="str">
            <v xml:space="preserve">Récolte printanière en biodynamie, fierté des petits producteurs de la coopérative de Potong. Notes : fruitées et acidulées (kiwi), printanières (fèves cuites) et minérales. </v>
          </cell>
          <cell r="W525" t="str">
            <v>S25</v>
          </cell>
          <cell r="X525" t="str">
            <v>Belle complexité pour ce thé noir printanier de la coopérative de petits producteurs de Potong. Sa liqueur particulièrement longue en bouche, structurée par des notes végétales et minérales, évoque le kiwi et les fèves cuites. Un cru à la fois expressif et raffiné à découvrir !</v>
          </cell>
          <cell r="Y525"/>
          <cell r="Z525" t="str">
            <v xml:space="preserve">Ingrédient : thé noir**. **Issu de l'agriculture biologique et biodynamique. demeter est la marque des produits issus de l'agriculture biodynamique certifiée. </v>
          </cell>
          <cell r="AA525" t="str">
            <v>/</v>
          </cell>
          <cell r="AB525" t="str">
            <v>Membre certifié World Fair Trade Organization, Les Jardins de Gaïa s’engagent pour un commerce plus juste et répondent aux exigences du commerce équitable. Pour en savoir plus : www.wfto.com.</v>
          </cell>
          <cell r="AC525">
            <v>1</v>
          </cell>
          <cell r="AD525" t="str">
            <v>3</v>
          </cell>
          <cell r="AE525">
            <v>85</v>
          </cell>
          <cell r="AF525">
            <v>2</v>
          </cell>
          <cell r="AG525">
            <v>500</v>
          </cell>
          <cell r="AH525">
            <v>3582810220771</v>
          </cell>
          <cell r="AI525" t="str">
            <v>/</v>
          </cell>
          <cell r="AJ525" t="str">
            <v>INTERNE</v>
          </cell>
          <cell r="AK525" t="str">
            <v>INTERNE</v>
          </cell>
          <cell r="AL525" t="str">
            <v>/</v>
          </cell>
          <cell r="AM525" t="str">
            <v>Potong Tea Workers Welfare Committee</v>
          </cell>
        </row>
        <row r="526">
          <cell r="A526" t="str">
            <v>TN2072</v>
          </cell>
          <cell r="B526"/>
          <cell r="C526"/>
          <cell r="D526"/>
          <cell r="E526"/>
          <cell r="F526"/>
          <cell r="G526"/>
          <cell r="H526" t="str">
            <v>LES PRIMEURS</v>
          </cell>
          <cell r="I526"/>
          <cell r="J526" t="str">
            <v>Potong</v>
          </cell>
          <cell r="K526" t="str">
            <v>FTGFOP1 FF 
Top Quality 
cultivar Potong China</v>
          </cell>
          <cell r="L526" t="str">
            <v>Thé noir primeur</v>
          </cell>
          <cell r="M526" t="str">
            <v>Inde - Darjeeling - Potong garden</v>
          </cell>
          <cell r="N526" t="str">
            <v>AB</v>
          </cell>
          <cell r="O526" t="str">
            <v>/</v>
          </cell>
          <cell r="P526" t="str">
            <v>/</v>
          </cell>
          <cell r="Q526" t="str">
            <v>/</v>
          </cell>
          <cell r="R526" t="str">
            <v>IGP</v>
          </cell>
          <cell r="S526" t="str">
            <v>/</v>
          </cell>
          <cell r="T526" t="str">
            <v>Agriculture Inde</v>
          </cell>
          <cell r="U526"/>
          <cell r="V526" t="str">
            <v xml:space="preserve">Récolte printanière en biodynamie, fierté des petits producteurs de la coopérative de Potong. Notes : fruitées et acidulées (kiwi), printanières (fèves cuites) et minérales. </v>
          </cell>
          <cell r="W526" t="str">
            <v>S25</v>
          </cell>
          <cell r="X526" t="str">
            <v>Belle complexité pour ce thé noir printanier de la coopérative de petits producteurs de Potong. Sa liqueur particulièrement longue en bouche, structurée par des notes végétales et minérales, évoque le kiwi et les fèves cuites. Un cru à la fois expressif et raffiné à découvrir !</v>
          </cell>
          <cell r="Y526"/>
          <cell r="Z526" t="str">
            <v xml:space="preserve">Ingrédient : thé noir**. **Issu de l'agriculture biologique et biodynamique. demeter est la marque des produits issus de l'agriculture biodynamique certifiée. </v>
          </cell>
          <cell r="AA526" t="str">
            <v>/</v>
          </cell>
          <cell r="AB526" t="str">
            <v>Membre certifié World Fair Trade Organization, Les Jardins de Gaïa s’engagent pour un commerce plus juste et répondent aux exigences du commerce équitable. Pour en savoir plus : www.wfto.com.</v>
          </cell>
          <cell r="AC526">
            <v>80</v>
          </cell>
          <cell r="AD526" t="str">
            <v>3</v>
          </cell>
          <cell r="AE526">
            <v>85</v>
          </cell>
          <cell r="AF526">
            <v>2</v>
          </cell>
          <cell r="AG526">
            <v>40</v>
          </cell>
          <cell r="AH526">
            <v>3582810220726</v>
          </cell>
          <cell r="AI526" t="str">
            <v>/</v>
          </cell>
          <cell r="AJ526" t="str">
            <v>ETNN207V5</v>
          </cell>
          <cell r="AK526" t="str">
            <v>ETNN207V5</v>
          </cell>
          <cell r="AL526" t="str">
            <v>ETCNN2072FF22V5</v>
          </cell>
          <cell r="AM526" t="str">
            <v>Potong Tea Workers Welfare Committee</v>
          </cell>
        </row>
        <row r="527">
          <cell r="A527" t="str">
            <v>TH0621</v>
          </cell>
          <cell r="B527"/>
          <cell r="C527"/>
          <cell r="D527"/>
          <cell r="E527"/>
          <cell r="F527"/>
          <cell r="G527"/>
          <cell r="H527" t="str">
            <v>LES BIENFAITRICES</v>
          </cell>
          <cell r="I527" t="str">
            <v>LES INFUSIONS DE PLANTES</v>
          </cell>
          <cell r="J527" t="str">
            <v>Powerful</v>
          </cell>
          <cell r="K527" t="str">
            <v>Tonique
Maté - Cannelle - Baies de goji</v>
          </cell>
          <cell r="L527" t="str">
            <v>Infusion de plantes</v>
          </cell>
          <cell r="M527" t="str">
            <v>/</v>
          </cell>
          <cell r="N527" t="str">
            <v>AB</v>
          </cell>
          <cell r="O527" t="str">
            <v>/</v>
          </cell>
          <cell r="P527" t="str">
            <v>/</v>
          </cell>
          <cell r="Q527" t="str">
            <v>/</v>
          </cell>
          <cell r="R527" t="str">
            <v>/</v>
          </cell>
          <cell r="S527" t="str">
            <v>/</v>
          </cell>
          <cell r="T527" t="str">
            <v>Agriculture UE/non UE</v>
          </cell>
          <cell r="U527"/>
          <cell r="V527" t="str">
            <v>Envie d’un petit coup de boost pour terminer votre programme de la journée ou vous motiver pour votre prochain rendez-vous ? Nous avons concocté ce mélange de plantes stimulantes et colorées avec l’idée d’insuffler autant d’énergie que de saveurs dans votre tasse. Les saveurs boisées du maté alliées au peps de la citronnelle sont irrésistiblement adoucies par les notes florales des pétales de rose. Une tisane aussi tonique, subtile que gourmande !</v>
          </cell>
          <cell r="W527" t="str">
            <v>S11</v>
          </cell>
          <cell r="X527" t="str">
            <v>Insufflez autant d’énergie que de saveurs dans votre tasse avec cette tisane de plantes. Les notes boisées du maté alliées au peps de la citronnelle sont agréablement adoucies par les accents floraux des pétales de rose. Une infusion aussi gourmande que motivante pour relever tous les défis !</v>
          </cell>
          <cell r="Y527"/>
          <cell r="Z527" t="str">
            <v>Ingrédients : maté* 37% (Ilex paraguariensis), lemongrass* (Cymbopogon citratus), cannelle* 15% (Cinnamomum spec.), baies de goji* 12% (Lycium barbarum), pétales de rose* (Rosa damascena), échinacée* (Echinacea purpurea). *Issu de l'agriculture biologique.</v>
          </cell>
          <cell r="AA527" t="str">
            <v>Consommation journalière conseillée : 4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527" t="str">
            <v>/</v>
          </cell>
          <cell r="AC527">
            <v>750</v>
          </cell>
          <cell r="AD527" t="str">
            <v>5-10</v>
          </cell>
          <cell r="AE527">
            <v>95</v>
          </cell>
          <cell r="AF527">
            <v>2</v>
          </cell>
          <cell r="AG527">
            <v>375</v>
          </cell>
          <cell r="AH527">
            <v>3582811006213</v>
          </cell>
          <cell r="AI527" t="str">
            <v>/</v>
          </cell>
          <cell r="AJ527" t="str">
            <v>INTERNE</v>
          </cell>
          <cell r="AK527" t="str">
            <v>INTERNE</v>
          </cell>
          <cell r="AL527" t="str">
            <v>/</v>
          </cell>
          <cell r="AM527" t="str">
            <v>?</v>
          </cell>
        </row>
        <row r="528">
          <cell r="A528" t="str">
            <v>TH0622</v>
          </cell>
          <cell r="B528"/>
          <cell r="C528" t="str">
            <v>X</v>
          </cell>
          <cell r="D528" t="str">
            <v>X</v>
          </cell>
          <cell r="E528"/>
          <cell r="F528" t="str">
            <v>GRAI</v>
          </cell>
          <cell r="G528">
            <v>45408</v>
          </cell>
          <cell r="H528" t="str">
            <v>LES BIENFAITRICES</v>
          </cell>
          <cell r="I528" t="str">
            <v>LES INFUSIONS DE PLANTES</v>
          </cell>
          <cell r="J528" t="str">
            <v>Powerful</v>
          </cell>
          <cell r="K528" t="str">
            <v>Tonique
Maté - Cannelle - Baies de goji</v>
          </cell>
          <cell r="L528" t="str">
            <v>Infusion de plantes</v>
          </cell>
          <cell r="M528" t="str">
            <v>/</v>
          </cell>
          <cell r="N528" t="str">
            <v>AB</v>
          </cell>
          <cell r="O528" t="str">
            <v>/</v>
          </cell>
          <cell r="P528" t="str">
            <v>/</v>
          </cell>
          <cell r="Q528" t="str">
            <v>/</v>
          </cell>
          <cell r="R528" t="str">
            <v>/</v>
          </cell>
          <cell r="S528" t="str">
            <v>/</v>
          </cell>
          <cell r="T528" t="str">
            <v>Agriculture UE/non UE</v>
          </cell>
          <cell r="U528"/>
          <cell r="V528" t="str">
            <v>Envie d’un petit coup de boost pour terminer votre programme de la journée ou vous motiver pour votre prochain rendez-vous ? Nous avons concocté ce mélange de plantes stimulantes et colorées avec l’idée d’insuffler autant d’énergie que de saveurs dans votre tasse. Les saveurs boisées du maté alliées au peps de la citronnelle sont irrésistiblement adoucies par les notes florales des pétales de rose. Une tisane aussi tonique, subtile que gourmande !</v>
          </cell>
          <cell r="W528" t="str">
            <v>S11</v>
          </cell>
          <cell r="X528" t="str">
            <v>Insufflez autant d’énergie que de saveurs dans votre tasse avec cette tisane de plantes. Les notes boisées du maté alliées au peps de la citronnelle sont agréablement adoucies par les accents floraux des pétales de rose. Une infusion aussi gourmande que motivante pour relever tous les défis !</v>
          </cell>
          <cell r="Y528"/>
          <cell r="Z528" t="str">
            <v>Ingrédients : maté* 37% (Ilex paraguariensis), lemongrass* (Cymbopogon citratus), cannelle* 15% (Cinnamomum spec.), baies de goji* 12% (Lycium barbarum), pétales de rose* (Rosa damascena), échinacée* (Echinacea purpurea). *Issu de l'agriculture biologique.</v>
          </cell>
          <cell r="AA528" t="str">
            <v>Consommation journalière conseillée : 4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528" t="str">
            <v>/</v>
          </cell>
          <cell r="AC528">
            <v>100</v>
          </cell>
          <cell r="AD528" t="str">
            <v>5-10</v>
          </cell>
          <cell r="AE528">
            <v>95</v>
          </cell>
          <cell r="AF528">
            <v>2</v>
          </cell>
          <cell r="AG528">
            <v>50</v>
          </cell>
          <cell r="AH528">
            <v>3582811006220</v>
          </cell>
          <cell r="AI528" t="str">
            <v>/</v>
          </cell>
          <cell r="AJ528" t="str">
            <v>ETHN0620V5</v>
          </cell>
          <cell r="AK528" t="str">
            <v>ETHN0620V5</v>
          </cell>
          <cell r="AL528" t="str">
            <v>/</v>
          </cell>
          <cell r="AM528" t="str">
            <v>?</v>
          </cell>
        </row>
        <row r="529">
          <cell r="A529" t="str">
            <v>TH215</v>
          </cell>
          <cell r="B529"/>
          <cell r="C529" t="str">
            <v>X</v>
          </cell>
          <cell r="D529" t="str">
            <v>X</v>
          </cell>
          <cell r="E529"/>
          <cell r="F529" t="str">
            <v>GRAI</v>
          </cell>
          <cell r="G529">
            <v>45408</v>
          </cell>
          <cell r="H529" t="str">
            <v>LES GRANDS CLASSIQUES</v>
          </cell>
          <cell r="I529" t="str">
            <v>LES INFUSIONS DE PLANTES</v>
          </cell>
          <cell r="J529" t="str">
            <v>Prêle</v>
          </cell>
          <cell r="K529" t="str">
            <v>/</v>
          </cell>
          <cell r="L529" t="str">
            <v>Infusion de plante</v>
          </cell>
          <cell r="M529" t="str">
            <v>Bosnie Herzégovine</v>
          </cell>
          <cell r="N529" t="str">
            <v>AB</v>
          </cell>
          <cell r="O529" t="str">
            <v>/</v>
          </cell>
          <cell r="P529" t="str">
            <v>/</v>
          </cell>
          <cell r="Q529" t="str">
            <v>/</v>
          </cell>
          <cell r="R529" t="str">
            <v>/</v>
          </cell>
          <cell r="S529" t="str">
            <v>/</v>
          </cell>
          <cell r="T529" t="str">
            <v>Agriculture UE</v>
          </cell>
          <cell r="U529"/>
          <cell r="V529" t="str">
            <v>Employée dans de nombreuses traditions sous forme de jus, de poudre, de teinture… cette plante vivace et familière est répandue dans nos paysages depuis la Préhistoire. Ses notes herbacées et minérales prononcées en font une tisane aussi attachante qu'originale.</v>
          </cell>
          <cell r="W529" t="str">
            <v>S11</v>
          </cell>
          <cell r="X529" t="str">
            <v>Employée dans de nombreuses traditions sous forme de jus, de poudre, de teinture…, la prêle est une plante vivace et familière qui produit une infusion très douce et agréable à boire. Ses notes herbacées et minérales prononcées en font une tisane aussi attachante qu'originale.</v>
          </cell>
          <cell r="Y529"/>
          <cell r="Z529" t="str">
            <v>Ingrédient : prêle* (Equisetum arvense). *Issu de l'agriculture biologique.</v>
          </cell>
          <cell r="AA529" t="str">
            <v>/</v>
          </cell>
          <cell r="AB529" t="str">
            <v>/</v>
          </cell>
          <cell r="AC529">
            <v>50</v>
          </cell>
          <cell r="AD529" t="str">
            <v>5-10</v>
          </cell>
          <cell r="AE529">
            <v>95</v>
          </cell>
          <cell r="AF529">
            <v>2</v>
          </cell>
          <cell r="AG529">
            <v>25</v>
          </cell>
          <cell r="AH529">
            <v>3582811002154</v>
          </cell>
          <cell r="AI529" t="str">
            <v>/</v>
          </cell>
          <cell r="AJ529" t="str">
            <v>ETHN2150V5</v>
          </cell>
          <cell r="AK529" t="str">
            <v>ETHN2150V5</v>
          </cell>
          <cell r="AL529" t="str">
            <v>/</v>
          </cell>
          <cell r="AM529" t="str">
            <v>Herbier du Diois</v>
          </cell>
        </row>
        <row r="530">
          <cell r="A530" t="str">
            <v>TA9011</v>
          </cell>
          <cell r="B530"/>
          <cell r="C530"/>
          <cell r="D530"/>
          <cell r="E530"/>
          <cell r="F530"/>
          <cell r="G530"/>
          <cell r="H530" t="str">
            <v>LES GRANDS CLASSIQUES</v>
          </cell>
          <cell r="I530"/>
          <cell r="J530" t="str">
            <v>Premiers flocons</v>
          </cell>
          <cell r="K530" t="str">
            <v>Cacao - Saveur framboise</v>
          </cell>
          <cell r="L530" t="str">
            <v>Thé wulong aromatisé</v>
          </cell>
          <cell r="M530" t="str">
            <v>Chine - Bangladesh</v>
          </cell>
          <cell r="N530" t="str">
            <v>AB</v>
          </cell>
          <cell r="O530" t="str">
            <v>WFTO</v>
          </cell>
          <cell r="P530" t="str">
            <v>/</v>
          </cell>
          <cell r="Q530" t="str">
            <v>/</v>
          </cell>
          <cell r="R530" t="str">
            <v>/</v>
          </cell>
          <cell r="S530" t="str">
            <v>/</v>
          </cell>
          <cell r="T530" t="str">
            <v>Agriculture UE/non UE</v>
          </cell>
          <cell r="U530"/>
          <cell r="V530" t="str">
            <v>Enveloppant et rond, ce thé aux arômes festifs est idéal pour accompagner la douce sensation d'euphorie des premières neiges. Une invitation à cocooner tout en laissant l'hiver s'installer, magique et mystérieux !</v>
          </cell>
          <cell r="W530" t="str">
            <v>S16</v>
          </cell>
          <cell r="X530" t="str">
            <v xml:space="preserve">Enveloppant et rond, ce thé wulong aux arômes festifs et gourmands de cacao et de framboise est à l’image de la douce sensation d'euphorie que procure la tombée des premiers flocons de neige. Une invitation à « cocooner » et à prendre le temps de savourer ! </v>
          </cell>
          <cell r="Y530"/>
          <cell r="Z530" t="str">
            <v>Ingrédients : thé wulong*, arôme naturel de framboise* 7%, extrait de vanille*, pétales de fleurs (rose*, bleuet*, souci*), écorces de cacao* 2%, cannelle*, *Issu de l'agriculture biologique.</v>
          </cell>
          <cell r="AA530" t="str">
            <v>/</v>
          </cell>
          <cell r="AB530" t="str">
            <v>Membre certifié World Fair Trade Organization, Les Jardins de Gaïa s’engagent pour un commerce plus juste et répondent aux exigences du commerce équitable. Pour en savoir plus : www.wfto.com.</v>
          </cell>
          <cell r="AC530">
            <v>1.5</v>
          </cell>
          <cell r="AD530" t="str">
            <v>3-4</v>
          </cell>
          <cell r="AE530">
            <v>95</v>
          </cell>
          <cell r="AF530">
            <v>2</v>
          </cell>
          <cell r="AG530">
            <v>750</v>
          </cell>
          <cell r="AH530">
            <v>3582810790113</v>
          </cell>
          <cell r="AI530" t="str">
            <v>/</v>
          </cell>
          <cell r="AJ530" t="str">
            <v>INTERNE</v>
          </cell>
          <cell r="AK530" t="str">
            <v>INTERNE</v>
          </cell>
          <cell r="AL530" t="str">
            <v>/</v>
          </cell>
          <cell r="AM530" t="str">
            <v>Création maison</v>
          </cell>
        </row>
        <row r="531">
          <cell r="A531" t="str">
            <v>TA9012</v>
          </cell>
          <cell r="B531"/>
          <cell r="C531" t="str">
            <v>X</v>
          </cell>
          <cell r="D531" t="str">
            <v>X</v>
          </cell>
          <cell r="E531" t="str">
            <v>X</v>
          </cell>
          <cell r="F531" t="str">
            <v>BRODART</v>
          </cell>
          <cell r="G531"/>
          <cell r="H531" t="str">
            <v>LES GRANDS CLASSIQUES</v>
          </cell>
          <cell r="I531"/>
          <cell r="J531" t="str">
            <v>Premiers flocons</v>
          </cell>
          <cell r="K531" t="str">
            <v>Cacao - Saveur framboise</v>
          </cell>
          <cell r="L531" t="str">
            <v>Thé wulong aromatisé</v>
          </cell>
          <cell r="M531" t="str">
            <v>Chine - Bangladesh</v>
          </cell>
          <cell r="N531" t="str">
            <v>AB</v>
          </cell>
          <cell r="O531" t="str">
            <v>WFTO</v>
          </cell>
          <cell r="P531" t="str">
            <v>/</v>
          </cell>
          <cell r="Q531" t="str">
            <v>/</v>
          </cell>
          <cell r="R531" t="str">
            <v>/</v>
          </cell>
          <cell r="S531" t="str">
            <v>/</v>
          </cell>
          <cell r="T531" t="str">
            <v>Agriculture UE/non UE</v>
          </cell>
          <cell r="U531"/>
          <cell r="V531" t="str">
            <v>Enveloppant et rond, ce thé aux arômes festifs est idéal pour accompagner la douce sensation d'euphorie des premières neiges. Une invitation à cocooner tout en laissant l'hiver s'installer, magique et mystérieux !</v>
          </cell>
          <cell r="W531" t="str">
            <v>S16</v>
          </cell>
          <cell r="X531" t="str">
            <v xml:space="preserve">Enveloppant et rond, ce thé wulong aux arômes festifs et gourmands de cacao et de framboise est à l’image de la douce sensation d'euphorie que procure la tombée des premiers flocons de neige. Une invitation à « cocooner » et à prendre le temps de savourer ! </v>
          </cell>
          <cell r="Y531"/>
          <cell r="Z531" t="str">
            <v>Ingrédients : thé wulong*, arôme naturel de framboise* 7%, extrait de vanille*, pétales de fleurs (rose*, bleuet*, souci*), écorces de cacao* 2%, cannelle*, *Issu de l'agriculture biologique.</v>
          </cell>
          <cell r="AA531" t="str">
            <v>/</v>
          </cell>
          <cell r="AB531" t="str">
            <v>Membre certifié World Fair Trade Organization, Les Jardins de Gaïa s’engagent pour un commerce plus juste et répondent aux exigences du commerce équitable. Pour en savoir plus : www.wfto.com.</v>
          </cell>
          <cell r="AC531">
            <v>70</v>
          </cell>
          <cell r="AD531" t="str">
            <v>3-4</v>
          </cell>
          <cell r="AE531">
            <v>95</v>
          </cell>
          <cell r="AF531">
            <v>2</v>
          </cell>
          <cell r="AG531">
            <v>35</v>
          </cell>
          <cell r="AH531">
            <v>3582810790120</v>
          </cell>
          <cell r="AI531" t="str">
            <v>/</v>
          </cell>
          <cell r="AJ531" t="str">
            <v>ETOA901V5</v>
          </cell>
          <cell r="AK531" t="str">
            <v>ETOA901V5</v>
          </cell>
          <cell r="AL531" t="str">
            <v>ETCOA9012V5</v>
          </cell>
          <cell r="AM531" t="str">
            <v>Création maison</v>
          </cell>
        </row>
        <row r="532">
          <cell r="A532" t="str">
            <v>TA9012</v>
          </cell>
          <cell r="B532"/>
          <cell r="C532"/>
          <cell r="D532"/>
          <cell r="E532"/>
          <cell r="F532"/>
          <cell r="G532"/>
          <cell r="H532" t="str">
            <v>LES GRANDS CLASSIQUES</v>
          </cell>
          <cell r="I532"/>
          <cell r="J532" t="str">
            <v>Premiers flocons</v>
          </cell>
          <cell r="K532" t="str">
            <v>Cacao - Saveur framboise</v>
          </cell>
          <cell r="L532" t="str">
            <v>Thé wulong aromatisé</v>
          </cell>
          <cell r="M532" t="str">
            <v>Chine - Bangladesh</v>
          </cell>
          <cell r="N532" t="str">
            <v>AB</v>
          </cell>
          <cell r="O532" t="str">
            <v>WFTO</v>
          </cell>
          <cell r="P532" t="str">
            <v>/</v>
          </cell>
          <cell r="Q532" t="str">
            <v>/</v>
          </cell>
          <cell r="R532" t="str">
            <v>/</v>
          </cell>
          <cell r="S532" t="str">
            <v>/</v>
          </cell>
          <cell r="T532" t="str">
            <v>Agriculture UE/non UE</v>
          </cell>
          <cell r="U532"/>
          <cell r="V532" t="str">
            <v>Enveloppant et rond, ce thé aux arômes festifs est idéal pour accompagner la douce sensation d'euphorie des premières neiges. Une invitation à cocooner tout en laissant l'hiver s'installer, magique et mystérieux !</v>
          </cell>
          <cell r="W532" t="str">
            <v>S16</v>
          </cell>
          <cell r="X532" t="str">
            <v xml:space="preserve">Enveloppant et rond, ce thé wulong aux arômes festifs et gourmands de cacao et de framboise est à l’image de la douce sensation d'euphorie que procure la tombée des premiers flocons de neige. Une invitation à « cocooner » et à prendre le temps de savourer ! </v>
          </cell>
          <cell r="Y532"/>
          <cell r="Z532" t="str">
            <v>Ingrédients : thé wulong*, arôme naturel de framboise* 7%, extrait de vanille*, pétales de fleurs (rose*, bleuet*, souci*), écorces de cacao* 2%, cannelle*, *Issu de l'agriculture biologique.</v>
          </cell>
          <cell r="AA532" t="str">
            <v>/</v>
          </cell>
          <cell r="AB532" t="str">
            <v>Membre certifié World Fair Trade Organization, Les Jardins de Gaïa s’engagent pour un commerce plus juste et répondent aux exigences du commerce équitable. Pour en savoir plus : www.wfto.com.</v>
          </cell>
          <cell r="AC532">
            <v>70</v>
          </cell>
          <cell r="AD532" t="str">
            <v>3-4</v>
          </cell>
          <cell r="AE532">
            <v>95</v>
          </cell>
          <cell r="AF532">
            <v>2</v>
          </cell>
          <cell r="AG532">
            <v>35</v>
          </cell>
          <cell r="AH532">
            <v>3582810790120</v>
          </cell>
          <cell r="AI532" t="str">
            <v>/</v>
          </cell>
          <cell r="AJ532" t="str">
            <v>ETOA901V5N</v>
          </cell>
          <cell r="AK532" t="str">
            <v>ETOA901V5N</v>
          </cell>
          <cell r="AL532" t="str">
            <v>ETCOA9012V5N</v>
          </cell>
          <cell r="AM532" t="str">
            <v>Création maison</v>
          </cell>
        </row>
        <row r="533">
          <cell r="A533" t="str">
            <v>TH0661</v>
          </cell>
          <cell r="B533"/>
          <cell r="C533"/>
          <cell r="D533"/>
          <cell r="E533"/>
          <cell r="F533"/>
          <cell r="G533"/>
          <cell r="H533" t="str">
            <v>LES BIENFAITRICES</v>
          </cell>
          <cell r="I533" t="str">
            <v>LES INFUSIONS DE PLANTES</v>
          </cell>
          <cell r="J533" t="str">
            <v>Prends ton temps</v>
          </cell>
          <cell r="K533" t="str">
            <v>Apaisante
Verveine - Mélisse - Lavande</v>
          </cell>
          <cell r="L533" t="str">
            <v>Infusion de plantes</v>
          </cell>
          <cell r="M533" t="str">
            <v>/</v>
          </cell>
          <cell r="N533" t="str">
            <v>AB</v>
          </cell>
          <cell r="O533" t="str">
            <v>/</v>
          </cell>
          <cell r="P533" t="str">
            <v>/</v>
          </cell>
          <cell r="Q533" t="str">
            <v>/</v>
          </cell>
          <cell r="R533" t="str">
            <v>/</v>
          </cell>
          <cell r="S533" t="str">
            <v>/</v>
          </cell>
          <cell r="T533" t="str">
            <v>Agriculture UE/non UE</v>
          </cell>
          <cell r="U533"/>
          <cell r="V533" t="str">
            <v>Oubliez tous vos rendez-vous urgents et prenez votre temps autour d’une théière avec cette recette savoureuse, relaxante qui favorise un sommeil de qualité. Son infusion souple et texturée met en valeur le mariage de la douce verveine et des notes pétillantes de la citronnelle. Une tisane à la fois lumineuse et réconfortante qui donne envie de multiplier les rendez-vous plaisirs avec soi-même ou entre amis.</v>
          </cell>
          <cell r="W533" t="str">
            <v>S11</v>
          </cell>
          <cell r="X533" t="str">
            <v>Prenez une pause savoureuse avec cette tisane apaisante qui favorise un sommeil de qualité. Son infusion souple et texturée met en valeur la douceur épicée de la verveine et les notes pétillantes de la citronnelle. Une recette lumineuse et réconfortante qui donne envie de prendre son temps.</v>
          </cell>
          <cell r="Y533"/>
          <cell r="Z533" t="str">
            <v>Ingrédients : verveine* 38% (Aloysia triphylla), lemongrass* (Cymbopogon citratus), mélisse* 16% (Melissa officinalis L.), camomille (Matricaria chamomilla), lavande* 6% (Lavandula angustifolia). *Issu de l'agriculture biologique.</v>
          </cell>
          <cell r="AA533"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533" t="str">
            <v>/</v>
          </cell>
          <cell r="AC533">
            <v>400</v>
          </cell>
          <cell r="AD533" t="str">
            <v>5-10</v>
          </cell>
          <cell r="AE533">
            <v>95</v>
          </cell>
          <cell r="AF533">
            <v>2</v>
          </cell>
          <cell r="AG533">
            <v>200</v>
          </cell>
          <cell r="AH533">
            <v>3582811006619</v>
          </cell>
          <cell r="AI533" t="str">
            <v>/</v>
          </cell>
          <cell r="AJ533" t="str">
            <v>INTERNE</v>
          </cell>
          <cell r="AK533" t="str">
            <v>INTERNE</v>
          </cell>
          <cell r="AL533" t="str">
            <v>/</v>
          </cell>
          <cell r="AM533" t="str">
            <v>?</v>
          </cell>
        </row>
        <row r="534">
          <cell r="A534" t="str">
            <v>TH0666</v>
          </cell>
          <cell r="B534"/>
          <cell r="C534" t="str">
            <v>X</v>
          </cell>
          <cell r="D534" t="str">
            <v>X</v>
          </cell>
          <cell r="E534"/>
          <cell r="F534" t="str">
            <v>GRAI</v>
          </cell>
          <cell r="G534">
            <v>45408</v>
          </cell>
          <cell r="H534" t="str">
            <v>LES BIENFAITRICES</v>
          </cell>
          <cell r="I534" t="str">
            <v>LES INFUSIONS DE PLANTES</v>
          </cell>
          <cell r="J534" t="str">
            <v>Prends ton temps</v>
          </cell>
          <cell r="K534" t="str">
            <v>Apaisante
Verveine - Mélisse - Lavande</v>
          </cell>
          <cell r="L534" t="str">
            <v>Infusion de plantes</v>
          </cell>
          <cell r="M534" t="str">
            <v>/</v>
          </cell>
          <cell r="N534" t="str">
            <v>AB</v>
          </cell>
          <cell r="O534" t="str">
            <v>/</v>
          </cell>
          <cell r="P534" t="str">
            <v>/</v>
          </cell>
          <cell r="Q534" t="str">
            <v>/</v>
          </cell>
          <cell r="R534" t="str">
            <v>/</v>
          </cell>
          <cell r="S534" t="str">
            <v>/</v>
          </cell>
          <cell r="T534" t="str">
            <v>Agriculture UE/non UE</v>
          </cell>
          <cell r="U534"/>
          <cell r="V534" t="str">
            <v>Oubliez tous vos rendez-vous urgents et prenez votre temps autour d’une théière avec cette recette savoureuse, relaxante qui favorise un sommeil de qualité. Son infusion souple et texturée met en valeur le mariage de la douce verveine et des notes pétillantes de la citronnelle. Une tisane à la fois lumineuse et réconfortante qui donne envie de multiplier les rendez-vous plaisirs avec soi-même ou entre amis.</v>
          </cell>
          <cell r="W534" t="str">
            <v>S11</v>
          </cell>
          <cell r="X534" t="str">
            <v>Prenez une pause savoureuse avec cette tisane apaisante qui favorise un sommeil de qualité. Son infusion souple et texturée met en valeur la douceur épicée de la verveine et les notes pétillantes de la citronnelle. Une recette lumineuse et réconfortante qui donne envie de prendre son temps.</v>
          </cell>
          <cell r="Y534"/>
          <cell r="Z534" t="str">
            <v>Ingrédients : verveine* 38% (Aloysia triphylla), lemongrass* (Cymbopogon citratus), mélisse* 16% (Melissa officinalis L.), camomille (Matricaria chamomilla), lavande* 6% (Lavandula angustifolia). *Issu de l'agriculture biologique.</v>
          </cell>
          <cell r="AA534"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534" t="str">
            <v>/</v>
          </cell>
          <cell r="AC534">
            <v>40</v>
          </cell>
          <cell r="AD534" t="str">
            <v>5-10</v>
          </cell>
          <cell r="AE534">
            <v>95</v>
          </cell>
          <cell r="AF534">
            <v>2</v>
          </cell>
          <cell r="AG534">
            <v>20</v>
          </cell>
          <cell r="AH534">
            <v>3582811006664</v>
          </cell>
          <cell r="AI534" t="str">
            <v>/</v>
          </cell>
          <cell r="AJ534" t="str">
            <v>ETHN0650V5</v>
          </cell>
          <cell r="AK534" t="str">
            <v>ETHN0650V5</v>
          </cell>
          <cell r="AL534" t="str">
            <v>/</v>
          </cell>
          <cell r="AM534" t="str">
            <v>?</v>
          </cell>
        </row>
        <row r="535">
          <cell r="A535" t="str">
            <v>TA6951</v>
          </cell>
          <cell r="B535"/>
          <cell r="C535"/>
          <cell r="D535"/>
          <cell r="E535"/>
          <cell r="F535"/>
          <cell r="G535"/>
          <cell r="H535" t="str">
            <v>LES GRANDS CLASSIQUES</v>
          </cell>
          <cell r="I535"/>
          <cell r="J535" t="str">
            <v>Printemps à Kyoto</v>
          </cell>
          <cell r="K535" t="str">
            <v>Saveurs cerise - vanille</v>
          </cell>
          <cell r="L535" t="str">
            <v>Thé vert aromatisé</v>
          </cell>
          <cell r="M535" t="str">
            <v>Chine</v>
          </cell>
          <cell r="N535" t="str">
            <v>AB</v>
          </cell>
          <cell r="O535" t="str">
            <v>WFTO</v>
          </cell>
          <cell r="P535" t="str">
            <v>/</v>
          </cell>
          <cell r="Q535" t="str">
            <v>/</v>
          </cell>
          <cell r="R535" t="str">
            <v>/</v>
          </cell>
          <cell r="S535" t="str">
            <v>/</v>
          </cell>
          <cell r="T535" t="str">
            <v>Agriculture UE/non UE</v>
          </cell>
          <cell r="U535"/>
          <cell r="V535" t="str">
            <v>Inspirée de la fleur éphémère du cerisier japonais, cette délicate composition fruitée et onctueuse mêlée à la fraîcheur du thé vert est un ravissement pour les amateurs de finesse. Pour les moments poétiques.</v>
          </cell>
          <cell r="W535"/>
          <cell r="X535" t="str">
            <v>Inspirée par la magie d’un printemps à Kyoto, cette recette à base de thé vert mêle les saveurs délicates de la cerise aux notes suaves et douces de vanille. Un véritable enchantement pour le palais qui évoque une balade au milieu des cerisiers en fleurs !</v>
          </cell>
          <cell r="Y535"/>
          <cell r="Z535" t="str">
            <v xml:space="preserve">Ingrédients : thé vert*, arôme naturel de cerise* 5%, extrait de vanille* 2%, pétales de souci*, amarante*. * Issu de l'agriculture biologique. </v>
          </cell>
          <cell r="AA535" t="str">
            <v>/</v>
          </cell>
          <cell r="AB535" t="str">
            <v>Membre certifié World Fair Trade Organization, Les Jardins de Gaïa s’engagent pour un commerce plus juste et répondent aux exigences du commerce équitable. Pour en savoir plus : www.wfto.com.</v>
          </cell>
          <cell r="AC535">
            <v>1.5</v>
          </cell>
          <cell r="AD535" t="str">
            <v>3</v>
          </cell>
          <cell r="AE535">
            <v>75</v>
          </cell>
          <cell r="AF535">
            <v>2</v>
          </cell>
          <cell r="AG535">
            <v>750</v>
          </cell>
          <cell r="AH535">
            <v>3582810869512</v>
          </cell>
          <cell r="AI535" t="str">
            <v>/</v>
          </cell>
          <cell r="AJ535" t="str">
            <v>INTERNE</v>
          </cell>
          <cell r="AK535" t="str">
            <v>INTERNE</v>
          </cell>
          <cell r="AL535" t="str">
            <v>/</v>
          </cell>
          <cell r="AM535" t="str">
            <v>Création maison</v>
          </cell>
        </row>
        <row r="536">
          <cell r="A536" t="str">
            <v>TA6952</v>
          </cell>
          <cell r="B536"/>
          <cell r="C536" t="str">
            <v>X</v>
          </cell>
          <cell r="D536" t="str">
            <v>x</v>
          </cell>
          <cell r="E536" t="str">
            <v>x</v>
          </cell>
          <cell r="F536" t="str">
            <v>GRAI</v>
          </cell>
          <cell r="G536">
            <v>45383</v>
          </cell>
          <cell r="H536" t="str">
            <v>LES GRANDS CLASSIQUES</v>
          </cell>
          <cell r="I536"/>
          <cell r="J536" t="str">
            <v>Printemps à Kyoto</v>
          </cell>
          <cell r="K536" t="str">
            <v>Saveurs cerise - vanille</v>
          </cell>
          <cell r="L536" t="str">
            <v>Thé vert aromatisé</v>
          </cell>
          <cell r="M536" t="str">
            <v>Chine</v>
          </cell>
          <cell r="N536" t="str">
            <v>AB</v>
          </cell>
          <cell r="O536" t="str">
            <v>WFTO</v>
          </cell>
          <cell r="P536" t="str">
            <v>/</v>
          </cell>
          <cell r="Q536" t="str">
            <v>/</v>
          </cell>
          <cell r="R536" t="str">
            <v>/</v>
          </cell>
          <cell r="S536" t="str">
            <v>/</v>
          </cell>
          <cell r="T536" t="str">
            <v>Agriculture UE/non UE</v>
          </cell>
          <cell r="U536"/>
          <cell r="V536" t="str">
            <v>Inspirée de la fleur éphémère du cerisier japonais, cette délicate composition fruitée et onctueuse mêlée à la fraîcheur du thé vert est un ravissement pour les amateurs de finesse. Pour les moments poétiques.</v>
          </cell>
          <cell r="W536"/>
          <cell r="X536" t="str">
            <v>Inspirée par la magie d’un printemps à Kyoto, cette recette à base de thé vert mêle les saveurs délicates de la cerise aux notes suaves et douces de vanille. Un véritable enchantement pour le palais qui évoque une balade au milieu des cerisiers en fleurs !</v>
          </cell>
          <cell r="Y536"/>
          <cell r="Z536" t="str">
            <v xml:space="preserve">Ingrédients : thé vert*, arôme naturel de cerise* 5%, extrait de vanille* 2%, pétales de souci*, amarante*. * Issu de l'agriculture biologique. </v>
          </cell>
          <cell r="AA536" t="str">
            <v>/</v>
          </cell>
          <cell r="AB536" t="str">
            <v>Membre certifié World Fair Trade Organization, Les Jardins de Gaïa s’engagent pour un commerce plus juste et répondent aux exigences du commerce équitable. Pour en savoir plus : www.wfto.com.</v>
          </cell>
          <cell r="AC536">
            <v>100</v>
          </cell>
          <cell r="AD536" t="str">
            <v>3</v>
          </cell>
          <cell r="AE536">
            <v>75</v>
          </cell>
          <cell r="AF536">
            <v>2</v>
          </cell>
          <cell r="AG536">
            <v>50</v>
          </cell>
          <cell r="AH536">
            <v>3582810869529</v>
          </cell>
          <cell r="AI536" t="str">
            <v>/</v>
          </cell>
          <cell r="AJ536" t="str">
            <v>ETVA695V5</v>
          </cell>
          <cell r="AK536" t="str">
            <v>ETVA695V5</v>
          </cell>
          <cell r="AL536" t="str">
            <v>ETCVA6952V5</v>
          </cell>
          <cell r="AM536" t="str">
            <v>Création maison</v>
          </cell>
        </row>
        <row r="537">
          <cell r="A537" t="str">
            <v>TM7861</v>
          </cell>
          <cell r="B537"/>
          <cell r="C537"/>
          <cell r="D537"/>
          <cell r="E537"/>
          <cell r="F537"/>
          <cell r="G537"/>
          <cell r="H537" t="str">
            <v>LES GRANDS CLASSIQUES</v>
          </cell>
          <cell r="I537"/>
          <cell r="J537" t="str">
            <v>P'tit Déj</v>
          </cell>
          <cell r="K537" t="str">
            <v>TGFOP</v>
          </cell>
          <cell r="L537" t="str">
            <v>Thé noir</v>
          </cell>
          <cell r="M537" t="str">
            <v xml:space="preserve">Inde </v>
          </cell>
          <cell r="N537" t="str">
            <v>AB</v>
          </cell>
          <cell r="O537" t="str">
            <v>WFTO</v>
          </cell>
          <cell r="P537" t="str">
            <v>/</v>
          </cell>
          <cell r="Q537" t="str">
            <v>/</v>
          </cell>
          <cell r="R537" t="str">
            <v>/</v>
          </cell>
          <cell r="S537" t="str">
            <v>/</v>
          </cell>
          <cell r="T537" t="str">
            <v>Agriculture Inde</v>
          </cell>
          <cell r="U537"/>
          <cell r="V537" t="str">
            <v>Idéal pour bien débuter la journée, ce mélange délicieux et tonique se compose de très belles feuilles aux pointes dorées. Belle tasse cuivrée, corsée et aromatique, au goût rond et légèrement épicé. Exquis avec une pointe de crème ou de lait.</v>
          </cell>
          <cell r="W537"/>
          <cell r="X537" t="str">
            <v>Idéal pour bien débuter la journée, ce mariage de différents thés noirs indiens se compose de feuilles finement ourlées aux quelques pointes dorées. Il délivre une liqueur cuivrée et corsée particulièrement aromatique et légèrement épicée qui accepte volontiers une pointe de crème ou de lait.</v>
          </cell>
          <cell r="Y537"/>
          <cell r="Z537" t="str">
            <v>Ingrédient : thé noir*. *Issu de l'agriculture biologique.</v>
          </cell>
          <cell r="AA537" t="str">
            <v>/</v>
          </cell>
          <cell r="AB537" t="str">
            <v>Membre certifié World Fair Trade Organization, Les Jardins de Gaïa s’engagent pour un commerce plus juste et répondent aux exigences du commerce équitable. Pour en savoir plus : www.wfto.com.</v>
          </cell>
          <cell r="AC537">
            <v>1.5</v>
          </cell>
          <cell r="AD537" t="str">
            <v>3</v>
          </cell>
          <cell r="AE537">
            <v>95</v>
          </cell>
          <cell r="AF537">
            <v>2</v>
          </cell>
          <cell r="AG537">
            <v>750</v>
          </cell>
          <cell r="AH537">
            <v>3582810578612</v>
          </cell>
          <cell r="AI537" t="str">
            <v>/</v>
          </cell>
          <cell r="AJ537" t="str">
            <v>INTERNE</v>
          </cell>
          <cell r="AK537" t="str">
            <v>INTERNE</v>
          </cell>
          <cell r="AL537" t="str">
            <v>/</v>
          </cell>
          <cell r="AM537" t="str">
            <v>Création maison</v>
          </cell>
        </row>
        <row r="538">
          <cell r="A538" t="str">
            <v>TM7862</v>
          </cell>
          <cell r="B538"/>
          <cell r="C538" t="str">
            <v>X</v>
          </cell>
          <cell r="D538" t="str">
            <v>x</v>
          </cell>
          <cell r="E538" t="str">
            <v>x</v>
          </cell>
          <cell r="F538" t="str">
            <v>GRAI</v>
          </cell>
          <cell r="G538">
            <v>45383</v>
          </cell>
          <cell r="H538" t="str">
            <v>LES GRANDS CLASSIQUES</v>
          </cell>
          <cell r="I538"/>
          <cell r="J538" t="str">
            <v>P'tit Déj</v>
          </cell>
          <cell r="K538" t="str">
            <v>TGFOP</v>
          </cell>
          <cell r="L538" t="str">
            <v>Thé noir</v>
          </cell>
          <cell r="M538" t="str">
            <v>Inde</v>
          </cell>
          <cell r="N538" t="str">
            <v>AB</v>
          </cell>
          <cell r="O538" t="str">
            <v>WFTO</v>
          </cell>
          <cell r="P538" t="str">
            <v>/</v>
          </cell>
          <cell r="Q538" t="str">
            <v>/</v>
          </cell>
          <cell r="R538" t="str">
            <v>/</v>
          </cell>
          <cell r="S538" t="str">
            <v>/</v>
          </cell>
          <cell r="T538" t="str">
            <v>Agriculture Inde</v>
          </cell>
          <cell r="U538"/>
          <cell r="V538" t="str">
            <v>Idéal pour bien débuter la journée, ce mélange délicieux et tonique se compose de très belles feuilles aux pointes dorées. Belle tasse cuivrée, corsée et aromatique, au goût rond et légèrement épicé. Exquis avec une pointe de crème ou de lait.</v>
          </cell>
          <cell r="W538"/>
          <cell r="X538" t="str">
            <v>Idéal pour bien débuter la journée, ce mariage de différents thés noirs indiens se compose de feuilles finement ourlées aux quelques pointes dorées. Il délivre une liqueur cuivrée et corsée particulièrement aromatique et légèrement épicée qui accepte volontiers une pointe de crème ou de lait.</v>
          </cell>
          <cell r="Y538"/>
          <cell r="Z538" t="str">
            <v>Ingrédient : thé noir*. *Issu de l'agriculture biologique.</v>
          </cell>
          <cell r="AA538" t="str">
            <v>/</v>
          </cell>
          <cell r="AB538" t="str">
            <v>Membre certifié World Fair Trade Organization, Les Jardins de Gaïa s’engagent pour un commerce plus juste et répondent aux exigences du commerce équitable. Pour en savoir plus : www.wfto.com.</v>
          </cell>
          <cell r="AC538">
            <v>100</v>
          </cell>
          <cell r="AD538" t="str">
            <v>3</v>
          </cell>
          <cell r="AE538">
            <v>95</v>
          </cell>
          <cell r="AF538">
            <v>2</v>
          </cell>
          <cell r="AG538">
            <v>50</v>
          </cell>
          <cell r="AH538">
            <v>3582810578629</v>
          </cell>
          <cell r="AI538" t="str">
            <v>/</v>
          </cell>
          <cell r="AJ538" t="str">
            <v>ETNM786</v>
          </cell>
          <cell r="AK538" t="str">
            <v>ETNM786V5</v>
          </cell>
          <cell r="AL538" t="str">
            <v>ETCNM7862V5</v>
          </cell>
          <cell r="AM538" t="str">
            <v xml:space="preserve">Blend of Seeyok, Singell and Selimbong </v>
          </cell>
        </row>
        <row r="539">
          <cell r="A539" t="str">
            <v>TN4001</v>
          </cell>
          <cell r="B539"/>
          <cell r="C539"/>
          <cell r="D539"/>
          <cell r="E539"/>
          <cell r="F539"/>
          <cell r="G539"/>
          <cell r="H539" t="str">
            <v>LES GRANDS CLASSIQUES</v>
          </cell>
          <cell r="I539"/>
          <cell r="J539" t="str">
            <v>Pu'er</v>
          </cell>
          <cell r="K539" t="str">
            <v>/</v>
          </cell>
          <cell r="L539" t="str">
            <v>Thé sombre d'origine</v>
          </cell>
          <cell r="M539" t="str">
            <v>Chine - Yunnan</v>
          </cell>
          <cell r="N539" t="str">
            <v>AB</v>
          </cell>
          <cell r="O539" t="str">
            <v>WFTO</v>
          </cell>
          <cell r="P539" t="str">
            <v>/</v>
          </cell>
          <cell r="Q539" t="str">
            <v>WT</v>
          </cell>
          <cell r="R539" t="str">
            <v>/</v>
          </cell>
          <cell r="S539" t="str">
            <v>/</v>
          </cell>
          <cell r="T539" t="str">
            <v>Agriculture Chine</v>
          </cell>
          <cell r="U539"/>
          <cell r="V539" t="str">
            <v>Issu de théiers originels de la province du Yunnan, ce thé au goût singulier est fort apprécié des poètes chinois. Le pu'er libère une infusion d’un rouge orangé à la saveur douce, légèrement sucrée, caractérisée par un parfum de terre humide. Reconnu pour sa faible teneur en théine et ses qualités bienfaisantes, il se savoure tout au long de la journée.</v>
          </cell>
          <cell r="W539"/>
          <cell r="X539" t="str">
            <v>Issu de feuilles fermentées de théiers anciens de la province du Yunnan, ce thé pu’er libère une infusion souple à la saveur douce et légèrement sucrée, caractérisée par des notes typiques de mousse et de sous-bois. Faiblement théiné, il vous accompagnera tout au long de la journée.</v>
          </cell>
          <cell r="Y539"/>
          <cell r="Z539" t="str">
            <v xml:space="preserve">Ingrédient : thé sombre pu'er*. *Issu de l'agriculture biologique. </v>
          </cell>
          <cell r="AA539" t="str">
            <v>/</v>
          </cell>
          <cell r="AB539" t="str">
            <v>Membre certifié World Fair Trade Organization, Les Jardins de Gaïa s’engagent pour un commerce plus juste et répondent aux exigences du commerce équitable. Pour en savoir plus : www.wfto.com.</v>
          </cell>
          <cell r="AC539">
            <v>1.5</v>
          </cell>
          <cell r="AD539" t="str">
            <v>2-3</v>
          </cell>
          <cell r="AE539">
            <v>95</v>
          </cell>
          <cell r="AF539">
            <v>2</v>
          </cell>
          <cell r="AG539">
            <v>750</v>
          </cell>
          <cell r="AH539">
            <v>3582810240014</v>
          </cell>
          <cell r="AI539" t="str">
            <v>/</v>
          </cell>
          <cell r="AJ539" t="str">
            <v>INTERNE</v>
          </cell>
          <cell r="AK539" t="str">
            <v>INTERNE</v>
          </cell>
          <cell r="AL539" t="str">
            <v>/</v>
          </cell>
          <cell r="AM539" t="str">
            <v>Cangyuan Yisheng Organic Tea Specialized Cooperative</v>
          </cell>
        </row>
        <row r="540">
          <cell r="A540" t="str">
            <v>TN4002</v>
          </cell>
          <cell r="B540"/>
          <cell r="C540" t="str">
            <v>X</v>
          </cell>
          <cell r="D540" t="str">
            <v>x</v>
          </cell>
          <cell r="E540" t="str">
            <v>x</v>
          </cell>
          <cell r="F540" t="str">
            <v>GRAI</v>
          </cell>
          <cell r="G540">
            <v>45383</v>
          </cell>
          <cell r="H540" t="str">
            <v>LES GRANDS CLASSIQUES</v>
          </cell>
          <cell r="I540"/>
          <cell r="J540" t="str">
            <v>Pu'er</v>
          </cell>
          <cell r="K540" t="str">
            <v>/</v>
          </cell>
          <cell r="L540" t="str">
            <v>Thé sombre d'origine</v>
          </cell>
          <cell r="M540" t="str">
            <v>Chine - Yunnan</v>
          </cell>
          <cell r="N540" t="str">
            <v>AB</v>
          </cell>
          <cell r="O540" t="str">
            <v>WFTO</v>
          </cell>
          <cell r="P540" t="str">
            <v>/</v>
          </cell>
          <cell r="Q540" t="str">
            <v>WT</v>
          </cell>
          <cell r="R540" t="str">
            <v>/</v>
          </cell>
          <cell r="S540" t="str">
            <v>/</v>
          </cell>
          <cell r="T540" t="str">
            <v>Agriculture Chine</v>
          </cell>
          <cell r="U540"/>
          <cell r="V540" t="str">
            <v>Issu de théiers originels de la province du Yunnan, ce thé au goût singulier est fort apprécié des poètes chinois. Le pu'er libère une infusion d’un rouge orangé à la saveur douce, légèrement sucrée, caractérisée par un parfum de terre humide. Reconnu pour sa faible teneur en théine et ses qualités bienfaisantes, il se savoure tout au long de la journée.</v>
          </cell>
          <cell r="W540"/>
          <cell r="X540" t="str">
            <v>Issu de feuilles fermentées de théiers anciens de la province du Yunnan, ce thé pu’er libère une infusion souple à la saveur douce et légèrement sucrée, caractérisée par des notes typiques de mousse et de sous-bois. Faiblement théiné, il vous accompagnera tout au long de la journée.</v>
          </cell>
          <cell r="Y540"/>
          <cell r="Z540" t="str">
            <v xml:space="preserve">Ingrédient : thé sombre pu'er*. *Issu de l'agriculture biologique. </v>
          </cell>
          <cell r="AA540" t="str">
            <v>/</v>
          </cell>
          <cell r="AB540" t="str">
            <v>Membre certifié World Fair Trade Organization, Les Jardins de Gaïa s’engagent pour un commerce plus juste et répondent aux exigences du commerce équitable. Pour en savoir plus : www.wfto.com.</v>
          </cell>
          <cell r="AC540">
            <v>100</v>
          </cell>
          <cell r="AD540" t="str">
            <v>2-3</v>
          </cell>
          <cell r="AE540">
            <v>95</v>
          </cell>
          <cell r="AF540">
            <v>2</v>
          </cell>
          <cell r="AG540">
            <v>50</v>
          </cell>
          <cell r="AH540">
            <v>3582810240021</v>
          </cell>
          <cell r="AI540" t="str">
            <v>/</v>
          </cell>
          <cell r="AJ540" t="str">
            <v>ETNN400</v>
          </cell>
          <cell r="AK540" t="str">
            <v>ETNN400V5</v>
          </cell>
          <cell r="AL540" t="str">
            <v>ETCNN4002V5</v>
          </cell>
          <cell r="AM540" t="str">
            <v>Cangyuan Yisheng Organic Tea Specialized Cooperative</v>
          </cell>
        </row>
        <row r="541">
          <cell r="A541" t="str">
            <v>TN4107</v>
          </cell>
          <cell r="B541"/>
          <cell r="C541"/>
          <cell r="D541"/>
          <cell r="E541"/>
          <cell r="F541"/>
          <cell r="G541"/>
          <cell r="H541" t="str">
            <v>LES GRANDS CLASSIQUES</v>
          </cell>
          <cell r="I541"/>
          <cell r="J541" t="str">
            <v>Pu'er Grade 1</v>
          </cell>
          <cell r="K541" t="str">
            <v>/</v>
          </cell>
          <cell r="L541" t="str">
            <v>Thé sombre d'origine</v>
          </cell>
          <cell r="M541" t="str">
            <v>Chine - Yunnan</v>
          </cell>
          <cell r="N541" t="str">
            <v>AB</v>
          </cell>
          <cell r="O541" t="str">
            <v>WFTO</v>
          </cell>
          <cell r="P541" t="str">
            <v>/</v>
          </cell>
          <cell r="Q541" t="str">
            <v>WT</v>
          </cell>
          <cell r="R541" t="str">
            <v>/</v>
          </cell>
          <cell r="S541" t="str">
            <v>/</v>
          </cell>
          <cell r="T541" t="str">
            <v>Agriculture Chine</v>
          </cell>
          <cell r="U541"/>
          <cell r="V541" t="str">
            <v>Issu de théiers anciens, ce pu'er dont l'infusion d’un rouge orangé se caractérise par des notes de sous-bois réglissées, à la saveur onctueuse, imprègne le palais avec délice. Apprécié pour ses arômes généreux ce thé est également consommé pour ses qualités bienfaisantes et sa faible teneur en théine.</v>
          </cell>
          <cell r="W541" t="str">
            <v>S16</v>
          </cell>
          <cell r="X541" t="str">
            <v>Fruit d’une cueillette manuelle sur des théiers anciens, ce thé pu'er se caractérise par des notes de sous-bois réglissées et une liqueur onctueuse qui imprègne longuement le palais. En Chine, il est apprécié pour ses arômes généreux, ses qualités bienfaisantes et sa faible teneur en théine.</v>
          </cell>
          <cell r="Y541"/>
          <cell r="Z541" t="str">
            <v xml:space="preserve">Ingrédient : thé sombre pu'er*. *Issu de l'agriculture biologique. </v>
          </cell>
          <cell r="AA541" t="str">
            <v>/</v>
          </cell>
          <cell r="AB541" t="str">
            <v>Membre certifié World Fair Trade Organization, Les Jardins de Gaïa s’engagent pour un commerce plus juste et répondent aux exigences du commerce équitable. Pour en savoir plus : www.wfto.com.</v>
          </cell>
          <cell r="AC541">
            <v>1</v>
          </cell>
          <cell r="AD541" t="str">
            <v>3-4</v>
          </cell>
          <cell r="AE541">
            <v>95</v>
          </cell>
          <cell r="AF541">
            <v>2</v>
          </cell>
          <cell r="AG541">
            <v>500</v>
          </cell>
          <cell r="AH541">
            <v>3582810241073</v>
          </cell>
          <cell r="AI541" t="str">
            <v>Plusieurs infusions</v>
          </cell>
          <cell r="AJ541" t="str">
            <v>INTERNE</v>
          </cell>
          <cell r="AK541" t="str">
            <v>INTERNE</v>
          </cell>
          <cell r="AL541" t="str">
            <v>/</v>
          </cell>
          <cell r="AM541" t="str">
            <v>Cangyuan Yisheng Organic Tea Specialized Cooperative</v>
          </cell>
        </row>
        <row r="542">
          <cell r="A542" t="str">
            <v>TN4102</v>
          </cell>
          <cell r="B542"/>
          <cell r="C542" t="str">
            <v>X</v>
          </cell>
          <cell r="D542" t="str">
            <v>X</v>
          </cell>
          <cell r="E542" t="str">
            <v>X</v>
          </cell>
          <cell r="F542" t="str">
            <v>BRODART</v>
          </cell>
          <cell r="G542"/>
          <cell r="H542" t="str">
            <v>LES GRANDS CLASSIQUES</v>
          </cell>
          <cell r="I542"/>
          <cell r="J542" t="str">
            <v>Pu'er Grade 1</v>
          </cell>
          <cell r="K542" t="str">
            <v>/</v>
          </cell>
          <cell r="L542" t="str">
            <v>Thé sombre d'origine</v>
          </cell>
          <cell r="M542" t="str">
            <v>Chine - Yunnan</v>
          </cell>
          <cell r="N542" t="str">
            <v>AB</v>
          </cell>
          <cell r="O542" t="str">
            <v>WFTO</v>
          </cell>
          <cell r="P542" t="str">
            <v>/</v>
          </cell>
          <cell r="Q542" t="str">
            <v>WT</v>
          </cell>
          <cell r="R542" t="str">
            <v>/</v>
          </cell>
          <cell r="S542" t="str">
            <v>/</v>
          </cell>
          <cell r="T542" t="str">
            <v>Agriculture Chine</v>
          </cell>
          <cell r="U542"/>
          <cell r="V542" t="str">
            <v>Issu de théiers anciens, ce pu'er dont l'infusion d’un rouge orangé se caractérise par des notes de sous-bois réglissées, à la saveur onctueuse, imprègne le palais avec délice. Apprécié pour ses arômes généreux ce thé est également consommé pour ses qualités bienfaisantes et sa faible teneur en théine.</v>
          </cell>
          <cell r="W542" t="str">
            <v>S16</v>
          </cell>
          <cell r="X542" t="str">
            <v>Fruit d’une cueillette manuelle sur des théiers anciens, ce thé pu'er se caractérise par des notes de sous-bois réglissées et une liqueur onctueuse qui imprègne longuement le palais. En Chine, il est apprécié pour ses arômes généreux, ses qualités bienfaisantes et sa faible teneur en théine.</v>
          </cell>
          <cell r="Y542"/>
          <cell r="Z542" t="str">
            <v xml:space="preserve">Ingrédient : thé sombre pu'er*. *Issu de l'agriculture biologique. </v>
          </cell>
          <cell r="AA542" t="str">
            <v>/</v>
          </cell>
          <cell r="AB542" t="str">
            <v>Membre certifié World Fair Trade Organization, Les Jardins de Gaïa s’engagent pour un commerce plus juste et répondent aux exigences du commerce équitable. Pour en savoir plus : www.wfto.com.</v>
          </cell>
          <cell r="AC542">
            <v>100</v>
          </cell>
          <cell r="AD542" t="str">
            <v>3-4</v>
          </cell>
          <cell r="AE542">
            <v>95</v>
          </cell>
          <cell r="AF542">
            <v>2</v>
          </cell>
          <cell r="AG542">
            <v>50</v>
          </cell>
          <cell r="AH542">
            <v>3582810241028</v>
          </cell>
          <cell r="AI542" t="str">
            <v>Plusieurs infusions</v>
          </cell>
          <cell r="AJ542" t="str">
            <v>ETNN410V5</v>
          </cell>
          <cell r="AK542" t="str">
            <v>ETNN410V5</v>
          </cell>
          <cell r="AL542" t="str">
            <v>ETCNN4102V5</v>
          </cell>
          <cell r="AM542" t="str">
            <v>Cangyuan Yisheng Organic Tea Specialized Cooperative</v>
          </cell>
        </row>
        <row r="543">
          <cell r="A543" t="str">
            <v>TN4015</v>
          </cell>
          <cell r="B543"/>
          <cell r="C543"/>
          <cell r="D543"/>
          <cell r="E543"/>
          <cell r="F543"/>
          <cell r="G543"/>
          <cell r="H543" t="str">
            <v>LES GRAND CRUS</v>
          </cell>
          <cell r="I543"/>
          <cell r="J543" t="str">
            <v>Pu'er Maiden</v>
          </cell>
          <cell r="K543" t="str">
            <v>Pu'er Nu'er 普洱女儿</v>
          </cell>
          <cell r="L543" t="str">
            <v xml:space="preserve">Thé sombre </v>
          </cell>
          <cell r="M543" t="str">
            <v>Chine - Yunnan</v>
          </cell>
          <cell r="N543" t="str">
            <v>AB</v>
          </cell>
          <cell r="O543" t="str">
            <v>WFTO</v>
          </cell>
          <cell r="P543" t="str">
            <v>/</v>
          </cell>
          <cell r="Q543" t="str">
            <v>WT</v>
          </cell>
          <cell r="R543" t="str">
            <v>/</v>
          </cell>
          <cell r="S543" t="str">
            <v>/</v>
          </cell>
          <cell r="T543" t="str">
            <v>Agriculture Chine</v>
          </cell>
          <cell r="U543"/>
          <cell r="V543" t="str">
            <v>Pu'er exceptionnel issu de théiers anciens. Notes de fruits compotés, cuir et sous bois. Idéal en gong fu cha.</v>
          </cell>
          <cell r="W543" t="str">
            <v>S25</v>
          </cell>
          <cell r="X543" t="str">
            <v xml:space="preserve">Des légendes du Yunnan racontent que ce grade de pu’er très prisé, récolté par des jeunes filles, constituait une partie de leur dot… Issus de théiers anciens, ses feuilles et bourgeons libèrent une multitude d’arômes riches et complexes qui évoquent les fruits compotés, le cuir et les sous-bois. </v>
          </cell>
          <cell r="Y543"/>
          <cell r="Z543" t="str">
            <v xml:space="preserve">Ingrédient : thé sombre pu'er*. *Issu de l'agriculture biologique. </v>
          </cell>
          <cell r="AA543" t="str">
            <v>/</v>
          </cell>
          <cell r="AB543" t="str">
            <v>Membre certifié World Fair Trade Organization, Les Jardins de Gaïa s’engagent pour un commerce plus juste et répondent aux exigences du commerce équitable. Pour en savoir plus : www.wfto.com.</v>
          </cell>
          <cell r="AC543">
            <v>500</v>
          </cell>
          <cell r="AD543" t="str">
            <v>3-4</v>
          </cell>
          <cell r="AE543">
            <v>95</v>
          </cell>
          <cell r="AF543">
            <v>2</v>
          </cell>
          <cell r="AG543">
            <v>250</v>
          </cell>
          <cell r="AH543">
            <v>3582810240151</v>
          </cell>
          <cell r="AI543" t="str">
            <v>Plusieurs infusions</v>
          </cell>
          <cell r="AJ543" t="str">
            <v>INTERNE</v>
          </cell>
          <cell r="AK543" t="str">
            <v>INTERNE</v>
          </cell>
          <cell r="AL543" t="str">
            <v>/</v>
          </cell>
          <cell r="AM543" t="str">
            <v>Cangyuan Yisheng Organic Tea Specialized Cooperative</v>
          </cell>
        </row>
        <row r="544">
          <cell r="A544" t="str">
            <v>TN4012</v>
          </cell>
          <cell r="B544"/>
          <cell r="C544"/>
          <cell r="D544"/>
          <cell r="E544"/>
          <cell r="F544"/>
          <cell r="G544"/>
          <cell r="H544" t="str">
            <v>LES GRAND CRUS</v>
          </cell>
          <cell r="I544"/>
          <cell r="J544" t="str">
            <v>Pu'er Maiden</v>
          </cell>
          <cell r="K544" t="str">
            <v>Pu'er Nu'er 普洱女儿</v>
          </cell>
          <cell r="L544" t="str">
            <v xml:space="preserve">Thé sombre </v>
          </cell>
          <cell r="M544" t="str">
            <v>Chine - Yunnan</v>
          </cell>
          <cell r="N544" t="str">
            <v>AB</v>
          </cell>
          <cell r="O544" t="str">
            <v>WFTO</v>
          </cell>
          <cell r="P544" t="str">
            <v>/</v>
          </cell>
          <cell r="Q544" t="str">
            <v>WT</v>
          </cell>
          <cell r="R544" t="str">
            <v>/</v>
          </cell>
          <cell r="S544" t="str">
            <v>/</v>
          </cell>
          <cell r="T544" t="str">
            <v>Agriculture Chine</v>
          </cell>
          <cell r="U544"/>
          <cell r="V544" t="str">
            <v>Pu'er exceptionnel issu de théiers anciens. Notes de fruits compotés, cuir et sous bois. Idéal en gong fu cha.</v>
          </cell>
          <cell r="W544" t="str">
            <v>S25</v>
          </cell>
          <cell r="X544" t="str">
            <v xml:space="preserve">Des légendes du Yunnan racontent que ce grade de pu’er très prisé, récolté par des jeunes filles, constituait une partie de leur dot… Issus de théiers anciens, ses feuilles et bourgeons libèrent une multitude d’arômes riches et complexes qui évoquent les fruits compotés, le cuir et les sous-bois. </v>
          </cell>
          <cell r="Y544"/>
          <cell r="Z544" t="str">
            <v xml:space="preserve">Ingrédient : thé sombre pu'er*. *Issu de l'agriculture biologique. </v>
          </cell>
          <cell r="AA544" t="str">
            <v>/</v>
          </cell>
          <cell r="AB544" t="str">
            <v>Membre certifié World Fair Trade Organization, Les Jardins de Gaïa s’engagent pour un commerce plus juste et répondent aux exigences du commerce équitable. Pour en savoir plus : www.wfto.com.</v>
          </cell>
          <cell r="AC544">
            <v>100</v>
          </cell>
          <cell r="AD544" t="str">
            <v>3-4</v>
          </cell>
          <cell r="AE544">
            <v>95</v>
          </cell>
          <cell r="AF544">
            <v>2</v>
          </cell>
          <cell r="AG544">
            <v>50</v>
          </cell>
          <cell r="AH544">
            <v>3582810240120</v>
          </cell>
          <cell r="AI544" t="str">
            <v>Plusieurs infusions</v>
          </cell>
          <cell r="AJ544" t="str">
            <v>ETNN401V5</v>
          </cell>
          <cell r="AK544" t="str">
            <v>ETNN401V5</v>
          </cell>
          <cell r="AL544" t="str">
            <v>Q de tube</v>
          </cell>
          <cell r="AM544" t="str">
            <v>Cangyuan Yisheng Organic Tea Specialized Cooperative</v>
          </cell>
        </row>
        <row r="545">
          <cell r="A545" t="str">
            <v>TN1055</v>
          </cell>
          <cell r="B545"/>
          <cell r="C545"/>
          <cell r="D545"/>
          <cell r="E545"/>
          <cell r="F545"/>
          <cell r="G545"/>
          <cell r="H545" t="str">
            <v>LES GRAND CRUS</v>
          </cell>
          <cell r="I545"/>
          <cell r="J545" t="str">
            <v>Pu'er Palace</v>
          </cell>
          <cell r="K545" t="str">
            <v>Gong Ting Pu'er Cha 宮廷普洱茶</v>
          </cell>
          <cell r="L545" t="str">
            <v xml:space="preserve">Thé sombre pu'er  </v>
          </cell>
          <cell r="M545" t="str">
            <v>Chine - Yunnan</v>
          </cell>
          <cell r="N545" t="str">
            <v>AB</v>
          </cell>
          <cell r="O545" t="str">
            <v>WFTO</v>
          </cell>
          <cell r="P545" t="str">
            <v>/</v>
          </cell>
          <cell r="Q545" t="str">
            <v>WT</v>
          </cell>
          <cell r="R545" t="str">
            <v>/</v>
          </cell>
          <cell r="S545" t="str">
            <v>/</v>
          </cell>
          <cell r="T545" t="str">
            <v>Agriculture Chine</v>
          </cell>
          <cell r="U545"/>
          <cell r="V545" t="str">
            <v>Grand pu'er issu de théiers anciens. Saveurs tertiaires, notes sucrées d'écorce de bois et mousse fraîche.</v>
          </cell>
          <cell r="W545" t="str">
            <v>S25</v>
          </cell>
          <cell r="X545" t="str">
            <v>Soigneusement prélevées sur des théiers anciens du Yunnan, les belles feuilles torsadées de ce grand cru de pu’er offrent des parfums de sous-bois et d'écorces, typiques de ce type de thés. Leur infusion onctueuse, d'un rouge intense, ravira les amateurs de saveurs tertiaires et délicatement sucrées.</v>
          </cell>
          <cell r="Y545"/>
          <cell r="Z545" t="str">
            <v xml:space="preserve">Ingrédient : thé sombre pu'er*. *Issu de l'agriculture biologique. </v>
          </cell>
          <cell r="AA545" t="str">
            <v>/</v>
          </cell>
          <cell r="AB545" t="str">
            <v>Membre certifié World Fair Trade Organization, Les Jardins de Gaïa s’engagent pour un commerce plus juste et répondent aux exigences du commerce équitable. Pour en savoir plus : www.wfto.com.</v>
          </cell>
          <cell r="AC545">
            <v>500</v>
          </cell>
          <cell r="AD545" t="str">
            <v>3-4</v>
          </cell>
          <cell r="AE545">
            <v>95</v>
          </cell>
          <cell r="AF545">
            <v>2</v>
          </cell>
          <cell r="AG545">
            <v>250</v>
          </cell>
          <cell r="AH545">
            <v>3582810210550</v>
          </cell>
          <cell r="AI545" t="str">
            <v>Plusieurs infusions</v>
          </cell>
          <cell r="AJ545" t="str">
            <v>INTERNE</v>
          </cell>
          <cell r="AK545" t="str">
            <v>INTERNE</v>
          </cell>
          <cell r="AL545" t="str">
            <v>/</v>
          </cell>
          <cell r="AM545" t="str">
            <v>Cangyuan Yisheng Organic Tea Specialized Cooperative</v>
          </cell>
        </row>
        <row r="546">
          <cell r="A546" t="str">
            <v>TN1052</v>
          </cell>
          <cell r="B546"/>
          <cell r="C546"/>
          <cell r="D546"/>
          <cell r="E546"/>
          <cell r="F546"/>
          <cell r="G546"/>
          <cell r="H546" t="str">
            <v>LES GRAND CRUS</v>
          </cell>
          <cell r="I546"/>
          <cell r="J546" t="str">
            <v>Pu'er Palace</v>
          </cell>
          <cell r="K546" t="str">
            <v>Gong Ting Pu'er Cha 宮廷普洱茶</v>
          </cell>
          <cell r="L546" t="str">
            <v xml:space="preserve">Thé sombre pu'er  </v>
          </cell>
          <cell r="M546" t="str">
            <v>Chine - Yunnan</v>
          </cell>
          <cell r="N546" t="str">
            <v>AB</v>
          </cell>
          <cell r="O546" t="str">
            <v>WFTO</v>
          </cell>
          <cell r="P546" t="str">
            <v>/</v>
          </cell>
          <cell r="Q546" t="str">
            <v>WT</v>
          </cell>
          <cell r="R546" t="str">
            <v>/</v>
          </cell>
          <cell r="S546" t="str">
            <v>/</v>
          </cell>
          <cell r="T546" t="str">
            <v>Agriculture Chine</v>
          </cell>
          <cell r="U546"/>
          <cell r="V546" t="str">
            <v>Grand pu'er issu de théiers anciens. Saveurs tertiaires, notes sucrées d'écorce de bois et mousse fraîche.</v>
          </cell>
          <cell r="W546" t="str">
            <v>S25</v>
          </cell>
          <cell r="X546" t="str">
            <v>Soigneusement prélevées sur des théiers anciens du Yunnan, les belles feuilles torsadées de ce grand cru de pu’er offrent des parfums de sous-bois et d'écorces, typiques de ce type de thés. Leur infusion onctueuse, d'un rouge intense, ravira les amateurs de saveurs tertiaires et délicatement sucrées.</v>
          </cell>
          <cell r="Y546"/>
          <cell r="Z546" t="str">
            <v xml:space="preserve">Ingrédient : thé sombre pu'er*. *Issu de l'agriculture biologique. </v>
          </cell>
          <cell r="AA546" t="str">
            <v>/</v>
          </cell>
          <cell r="AB546" t="str">
            <v>Membre certifié World Fair Trade Organization, Les Jardins de Gaïa s’engagent pour un commerce plus juste et répondent aux exigences du commerce équitable. Pour en savoir plus : www.wfto.com.</v>
          </cell>
          <cell r="AC546">
            <v>100</v>
          </cell>
          <cell r="AD546" t="str">
            <v>3-4</v>
          </cell>
          <cell r="AE546">
            <v>95</v>
          </cell>
          <cell r="AF546">
            <v>2</v>
          </cell>
          <cell r="AG546">
            <v>50</v>
          </cell>
          <cell r="AH546">
            <v>3582810210529</v>
          </cell>
          <cell r="AI546" t="str">
            <v>Plusieurs infusions</v>
          </cell>
          <cell r="AJ546" t="str">
            <v>ETNN105V5</v>
          </cell>
          <cell r="AK546" t="str">
            <v>ETNN105V5</v>
          </cell>
          <cell r="AL546" t="str">
            <v>/</v>
          </cell>
          <cell r="AM546" t="str">
            <v>Cangyuan Yisheng Organic Tea Specialized Cooperative</v>
          </cell>
        </row>
        <row r="547">
          <cell r="A547" t="str">
            <v>TU0022</v>
          </cell>
          <cell r="B547"/>
          <cell r="C547"/>
          <cell r="D547"/>
          <cell r="E547"/>
          <cell r="F547"/>
          <cell r="G547"/>
          <cell r="H547" t="str">
            <v>LES GRANDS CLASSIQUES</v>
          </cell>
          <cell r="I547"/>
          <cell r="J547" t="str">
            <v>Pureté du Yunnan</v>
          </cell>
          <cell r="K547" t="str">
            <v>Tuo Cha Pu'er compressé en nid</v>
          </cell>
          <cell r="L547" t="str">
            <v>Thé vert d'origine compressé</v>
          </cell>
          <cell r="M547" t="str">
            <v>Chine - Yunnan</v>
          </cell>
          <cell r="N547" t="str">
            <v>AB</v>
          </cell>
          <cell r="O547" t="str">
            <v>WFTO</v>
          </cell>
          <cell r="P547" t="str">
            <v>/</v>
          </cell>
          <cell r="Q547" t="str">
            <v>WT</v>
          </cell>
          <cell r="R547" t="str">
            <v>/</v>
          </cell>
          <cell r="S547" t="str">
            <v>/</v>
          </cell>
          <cell r="T547" t="str">
            <v>CN-BIO-140
Agriculture Chine</v>
          </cell>
          <cell r="U547"/>
          <cell r="V547" t="str">
            <v xml:space="preserve">ALLÉGATION SANTÉ :
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 </v>
          </cell>
          <cell r="W547" t="str">
            <v>x</v>
          </cell>
          <cell r="X547" t="str">
            <v xml:space="preserve">Ce pu’er jeune compressé en forme de nid d’oiseau est issu de théiers anciens protégés poussant dans la région montagneuse de Lincang dans le Yunnan. Il se caractérise par des saveurs d’abricot mûr typiques soulignées d'un soupçon d’amertume bien maîtrisé qui donne sa profondeur à l’infusion. </v>
          </cell>
          <cell r="Y547"/>
          <cell r="Z547" t="str">
            <v xml:space="preserve">Ingrédient : thé vert pu’er*. *Issu de l'agriculture biologique. </v>
          </cell>
          <cell r="AA547" t="str">
            <v>/</v>
          </cell>
          <cell r="AB547" t="str">
            <v>Membre certifié World Fair Trade Organization, Les Jardins de Gaïa s’engagent pour un commerce plus juste et répondent aux exigences du commerce équitable. Pour en savoir plus : www.wfto.com.</v>
          </cell>
          <cell r="AC547">
            <v>100</v>
          </cell>
          <cell r="AD547" t="str">
            <v>2-3</v>
          </cell>
          <cell r="AE547">
            <v>85</v>
          </cell>
          <cell r="AF547">
            <v>2</v>
          </cell>
          <cell r="AG547">
            <v>50</v>
          </cell>
          <cell r="AH547">
            <v>3582810300220</v>
          </cell>
          <cell r="AI547" t="str">
            <v>Plusieurs infusions</v>
          </cell>
          <cell r="AJ547" t="str">
            <v>IMPRIMÉ EN CHINE CRÉATION MAISON</v>
          </cell>
          <cell r="AK547" t="str">
            <v>IMPRIMÉ EN CHINE CRÉATION MAISON</v>
          </cell>
          <cell r="AL547" t="str">
            <v>/</v>
          </cell>
          <cell r="AM547" t="str">
            <v>Mannong Tea Association</v>
          </cell>
        </row>
        <row r="548">
          <cell r="A548" t="str">
            <v>TN3131</v>
          </cell>
          <cell r="B548"/>
          <cell r="C548"/>
          <cell r="D548"/>
          <cell r="E548"/>
          <cell r="F548"/>
          <cell r="G548"/>
          <cell r="H548" t="str">
            <v>LES GRANDS CLASSIQUES</v>
          </cell>
          <cell r="I548"/>
          <cell r="J548" t="str">
            <v xml:space="preserve">Putharjhora </v>
          </cell>
          <cell r="K548" t="str">
            <v>FTGFOP1 SF</v>
          </cell>
          <cell r="L548" t="str">
            <v>Thé noir d'origine</v>
          </cell>
          <cell r="M548" t="str">
            <v>Inde - Dooars</v>
          </cell>
          <cell r="N548" t="str">
            <v>AB</v>
          </cell>
          <cell r="O548" t="str">
            <v>WFTO</v>
          </cell>
          <cell r="P548" t="str">
            <v>D</v>
          </cell>
          <cell r="Q548" t="str">
            <v>/</v>
          </cell>
          <cell r="R548" t="str">
            <v>/</v>
          </cell>
          <cell r="S548" t="str">
            <v>EF</v>
          </cell>
          <cell r="T548" t="str">
            <v>Agriculture Inde</v>
          </cell>
          <cell r="U548"/>
          <cell r="V548" t="str">
            <v>Grandes feuilles régulières qui libèrent une tasse cuivrée au parfum de noisettes grillées. Saveur fruitée pleine en bouche, soulignée par une note épicée proche des thés d’Assam. Bon thé de journée qui supporte un peu de lait.</v>
          </cell>
          <cell r="W548" t="str">
            <v>S16</v>
          </cell>
          <cell r="X548" t="str">
            <v>Les grandes feuilles régulières de ce thé noir issu d’une récolte estivale et produit en biodynamie offrent une tasse cuivrée aux saveurs fruitées soulignées par une jolie note épicée qui rappelle celle des thés d’Assam. Un thé au caractère généreux qui supporte un peu de lait.</v>
          </cell>
          <cell r="Y548"/>
          <cell r="Z548" t="str">
            <v xml:space="preserve">Ingrédient : thé noir**. **Issu de l'agriculture biologique et biodynamique. demeter est la marque des produits issus de l'agriculture biodynamique certifiée. </v>
          </cell>
          <cell r="AA548" t="str">
            <v>/</v>
          </cell>
          <cell r="AB548" t="str">
            <v>Membre certifié World Fair Trade Organization, Les Jardins de Gaïa s’engagent pour un commerce plus juste et répondent aux exigences du commerce équitable. Pour en savoir plus : www.wfto.com.</v>
          </cell>
          <cell r="AC548">
            <v>1.5</v>
          </cell>
          <cell r="AD548" t="str">
            <v>3-4</v>
          </cell>
          <cell r="AE548">
            <v>95</v>
          </cell>
          <cell r="AF548">
            <v>2</v>
          </cell>
          <cell r="AG548">
            <v>750</v>
          </cell>
          <cell r="AH548">
            <v>3582810231319</v>
          </cell>
          <cell r="AI548" t="str">
            <v>/</v>
          </cell>
          <cell r="AJ548" t="str">
            <v>INTERNE</v>
          </cell>
          <cell r="AK548" t="str">
            <v>INTERNE</v>
          </cell>
          <cell r="AL548" t="str">
            <v>/</v>
          </cell>
          <cell r="AM548" t="str">
            <v>Putharjhora Tea Estate</v>
          </cell>
        </row>
        <row r="549">
          <cell r="A549" t="str">
            <v>TN3132</v>
          </cell>
          <cell r="B549"/>
          <cell r="C549" t="str">
            <v>X</v>
          </cell>
          <cell r="D549" t="str">
            <v>X</v>
          </cell>
          <cell r="E549" t="str">
            <v>X</v>
          </cell>
          <cell r="F549" t="str">
            <v>BRODART</v>
          </cell>
          <cell r="G549"/>
          <cell r="H549" t="str">
            <v>LES GRANDS CLASSIQUES</v>
          </cell>
          <cell r="I549"/>
          <cell r="J549" t="str">
            <v xml:space="preserve">Putharjhora </v>
          </cell>
          <cell r="K549" t="str">
            <v>FTGFOP1 SF</v>
          </cell>
          <cell r="L549" t="str">
            <v>Thé noir d'origine</v>
          </cell>
          <cell r="M549" t="str">
            <v>Inde - Dooars</v>
          </cell>
          <cell r="N549" t="str">
            <v>AB</v>
          </cell>
          <cell r="O549" t="str">
            <v>WFTO</v>
          </cell>
          <cell r="P549" t="str">
            <v>D</v>
          </cell>
          <cell r="Q549" t="str">
            <v>/</v>
          </cell>
          <cell r="R549" t="str">
            <v>/</v>
          </cell>
          <cell r="S549" t="str">
            <v>EF</v>
          </cell>
          <cell r="T549" t="str">
            <v>Agriculture Inde</v>
          </cell>
          <cell r="U549"/>
          <cell r="V549" t="str">
            <v>Grandes feuilles régulières qui libèrent une tasse cuivrée au parfum de noisettes grillées. Saveur fruitée pleine en bouche, soulignée par une note épicée proche des thés d’Assam. Bon thé de journée qui supporte un peu de lait.</v>
          </cell>
          <cell r="W549" t="str">
            <v>S16</v>
          </cell>
          <cell r="X549" t="str">
            <v>Les grandes feuilles régulières de ce thé noir issu d’une récolte estivale et produit en biodynamie offrent une tasse cuivrée aux saveurs fruitées soulignées par une jolie note épicée qui rappelle celle des thés d’Assam. Un thé au caractère généreux qui supporte un peu de lait.</v>
          </cell>
          <cell r="Y549"/>
          <cell r="Z549" t="str">
            <v xml:space="preserve">Ingrédient : thé noir**. **Issu de l'agriculture biologique et biodynamique. demeter est la marque des produits issus de l'agriculture biodynamique certifiée. </v>
          </cell>
          <cell r="AA549" t="str">
            <v>/</v>
          </cell>
          <cell r="AB549" t="str">
            <v>Membre certifié World Fair Trade Organization, Les Jardins de Gaïa s’engagent pour un commerce plus juste et répondent aux exigences du commerce équitable. Pour en savoir plus : www.wfto.com.</v>
          </cell>
          <cell r="AC549">
            <v>100</v>
          </cell>
          <cell r="AD549" t="str">
            <v>3-4</v>
          </cell>
          <cell r="AE549">
            <v>95</v>
          </cell>
          <cell r="AF549">
            <v>2</v>
          </cell>
          <cell r="AG549">
            <v>50</v>
          </cell>
          <cell r="AH549">
            <v>3582810231326</v>
          </cell>
          <cell r="AI549" t="str">
            <v>/</v>
          </cell>
          <cell r="AJ549" t="str">
            <v>ETNN313</v>
          </cell>
          <cell r="AK549" t="str">
            <v>ETNN313V5</v>
          </cell>
          <cell r="AL549" t="str">
            <v>ETCNN3132V5</v>
          </cell>
          <cell r="AM549" t="str">
            <v>Putharjhora Tea Estate</v>
          </cell>
        </row>
        <row r="550">
          <cell r="A550" t="str">
            <v>TN3121</v>
          </cell>
          <cell r="B550"/>
          <cell r="C550"/>
          <cell r="D550"/>
          <cell r="E550"/>
          <cell r="F550"/>
          <cell r="G550"/>
          <cell r="H550" t="str">
            <v>LES GRANDS CLASSIQUES</v>
          </cell>
          <cell r="I550"/>
          <cell r="J550" t="str">
            <v xml:space="preserve">Putharjhora </v>
          </cell>
          <cell r="K550" t="str">
            <v>CTC BOP</v>
          </cell>
          <cell r="L550" t="str">
            <v>Thé noir d'origine</v>
          </cell>
          <cell r="M550" t="str">
            <v>Inde - Dooars</v>
          </cell>
          <cell r="N550" t="str">
            <v>AB</v>
          </cell>
          <cell r="O550" t="str">
            <v>WFTO</v>
          </cell>
          <cell r="P550" t="str">
            <v>D</v>
          </cell>
          <cell r="Q550" t="str">
            <v>/</v>
          </cell>
          <cell r="R550" t="str">
            <v>/</v>
          </cell>
          <cell r="S550" t="str">
            <v>/</v>
          </cell>
          <cell r="T550" t="str">
            <v>Agriculture Inde</v>
          </cell>
          <cell r="U550"/>
          <cell r="V550" t="str">
            <v>Ce broken fabriqué selon la méthode CTC libère une tasse foncée et parfumée d'un arôme vigoureux et épicé. Son goût rond et malté s’accommode délicieusement d’une pointe de lait ou de crème fraîche. Thé séduisant et puissant.</v>
          </cell>
          <cell r="W550" t="str">
            <v>S16</v>
          </cell>
          <cell r="X550" t="str">
            <v>Les feuilles brisées de ce thé noir de type « broken » fabriqué selon la méthode CTC offrent en un clin d’œil une tasse parfumée aux arômes vigoureux et épicés. L’infusion aux notes maltées s’accommode délicieusement d’une pointe de lait ou de crème fraîche. Un thé séduisant et puissant.</v>
          </cell>
          <cell r="Y550"/>
          <cell r="Z550" t="str">
            <v xml:space="preserve">Ingrédient : thé noir**. **Issu de l'agriculture biologique et biodynamique. demeter est la marque des produits issus de l'agriculture biodynamique certifiée. </v>
          </cell>
          <cell r="AA550" t="str">
            <v>/</v>
          </cell>
          <cell r="AB550" t="str">
            <v>Membre certifié World Fair Trade Organization, Les Jardins de Gaïa s’engagent pour un commerce plus juste et répondent aux exigences du commerce équitable. Pour en savoir plus : www.wfto.com.</v>
          </cell>
          <cell r="AC550">
            <v>1.5</v>
          </cell>
          <cell r="AD550" t="str">
            <v>3</v>
          </cell>
          <cell r="AE550">
            <v>95</v>
          </cell>
          <cell r="AF550">
            <v>2</v>
          </cell>
          <cell r="AG550">
            <v>750</v>
          </cell>
          <cell r="AH550">
            <v>3582810231210</v>
          </cell>
          <cell r="AI550" t="str">
            <v>/</v>
          </cell>
          <cell r="AJ550" t="str">
            <v>INTERNE</v>
          </cell>
          <cell r="AK550" t="str">
            <v>INTERNE</v>
          </cell>
          <cell r="AL550" t="str">
            <v>/</v>
          </cell>
          <cell r="AM550" t="str">
            <v>Putharjhora Tea Estate</v>
          </cell>
        </row>
        <row r="551">
          <cell r="A551" t="str">
            <v>TN3122</v>
          </cell>
          <cell r="B551"/>
          <cell r="C551" t="str">
            <v>X</v>
          </cell>
          <cell r="D551" t="str">
            <v>X</v>
          </cell>
          <cell r="E551" t="str">
            <v>X</v>
          </cell>
          <cell r="F551" t="str">
            <v>BRODART</v>
          </cell>
          <cell r="G551"/>
          <cell r="H551" t="str">
            <v>LES GRANDS CLASSIQUES</v>
          </cell>
          <cell r="I551"/>
          <cell r="J551" t="str">
            <v xml:space="preserve">Putharjhora </v>
          </cell>
          <cell r="K551" t="str">
            <v>CTC BOP</v>
          </cell>
          <cell r="L551" t="str">
            <v>Thé noir d'origine</v>
          </cell>
          <cell r="M551" t="str">
            <v>Inde - Dooars</v>
          </cell>
          <cell r="N551" t="str">
            <v>AB</v>
          </cell>
          <cell r="O551" t="str">
            <v>WFTO</v>
          </cell>
          <cell r="P551" t="str">
            <v>D</v>
          </cell>
          <cell r="Q551" t="str">
            <v>/</v>
          </cell>
          <cell r="R551" t="str">
            <v>/</v>
          </cell>
          <cell r="S551" t="str">
            <v>/</v>
          </cell>
          <cell r="T551" t="str">
            <v>Agriculture Inde</v>
          </cell>
          <cell r="U551"/>
          <cell r="V551" t="str">
            <v>Ce broken fabriqué selon la méthode CTC libère une tasse foncée et parfumée d'un arôme vigoureux et épicé. Son goût rond et malté s’accommode délicieusement d’une pointe de lait ou de crème fraîche. Thé séduisant et puissant.</v>
          </cell>
          <cell r="W551" t="str">
            <v>S16</v>
          </cell>
          <cell r="X551" t="str">
            <v>Les feuilles brisées de ce thé noir de type « broken » fabriqué selon la méthode CTC offrent en un clin d’œil une tasse parfumée aux arômes vigoureux et épicés. L’infusion aux notes maltées s’accommode délicieusement d’une pointe de lait ou de crème fraîche. Un thé séduisant et puissant.</v>
          </cell>
          <cell r="Y551"/>
          <cell r="Z551" t="str">
            <v xml:space="preserve">Ingrédient : thé noir**. **Issu de l'agriculture biologique et biodynamique. demeter est la marque des produits issus de l'agriculture biodynamique certifiée. </v>
          </cell>
          <cell r="AA551" t="str">
            <v>/</v>
          </cell>
          <cell r="AB551" t="str">
            <v>Membre certifié World Fair Trade Organization, Les Jardins de Gaïa s’engagent pour un commerce plus juste et répondent aux exigences du commerce équitable. Pour en savoir plus : www.wfto.com.</v>
          </cell>
          <cell r="AC551">
            <v>100</v>
          </cell>
          <cell r="AD551" t="str">
            <v>3</v>
          </cell>
          <cell r="AE551">
            <v>95</v>
          </cell>
          <cell r="AF551">
            <v>2</v>
          </cell>
          <cell r="AG551">
            <v>50</v>
          </cell>
          <cell r="AH551">
            <v>3582810231227</v>
          </cell>
          <cell r="AI551" t="str">
            <v>/</v>
          </cell>
          <cell r="AJ551" t="str">
            <v>ETNN312</v>
          </cell>
          <cell r="AK551" t="str">
            <v>ETNN312V5</v>
          </cell>
          <cell r="AL551" t="str">
            <v>ETCNN3122V5</v>
          </cell>
          <cell r="AM551" t="str">
            <v>Putharjhora Tea Estate</v>
          </cell>
        </row>
        <row r="552">
          <cell r="A552" t="str">
            <v>TV3371</v>
          </cell>
          <cell r="B552"/>
          <cell r="C552"/>
          <cell r="D552"/>
          <cell r="E552"/>
          <cell r="F552"/>
          <cell r="G552"/>
          <cell r="H552" t="str">
            <v>LES GRANDS CLASSIQUES</v>
          </cell>
          <cell r="I552"/>
          <cell r="J552" t="str">
            <v>Putharjhora Green</v>
          </cell>
          <cell r="K552" t="str">
            <v>/</v>
          </cell>
          <cell r="L552" t="str">
            <v>Thé vert d'origine</v>
          </cell>
          <cell r="M552" t="str">
            <v>Inde - Dooars</v>
          </cell>
          <cell r="N552" t="str">
            <v>AB</v>
          </cell>
          <cell r="O552" t="str">
            <v>WFTO</v>
          </cell>
          <cell r="P552" t="str">
            <v>D</v>
          </cell>
          <cell r="Q552" t="str">
            <v>/</v>
          </cell>
          <cell r="R552" t="str">
            <v>/</v>
          </cell>
          <cell r="S552" t="str">
            <v>EF</v>
          </cell>
          <cell r="T552" t="str">
            <v>Agriculture Inde</v>
          </cell>
          <cell r="U552"/>
          <cell r="V552" t="str">
            <v>Beau thé de type Assam issu d’un jardin unique du Dooars. Il se distingue par une liqueur jaune pâle, une saveur douce et boisée marquée d’une empreinte subtile qui rappelle la noisette. Thé agréable pour toute la journée.</v>
          </cell>
          <cell r="W552"/>
          <cell r="X552" t="str">
            <v>Ce thé vert d’Inde a bénéficié de la biodiversité remarquable du Jardin de thé de Putharjhora que ses producteurs entretiennent passionnément par la voie de l’agriculture biodynamique. Sa liqueur jaune pâle libère des saveurs douces et boisées accompagnées d’agréables notes de noisette</v>
          </cell>
          <cell r="Y552"/>
          <cell r="Z552" t="str">
            <v xml:space="preserve">Ingrédient : thé vert**. **Issu de l'agriculture biologique et biodynamique. demeter est la marque des produits issus de l'agriculture biodynamique certifiée. </v>
          </cell>
          <cell r="AA552" t="str">
            <v>/</v>
          </cell>
          <cell r="AB552" t="str">
            <v>Membre certifié World Fair Trade Organization, Les Jardins de Gaïa s’engagent pour un commerce plus juste et répondent aux exigences du commerce équitable. Pour en savoir plus : www.wfto.com.</v>
          </cell>
          <cell r="AC552">
            <v>1.5</v>
          </cell>
          <cell r="AD552" t="str">
            <v>3</v>
          </cell>
          <cell r="AE552">
            <v>80</v>
          </cell>
          <cell r="AF552">
            <v>2</v>
          </cell>
          <cell r="AG552">
            <v>750</v>
          </cell>
          <cell r="AH552">
            <v>3582810333716</v>
          </cell>
          <cell r="AI552" t="str">
            <v>/</v>
          </cell>
          <cell r="AJ552" t="str">
            <v>INTERNE</v>
          </cell>
          <cell r="AK552" t="str">
            <v>INTERNE</v>
          </cell>
          <cell r="AL552" t="str">
            <v>/</v>
          </cell>
          <cell r="AM552" t="str">
            <v>Putharjhora Tea Estate</v>
          </cell>
        </row>
        <row r="553">
          <cell r="A553" t="str">
            <v>TV3372</v>
          </cell>
          <cell r="B553">
            <v>0</v>
          </cell>
          <cell r="C553" t="str">
            <v>X</v>
          </cell>
          <cell r="D553" t="str">
            <v>x</v>
          </cell>
          <cell r="E553" t="str">
            <v>x</v>
          </cell>
          <cell r="F553" t="str">
            <v>GRAI</v>
          </cell>
          <cell r="G553">
            <v>45383</v>
          </cell>
          <cell r="H553" t="str">
            <v>LES GRANDS CLASSIQUES</v>
          </cell>
          <cell r="I553"/>
          <cell r="J553" t="str">
            <v>Putharjhora Green</v>
          </cell>
          <cell r="K553" t="str">
            <v>/</v>
          </cell>
          <cell r="L553" t="str">
            <v>Thé vert d'origine</v>
          </cell>
          <cell r="M553" t="str">
            <v>Inde - Dooars</v>
          </cell>
          <cell r="N553" t="str">
            <v>AB</v>
          </cell>
          <cell r="O553" t="str">
            <v>WFTO</v>
          </cell>
          <cell r="P553" t="str">
            <v>D</v>
          </cell>
          <cell r="Q553" t="str">
            <v>/</v>
          </cell>
          <cell r="R553" t="str">
            <v>/</v>
          </cell>
          <cell r="S553" t="str">
            <v>EF</v>
          </cell>
          <cell r="T553" t="str">
            <v>Agriculture Inde</v>
          </cell>
          <cell r="U553"/>
          <cell r="V553" t="str">
            <v>Beau thé de type Assam issu d’un jardin unique du Dooars. Il se distingue par une liqueur jaune pâle, une saveur douce et boisée marquée d’une empreinte subtile qui rappelle la noisette. Thé agréable pour toute la journée.</v>
          </cell>
          <cell r="W553"/>
          <cell r="X553" t="str">
            <v>Ce thé vert d’Inde a bénéficié de la biodiversité remarquable du Jardin de thé de Putharjhora que ses producteurs entretiennent passionnément par la voie de l’agriculture biodynamique. Sa liqueur jaune pâle libère des saveurs douces et boisées accompagnées d’agréables notes de noisette</v>
          </cell>
          <cell r="Y553"/>
          <cell r="Z553" t="str">
            <v xml:space="preserve">Ingrédient : thé vert**. **Issu de l'agriculture biologique et biodynamique. demeter est la marque des produits issus de l'agriculture biodynamique certifiée. </v>
          </cell>
          <cell r="AA553" t="str">
            <v>/</v>
          </cell>
          <cell r="AB553" t="str">
            <v>Membre certifié World Fair Trade Organization, Les Jardins de Gaïa s’engagent pour un commerce plus juste et répondent aux exigences du commerce équitable. Pour en savoir plus : www.wfto.com.</v>
          </cell>
          <cell r="AC553">
            <v>100</v>
          </cell>
          <cell r="AD553" t="str">
            <v>3</v>
          </cell>
          <cell r="AE553">
            <v>80</v>
          </cell>
          <cell r="AF553">
            <v>2</v>
          </cell>
          <cell r="AG553">
            <v>50</v>
          </cell>
          <cell r="AH553">
            <v>3582810333723</v>
          </cell>
          <cell r="AI553" t="str">
            <v>/</v>
          </cell>
          <cell r="AJ553" t="str">
            <v>ETVN337</v>
          </cell>
          <cell r="AK553" t="str">
            <v>ETVN337V5</v>
          </cell>
          <cell r="AL553" t="str">
            <v>ETCVN3372V5</v>
          </cell>
          <cell r="AM553" t="str">
            <v>Putharjhora Tea Estate</v>
          </cell>
        </row>
        <row r="554">
          <cell r="A554" t="str">
            <v>TB3747</v>
          </cell>
          <cell r="B554"/>
          <cell r="C554"/>
          <cell r="D554"/>
          <cell r="E554"/>
          <cell r="F554"/>
          <cell r="G554"/>
          <cell r="H554" t="str">
            <v>LES PRIMEURS</v>
          </cell>
          <cell r="I554"/>
          <cell r="J554" t="str">
            <v>Putharjhora Silver drops</v>
          </cell>
          <cell r="K554" t="str">
            <v>Jardin de Putharjhora - First Flush 
cultivar CP-1</v>
          </cell>
          <cell r="L554" t="str">
            <v>Thé blanc Primeur</v>
          </cell>
          <cell r="M554" t="str">
            <v>Inde - Dooars</v>
          </cell>
          <cell r="N554" t="str">
            <v>AB</v>
          </cell>
          <cell r="O554" t="str">
            <v>WFTO</v>
          </cell>
          <cell r="P554" t="str">
            <v>D</v>
          </cell>
          <cell r="Q554" t="str">
            <v>/</v>
          </cell>
          <cell r="R554" t="str">
            <v>/</v>
          </cell>
          <cell r="S554" t="str">
            <v>EF</v>
          </cell>
          <cell r="T554" t="str">
            <v>Agriculture Inde</v>
          </cell>
          <cell r="U554"/>
          <cell r="V554" t="str">
            <v>Superbe thé blanc élevé en biodynamie. Liqueur harmonieuse, souple et fraîche. Notes : fleurs fraiches, lactées.</v>
          </cell>
          <cell r="W554" t="str">
            <v>S25</v>
          </cell>
          <cell r="X554" t="str">
            <v>Elevé en biodynamie dans le jardin de Putharjhora, ce thé blanc composé de beaux bourgeons délivre une liqueur veloutée, harmonieuse et gourmande. Ses saveurs florales, tout en fraîcheur, accompagnées de jolies notes lactées sont particulièrement agréables et longues en bouche.</v>
          </cell>
          <cell r="Y554"/>
          <cell r="Z554" t="str">
            <v xml:space="preserve">Ingrédient : thé blanc**. **Issu de l'agriculture biologique et biodynamique. demeter est la marque des produits issus de l'agriculture biodynamique certifiée. </v>
          </cell>
          <cell r="AA554" t="str">
            <v>/</v>
          </cell>
          <cell r="AB554" t="str">
            <v>Membre certifié World Fair Trade Organization, Les Jardins de Gaïa s’engagent pour un commerce plus juste et répondent aux exigences du commerce équitable. Pour en savoir plus : www.wfto.com.</v>
          </cell>
          <cell r="AC554">
            <v>1</v>
          </cell>
          <cell r="AD554" t="str">
            <v>4</v>
          </cell>
          <cell r="AE554">
            <v>85</v>
          </cell>
          <cell r="AF554">
            <v>2</v>
          </cell>
          <cell r="AG554">
            <v>500</v>
          </cell>
          <cell r="AH554">
            <v>3582810637470</v>
          </cell>
          <cell r="AI554" t="str">
            <v>/</v>
          </cell>
          <cell r="AJ554" t="str">
            <v>INTERNE</v>
          </cell>
          <cell r="AK554" t="str">
            <v>INTERNE</v>
          </cell>
          <cell r="AL554" t="str">
            <v>/</v>
          </cell>
          <cell r="AM554" t="str">
            <v>Putharjhora Tea Estate</v>
          </cell>
        </row>
        <row r="555">
          <cell r="A555" t="str">
            <v>TB3746</v>
          </cell>
          <cell r="B555"/>
          <cell r="C555"/>
          <cell r="D555"/>
          <cell r="E555"/>
          <cell r="F555"/>
          <cell r="G555"/>
          <cell r="H555" t="str">
            <v>LES PRIMEURS</v>
          </cell>
          <cell r="I555"/>
          <cell r="J555" t="str">
            <v>Putharjhora Silver drops</v>
          </cell>
          <cell r="K555" t="str">
            <v>Jardin de Putharjhora - First Flush 
cultivar CP-1</v>
          </cell>
          <cell r="L555" t="str">
            <v>Thé blanc Primeur</v>
          </cell>
          <cell r="M555" t="str">
            <v>Inde - Dooars</v>
          </cell>
          <cell r="N555" t="str">
            <v>AB</v>
          </cell>
          <cell r="O555" t="str">
            <v>WFTO</v>
          </cell>
          <cell r="P555" t="str">
            <v>D</v>
          </cell>
          <cell r="Q555" t="str">
            <v>/</v>
          </cell>
          <cell r="R555" t="str">
            <v>/</v>
          </cell>
          <cell r="S555" t="str">
            <v>EF</v>
          </cell>
          <cell r="T555" t="str">
            <v>Agriculture Inde</v>
          </cell>
          <cell r="U555"/>
          <cell r="V555" t="str">
            <v>Superbe thé blanc élevé en biodynamie. Liqueur harmonieuse, souple et fraîche. Notes : fleurs fraiches, lactées.</v>
          </cell>
          <cell r="W555" t="str">
            <v>S25</v>
          </cell>
          <cell r="X555" t="str">
            <v>Elevé en biodynamie dans le jardin de Putharjhora, ce thé blanc composé de beaux bourgeons délivre une liqueur veloutée, harmonieuse et gourmande. Ses saveurs florales, tout en fraîcheur, accompagnées de jolies notes lactées sont particulièrement agréables et longues en bouche.</v>
          </cell>
          <cell r="Y555"/>
          <cell r="Z555" t="str">
            <v xml:space="preserve">Ingrédient : thé blanc**. **Issu de l'agriculture biologique et biodynamique. demeter est la marque des produits issus de l'agriculture biodynamique certifiée. </v>
          </cell>
          <cell r="AA555" t="str">
            <v>/</v>
          </cell>
          <cell r="AB555" t="str">
            <v>Membre certifié World Fair Trade Organization, Les Jardins de Gaïa s’engagent pour un commerce plus juste et répondent aux exigences du commerce équitable. Pour en savoir plus : www.wfto.com.</v>
          </cell>
          <cell r="AC555">
            <v>50</v>
          </cell>
          <cell r="AD555" t="str">
            <v>4</v>
          </cell>
          <cell r="AE555">
            <v>85</v>
          </cell>
          <cell r="AF555">
            <v>2</v>
          </cell>
          <cell r="AG555">
            <v>25</v>
          </cell>
          <cell r="AH555">
            <v>3582810637463</v>
          </cell>
          <cell r="AI555" t="str">
            <v>/</v>
          </cell>
          <cell r="AJ555" t="str">
            <v>ETBN374V5</v>
          </cell>
          <cell r="AK555" t="str">
            <v>ETBN374V5</v>
          </cell>
          <cell r="AL555" t="str">
            <v>ETCBN3746V5</v>
          </cell>
          <cell r="AM555" t="str">
            <v>Putharjhora Tea Estate</v>
          </cell>
        </row>
        <row r="556">
          <cell r="A556" t="str">
            <v>TUTO1326</v>
          </cell>
          <cell r="B556"/>
          <cell r="C556"/>
          <cell r="D556"/>
          <cell r="E556"/>
          <cell r="F556"/>
          <cell r="G556"/>
          <cell r="H556" t="str">
            <v>LES PRECIEUX DU JAPON ET DE TAIWAN</v>
          </cell>
          <cell r="I556"/>
          <cell r="J556" t="str">
            <v>Qing Xin wulong</v>
          </cell>
          <cell r="K556" t="str">
            <v>/</v>
          </cell>
          <cell r="L556" t="str">
            <v>Thé wulong d'origine</v>
          </cell>
          <cell r="M556" t="str">
            <v>Taïwan - Nantou</v>
          </cell>
          <cell r="N556" t="str">
            <v>sans résidus de pesticides</v>
          </cell>
          <cell r="O556" t="str">
            <v>/</v>
          </cell>
          <cell r="P556" t="str">
            <v>/</v>
          </cell>
          <cell r="Q556" t="str">
            <v>/</v>
          </cell>
          <cell r="R556" t="str">
            <v>/</v>
          </cell>
          <cell r="S556" t="str">
            <v>/</v>
          </cell>
          <cell r="T556" t="str">
            <v>Agriculture Taïwan</v>
          </cell>
          <cell r="U556"/>
          <cell r="V556" t="str">
            <v>Ce wulong de petit producteur a été élaboré dans un jardin pionnier de l’agriculture biologique à Taïwan, à partir du cultivar Qing Xin réputé pour sa finesse. Ample en bouche, la liqueur délivre des saveurs de fleurs exotiques et de pierre chaude soulignée par une note végétale légèrement acidulée.</v>
          </cell>
          <cell r="W556" t="str">
            <v>S25</v>
          </cell>
          <cell r="X556" t="str">
            <v>Ce wulong de petit producteur a été élaboré dans un jardin pionnier de l’agriculture biologique à Taïwan, à partir du prestigieux cultivar Qing Xin. Ample en bouche, la liqueur délivre des saveurs de fleurs exotiques et de pierre chaude soulignées par une note végétale légèrement acidulée.</v>
          </cell>
          <cell r="Y556"/>
          <cell r="Z556" t="str">
            <v>Ingrédient : thé wulong. 
Garanti sans résidus de pesticides</v>
          </cell>
          <cell r="AA556" t="str">
            <v>/</v>
          </cell>
          <cell r="AB556" t="str">
            <v>/</v>
          </cell>
          <cell r="AC556">
            <v>50</v>
          </cell>
          <cell r="AD556" t="str">
            <v>5</v>
          </cell>
          <cell r="AE556">
            <v>95</v>
          </cell>
          <cell r="AF556">
            <v>2</v>
          </cell>
          <cell r="AG556">
            <v>25</v>
          </cell>
          <cell r="AH556">
            <v>3582810713266</v>
          </cell>
          <cell r="AI556" t="str">
            <v>Plusieurs infusions</v>
          </cell>
          <cell r="AJ556" t="str">
            <v>ETTUTO1326</v>
          </cell>
          <cell r="AK556" t="str">
            <v>ETTUTO1326V5</v>
          </cell>
          <cell r="AL556" t="str">
            <v>/</v>
          </cell>
          <cell r="AM556" t="str">
            <v>jardin de thé de restauration écologique originelle</v>
          </cell>
        </row>
        <row r="557">
          <cell r="A557" t="str">
            <v>TF1181</v>
          </cell>
          <cell r="B557"/>
          <cell r="C557"/>
          <cell r="D557"/>
          <cell r="E557"/>
          <cell r="F557"/>
          <cell r="G557"/>
          <cell r="H557" t="str">
            <v>LES GRANDS CLASSIQUES</v>
          </cell>
          <cell r="I557"/>
          <cell r="J557" t="str">
            <v>Quatre saisons</v>
          </cell>
          <cell r="K557" t="str">
            <v>Pomme - Cannelle - Amande</v>
          </cell>
          <cell r="L557" t="str">
            <v>Infusion de fruits aromatisée</v>
          </cell>
          <cell r="M557" t="str">
            <v>?</v>
          </cell>
          <cell r="N557" t="str">
            <v>AB</v>
          </cell>
          <cell r="O557" t="str">
            <v>/</v>
          </cell>
          <cell r="P557" t="str">
            <v>/</v>
          </cell>
          <cell r="Q557" t="str">
            <v>/</v>
          </cell>
          <cell r="R557" t="str">
            <v>/</v>
          </cell>
          <cell r="S557" t="str">
            <v>/</v>
          </cell>
          <cell r="T557" t="str">
            <v>Agriculture UE/non UE</v>
          </cell>
          <cell r="U557"/>
          <cell r="V557" t="str">
            <v>Infusion de fruits soulignée d’une note légèrement épicée. Son arôme rond et gourmand réchauffe agréablement les jours gris tout au long de l’année. À savourer en famille.</v>
          </cell>
          <cell r="W557" t="str">
            <v>S27</v>
          </cell>
          <cell r="X557" t="str">
            <v>Cette tisane de fruits soulignée d’une note légèrement épicée est une ode aux quatre saisons et la variété de couleurs, de saveurs et d’émotions qu’elles nous offrent. Ses saveurs rondes et gourmandes de pomme, d’amande et de cannelle s’apprécient tout au long de l’année. Un plaisir à partager.</v>
          </cell>
          <cell r="Y557"/>
          <cell r="Z557" t="str">
            <v xml:space="preserve">NOEL 2024 : 
Ingrédients : morceaux de pomme* 41%, morceaux de cannelle* 15%, écorces d’églantine*, hibiscus*, arômes naturels de (amande* 10%, pomme* 5%), amandes effilées* 5%, écorces d’orange*, extrait de cannelle* 2%, clous de girofle*, huile essentielle d’orange*. *Issu de l’agriculture biologique. </v>
          </cell>
          <cell r="AA557" t="str">
            <v>/</v>
          </cell>
          <cell r="AB557" t="str">
            <v>/</v>
          </cell>
          <cell r="AC557">
            <v>1.5</v>
          </cell>
          <cell r="AD557" t="str">
            <v>5-10</v>
          </cell>
          <cell r="AE557">
            <v>95</v>
          </cell>
          <cell r="AF557">
            <v>2</v>
          </cell>
          <cell r="AG557">
            <v>750</v>
          </cell>
          <cell r="AH557">
            <v>3582810111819</v>
          </cell>
          <cell r="AI557" t="str">
            <v>/</v>
          </cell>
          <cell r="AJ557" t="str">
            <v>INTERNE</v>
          </cell>
          <cell r="AK557" t="str">
            <v>INTERNE</v>
          </cell>
          <cell r="AL557" t="str">
            <v>/</v>
          </cell>
          <cell r="AM557" t="str">
            <v>Création maison</v>
          </cell>
        </row>
        <row r="558">
          <cell r="A558" t="str">
            <v>TF1182</v>
          </cell>
          <cell r="B558"/>
          <cell r="C558"/>
          <cell r="D558"/>
          <cell r="E558"/>
          <cell r="F558"/>
          <cell r="G558"/>
          <cell r="H558" t="str">
            <v>LES GRANDS CLASSIQUES</v>
          </cell>
          <cell r="I558"/>
          <cell r="J558" t="str">
            <v>Quatre saisons</v>
          </cell>
          <cell r="K558" t="str">
            <v>Pomme - Cannelle - Amande</v>
          </cell>
          <cell r="L558" t="str">
            <v>Infusion de fruits aromatisée</v>
          </cell>
          <cell r="M558" t="str">
            <v>?</v>
          </cell>
          <cell r="N558" t="str">
            <v>AB</v>
          </cell>
          <cell r="O558" t="str">
            <v>/</v>
          </cell>
          <cell r="P558" t="str">
            <v>/</v>
          </cell>
          <cell r="Q558" t="str">
            <v>/</v>
          </cell>
          <cell r="R558" t="str">
            <v>/</v>
          </cell>
          <cell r="S558" t="str">
            <v>/</v>
          </cell>
          <cell r="T558" t="str">
            <v>Agriculture UE/non UE</v>
          </cell>
          <cell r="U558"/>
          <cell r="V558" t="str">
            <v>Infusion de fruits soulignée d’une note légèrement épicée. Son arôme rond et gourmand réchauffe agréablement les jours gris tout au long de l’année. À savourer en famille.</v>
          </cell>
          <cell r="W558" t="str">
            <v>S24</v>
          </cell>
          <cell r="X558" t="str">
            <v>Cette tisane de fruits soulignée d’une note légèrement épicée est une ode aux quatre saisons et la variété de couleurs, de saveurs et d’émotions qu’elles nous offrent. Ses saveurs rondes et gourmandes de pomme, d’amande et de cannelle s’apprécient tout au long de l’année. Un plaisir à partager.</v>
          </cell>
          <cell r="Y558"/>
          <cell r="Z558" t="str">
            <v xml:space="preserve">NOEL 2024 : 
Ingrédients : morceaux de pomme* 41%, morceaux de cannelle* 15%, écorces d’églantine*, hibiscus*, arômes naturels de (amande* 10%, pomme* 5%), amandes effilées* 5%, écorces d’orange*, extrait de cannelle* 2%, clous de girofle*, huile essentielle d’orange*. *Issu de l’agriculture biologique. </v>
          </cell>
          <cell r="AA558" t="str">
            <v>/</v>
          </cell>
          <cell r="AB558" t="str">
            <v>/</v>
          </cell>
          <cell r="AC558">
            <v>100</v>
          </cell>
          <cell r="AD558" t="str">
            <v>5-10</v>
          </cell>
          <cell r="AE558">
            <v>95</v>
          </cell>
          <cell r="AF558">
            <v>2</v>
          </cell>
          <cell r="AG558">
            <v>50</v>
          </cell>
          <cell r="AH558">
            <v>3582810111826</v>
          </cell>
          <cell r="AI558" t="str">
            <v>/</v>
          </cell>
          <cell r="AJ558" t="str">
            <v>ETFA118V5</v>
          </cell>
          <cell r="AK558" t="str">
            <v>ETFA118V5</v>
          </cell>
          <cell r="AL558" t="str">
            <v>ETCFA1182V5</v>
          </cell>
          <cell r="AM558" t="str">
            <v>Création maison</v>
          </cell>
        </row>
        <row r="559">
          <cell r="A559" t="str">
            <v>TF1182</v>
          </cell>
          <cell r="B559"/>
          <cell r="C559"/>
          <cell r="D559"/>
          <cell r="E559"/>
          <cell r="F559"/>
          <cell r="G559"/>
          <cell r="H559" t="str">
            <v>LES GRANDS CLASSIQUES</v>
          </cell>
          <cell r="I559"/>
          <cell r="J559" t="str">
            <v>Quatre saisons</v>
          </cell>
          <cell r="K559" t="str">
            <v>Pomme - Cannelle - Amande</v>
          </cell>
          <cell r="L559" t="str">
            <v>Infusion de fruits aromatisée</v>
          </cell>
          <cell r="M559" t="str">
            <v>?</v>
          </cell>
          <cell r="N559" t="str">
            <v>AB</v>
          </cell>
          <cell r="O559" t="str">
            <v>/</v>
          </cell>
          <cell r="P559" t="str">
            <v>/</v>
          </cell>
          <cell r="Q559" t="str">
            <v>/</v>
          </cell>
          <cell r="R559" t="str">
            <v>/</v>
          </cell>
          <cell r="S559" t="str">
            <v>/</v>
          </cell>
          <cell r="T559" t="str">
            <v>Agriculture UE/non UE</v>
          </cell>
          <cell r="U559"/>
          <cell r="V559" t="str">
            <v>Infusion de fruits soulignée d’une note légèrement épicée. Son arôme rond et gourmand réchauffe agréablement les jours gris tout au long de l’année. À savourer en famille.</v>
          </cell>
          <cell r="W559" t="str">
            <v>S24</v>
          </cell>
          <cell r="X559" t="str">
            <v>Cette tisane de fruits soulignée d’une note légèrement épicée est une ode aux quatre saisons et la variété de couleurs, de saveurs et d’émotions qu’elles nous offrent. Ses saveurs rondes et gourmandes de pomme, d’amande et de cannelle s’apprécient tout au long de l’année. Un plaisir à partager.</v>
          </cell>
          <cell r="Y559"/>
          <cell r="Z559" t="str">
            <v xml:space="preserve">NOEL 2024 : 
Ingrédients : morceaux de pomme* 41%, morceaux de cannelle* 15%, écorces d’églantine*, hibiscus*, arômes naturels de (amande* 10%, pomme* 5%), amandes effilées* 5%, écorces d’orange*, extrait de cannelle* 2%, clous de girofle*, huile essentielle d’orange*. *Issu de l’agriculture biologique. </v>
          </cell>
          <cell r="AA559" t="str">
            <v>/</v>
          </cell>
          <cell r="AB559" t="str">
            <v>/</v>
          </cell>
          <cell r="AC559">
            <v>100</v>
          </cell>
          <cell r="AD559" t="str">
            <v>5-10</v>
          </cell>
          <cell r="AE559">
            <v>95</v>
          </cell>
          <cell r="AF559">
            <v>2</v>
          </cell>
          <cell r="AG559">
            <v>50</v>
          </cell>
          <cell r="AH559">
            <v>3582810111826</v>
          </cell>
          <cell r="AI559" t="str">
            <v>/</v>
          </cell>
          <cell r="AJ559" t="str">
            <v>ETFA118V5N</v>
          </cell>
          <cell r="AK559" t="str">
            <v>ETFA118V5N</v>
          </cell>
          <cell r="AL559" t="str">
            <v>ETCFA1182V5N</v>
          </cell>
          <cell r="AM559" t="str">
            <v>Création maison</v>
          </cell>
        </row>
        <row r="560">
          <cell r="A560" t="str">
            <v>TF134</v>
          </cell>
          <cell r="B560"/>
          <cell r="C560"/>
          <cell r="D560"/>
          <cell r="E560"/>
          <cell r="F560"/>
          <cell r="G560"/>
          <cell r="H560"/>
          <cell r="I560"/>
          <cell r="J560" t="str">
            <v>QUETSCHELA</v>
          </cell>
          <cell r="K560" t="str">
            <v>Prune - pruneau</v>
          </cell>
          <cell r="L560" t="str">
            <v>Infusion de fruits aromatisée</v>
          </cell>
          <cell r="M560"/>
          <cell r="N560" t="str">
            <v>AB</v>
          </cell>
          <cell r="O560" t="str">
            <v>/</v>
          </cell>
          <cell r="P560" t="str">
            <v>/</v>
          </cell>
          <cell r="Q560" t="str">
            <v>/</v>
          </cell>
          <cell r="R560" t="str">
            <v>/</v>
          </cell>
          <cell r="S560" t="str">
            <v>/</v>
          </cell>
          <cell r="T560" t="str">
            <v>Agriculture UE/non UE</v>
          </cell>
          <cell r="U560"/>
          <cell r="V560"/>
          <cell r="W560"/>
          <cell r="X560" t="str">
            <v>Dans cette tisane de fruit, la quetsche ne compte pas pour des prunes ! Ses saveurs douces et légèrement sucrées accompagnées d’une pincée de cannelle rappellent avec délice une fameuse tarte dont on s’arrache les parts ! Laissez-vous tenter par ce clin d’œil à l’une des stars de la gastronomie alsacienne…</v>
          </cell>
          <cell r="Y560"/>
          <cell r="Z560" t="str">
            <v>Ingrédients : Morceaux de fruits 56% (pomme*, églantine*, prune* 7%), feuilles de fraisier*, ortie piquante*, arômes naturels de (prune* 12%, pruneau* 9%, amande*), morceaux de cannelle*. *Issu de l’agriculture biologique.</v>
          </cell>
          <cell r="AA560" t="str">
            <v>/</v>
          </cell>
          <cell r="AB560" t="str">
            <v>/</v>
          </cell>
          <cell r="AC560">
            <v>100</v>
          </cell>
          <cell r="AD560" t="str">
            <v>5-8</v>
          </cell>
          <cell r="AE560">
            <v>95</v>
          </cell>
          <cell r="AF560">
            <v>2</v>
          </cell>
          <cell r="AG560">
            <v>50</v>
          </cell>
          <cell r="AH560">
            <v>3582810113424</v>
          </cell>
          <cell r="AI560" t="str">
            <v>/</v>
          </cell>
          <cell r="AJ560"/>
          <cell r="AK560"/>
          <cell r="AL560"/>
          <cell r="AM560"/>
        </row>
        <row r="561">
          <cell r="A561" t="str">
            <v>TA7081</v>
          </cell>
          <cell r="B561"/>
          <cell r="C561"/>
          <cell r="D561"/>
          <cell r="E561"/>
          <cell r="F561"/>
          <cell r="G561"/>
          <cell r="H561" t="str">
            <v>LES GRANDS CLASSIQUES</v>
          </cell>
          <cell r="I561"/>
          <cell r="J561" t="str">
            <v>Ramayana</v>
          </cell>
          <cell r="K561" t="str">
            <v>Mangue - Pêche</v>
          </cell>
          <cell r="L561" t="str">
            <v>Thé noir aromatisé</v>
          </cell>
          <cell r="M561" t="str">
            <v>Vietnam - Chine - Inde</v>
          </cell>
          <cell r="N561" t="str">
            <v>AB</v>
          </cell>
          <cell r="O561" t="str">
            <v>WFTO</v>
          </cell>
          <cell r="P561" t="str">
            <v>/</v>
          </cell>
          <cell r="Q561" t="str">
            <v>/</v>
          </cell>
          <cell r="R561" t="str">
            <v>/</v>
          </cell>
          <cell r="S561" t="str">
            <v>/</v>
          </cell>
          <cell r="T561" t="str">
            <v>Agriculture UE/non UE</v>
          </cell>
          <cell r="U561"/>
          <cell r="V561" t="str">
            <v>Inspirée par le célèbre poème épique indien, ce séduisant mariage d’un thé noir et de fruits du soleil nous emmène au cœur de l'Inde des légendes. Vivacité et douceur, assorties d'une pointe d'acidité, c'est un véritable régal !</v>
          </cell>
          <cell r="W561"/>
          <cell r="X561" t="str">
            <v>Ce mariage enchanteur d’un thé noir indien avec les saveurs ensoleillées de la mangue, de la pêche et du citron nous emmène au cœur des légendes indiennes. Trouvant son équilibre entre douceur et vivacité, cette création maison inspirée du célèbre poème indien ne vous laissera pas indifférent !</v>
          </cell>
          <cell r="Y561"/>
          <cell r="Z561" t="str">
            <v>Ingrédients : thé noir*, arômes naturels de (mangue*, pêche*) 10%, morceaux de fruits (mangue*, pêche*) 2%, huile essentielle de citron*, écorces de citron*. *Issu de l'agriculture biologique.</v>
          </cell>
          <cell r="AA561" t="str">
            <v>/</v>
          </cell>
          <cell r="AB561" t="str">
            <v>Membre certifié World Fair Trade Organization, Les Jardins de Gaïa s’engagent pour un commerce plus juste et répondent aux exigences du commerce équitable. Pour en savoir plus : www.wfto.com.</v>
          </cell>
          <cell r="AC561">
            <v>1.5</v>
          </cell>
          <cell r="AD561" t="str">
            <v>3-4</v>
          </cell>
          <cell r="AE561">
            <v>90</v>
          </cell>
          <cell r="AF561">
            <v>2</v>
          </cell>
          <cell r="AG561">
            <v>750</v>
          </cell>
          <cell r="AH561">
            <v>3582810470817</v>
          </cell>
          <cell r="AI561" t="str">
            <v>/</v>
          </cell>
          <cell r="AJ561" t="str">
            <v>INTERNE</v>
          </cell>
          <cell r="AK561" t="str">
            <v>INTERNE</v>
          </cell>
          <cell r="AL561" t="str">
            <v>/</v>
          </cell>
          <cell r="AM561" t="str">
            <v>Création maison</v>
          </cell>
        </row>
        <row r="562">
          <cell r="A562" t="str">
            <v>TA7082</v>
          </cell>
          <cell r="B562"/>
          <cell r="C562" t="str">
            <v>X</v>
          </cell>
          <cell r="D562" t="str">
            <v>x</v>
          </cell>
          <cell r="E562" t="str">
            <v>x</v>
          </cell>
          <cell r="F562" t="str">
            <v>GRAI</v>
          </cell>
          <cell r="G562">
            <v>45383</v>
          </cell>
          <cell r="H562" t="str">
            <v>LES GRANDS CLASSIQUES</v>
          </cell>
          <cell r="I562"/>
          <cell r="J562" t="str">
            <v>Ramayana</v>
          </cell>
          <cell r="K562" t="str">
            <v>Mangue - Pêche</v>
          </cell>
          <cell r="L562" t="str">
            <v>Thé noir aromatisé</v>
          </cell>
          <cell r="M562" t="str">
            <v>Vietnam - Chine - Inde</v>
          </cell>
          <cell r="N562" t="str">
            <v>AB</v>
          </cell>
          <cell r="O562" t="str">
            <v>WFTO</v>
          </cell>
          <cell r="P562" t="str">
            <v>/</v>
          </cell>
          <cell r="Q562" t="str">
            <v>/</v>
          </cell>
          <cell r="R562" t="str">
            <v>/</v>
          </cell>
          <cell r="S562" t="str">
            <v>/</v>
          </cell>
          <cell r="T562" t="str">
            <v>Agriculture UE/non UE</v>
          </cell>
          <cell r="U562"/>
          <cell r="V562" t="str">
            <v>Inspirée par le célèbre poème épique indien, ce séduisant mariage d’un thé noir et de fruits du soleil nous emmène au cœur de l'Inde des légendes. Vivacité et douceur, assorties d'une pointe d'acidité, c'est un véritable régal !</v>
          </cell>
          <cell r="W562"/>
          <cell r="X562" t="str">
            <v>Ce mariage enchanteur d’un thé noir indien avec les saveurs ensoleillées de la mangue, de la pêche et du citron nous emmène au cœur des légendes indiennes. Trouvant son équilibre entre douceur et vivacité, cette création maison inspirée du célèbre poème indien ne vous laissera pas indifférent !</v>
          </cell>
          <cell r="Y562"/>
          <cell r="Z562" t="str">
            <v>Ingrédients : thé noir*, arômes naturels de (mangue*, pêche*) 10%, morceaux de fruits (mangue*, pêche*) 2%, huile essentielle de citron*, écorces de citron*. *Issu de l'agriculture biologique.</v>
          </cell>
          <cell r="AA562" t="str">
            <v>/</v>
          </cell>
          <cell r="AB562" t="str">
            <v>Membre certifié World Fair Trade Organization, Les Jardins de Gaïa s’engagent pour un commerce plus juste et répondent aux exigences du commerce équitable. Pour en savoir plus : www.wfto.com.</v>
          </cell>
          <cell r="AC562">
            <v>100</v>
          </cell>
          <cell r="AD562" t="str">
            <v>3-4</v>
          </cell>
          <cell r="AE562">
            <v>90</v>
          </cell>
          <cell r="AF562">
            <v>2</v>
          </cell>
          <cell r="AG562">
            <v>50</v>
          </cell>
          <cell r="AH562">
            <v>3582810470824</v>
          </cell>
          <cell r="AI562" t="str">
            <v>/</v>
          </cell>
          <cell r="AJ562" t="str">
            <v>ETNA708V5</v>
          </cell>
          <cell r="AK562" t="str">
            <v>ETNA708V5</v>
          </cell>
          <cell r="AL562" t="str">
            <v>ETCNA7082V5</v>
          </cell>
          <cell r="AM562" t="str">
            <v>Ban Lien Organic Tea Association - Xuan En Yisheng Tea Cooperative - Blend indien (Seeyok, Singell Selimbong)</v>
          </cell>
        </row>
        <row r="563">
          <cell r="A563" t="str">
            <v>TH5031</v>
          </cell>
          <cell r="B563"/>
          <cell r="C563"/>
          <cell r="D563"/>
          <cell r="E563"/>
          <cell r="F563"/>
          <cell r="G563"/>
          <cell r="H563" t="str">
            <v>LES GRANDS CLASSIQUES</v>
          </cell>
          <cell r="I563" t="str">
            <v>LES INFUSIONS DE PLANTES</v>
          </cell>
          <cell r="J563" t="str">
            <v>Rayon de soleil</v>
          </cell>
          <cell r="K563" t="str">
            <v>Feuilles de franboisier - mélisse - pétales de souci</v>
          </cell>
          <cell r="L563" t="str">
            <v>Infusion de plantes</v>
          </cell>
          <cell r="M563" t="str">
            <v>/</v>
          </cell>
          <cell r="N563" t="str">
            <v>AB</v>
          </cell>
          <cell r="O563" t="str">
            <v>/</v>
          </cell>
          <cell r="P563" t="str">
            <v>/</v>
          </cell>
          <cell r="Q563" t="str">
            <v>/</v>
          </cell>
          <cell r="R563" t="str">
            <v>/</v>
          </cell>
          <cell r="S563" t="str">
            <v>/</v>
          </cell>
          <cell r="T563" t="str">
            <v>AT-BIO-302
Agriculture UE</v>
          </cell>
          <cell r="U563"/>
          <cell r="V563" t="str">
            <v>Lumineuse et pleine d'optimisme comme un rayon de soleil matinal, cette tisane au bouquet aromatique très floral est une savoureuse invitation à voir la vie du bon côté.</v>
          </cell>
          <cell r="W563" t="str">
            <v>S11</v>
          </cell>
          <cell r="X563" t="str">
            <v>Lumineuse et pleine d'optimisme comme un rayon de soleil matinal, cette tisane au bouquet aromatique très floral est une savoureuse invitation à voir la vie du bon côté.</v>
          </cell>
          <cell r="Y563"/>
          <cell r="Z563" t="str">
            <v>Ingrédients : feuilles de framboisier* 30% (Rubus idaeus), mélisse* 22% (Melissa officinalis), pétales de souci* 12,5% (Calendula officinalis), feuilles de noisetier* (Corylus avellana), pétales de tournesol* (Helianthus annuus), ortie* (Urtica dioica), alchémille* (Alchemilla vulgaris L), pétales de bleuet* (Centaurea cyanus), fleurs de tilleul* (Tiliae flos). *Issu de l'agriculture biologique.</v>
          </cell>
          <cell r="AA563" t="str">
            <v>/</v>
          </cell>
          <cell r="AB563" t="str">
            <v>/</v>
          </cell>
          <cell r="AC563" t="str">
            <v>?</v>
          </cell>
          <cell r="AD563" t="str">
            <v>5-10</v>
          </cell>
          <cell r="AE563">
            <v>95</v>
          </cell>
          <cell r="AF563">
            <v>2</v>
          </cell>
          <cell r="AG563" t="str">
            <v>?</v>
          </cell>
          <cell r="AH563" t="str">
            <v>?</v>
          </cell>
          <cell r="AI563" t="str">
            <v>/</v>
          </cell>
          <cell r="AJ563" t="str">
            <v>INTERNE</v>
          </cell>
          <cell r="AK563" t="str">
            <v>INTERNE</v>
          </cell>
          <cell r="AL563" t="str">
            <v>/</v>
          </cell>
          <cell r="AM563" t="str">
            <v>Sonnentor</v>
          </cell>
        </row>
        <row r="564">
          <cell r="A564" t="str">
            <v>TH503</v>
          </cell>
          <cell r="B564"/>
          <cell r="C564" t="str">
            <v>X</v>
          </cell>
          <cell r="D564" t="str">
            <v>X</v>
          </cell>
          <cell r="E564"/>
          <cell r="F564" t="str">
            <v>GRAI</v>
          </cell>
          <cell r="G564">
            <v>45408</v>
          </cell>
          <cell r="H564" t="str">
            <v>LES GRANDS CLASSIQUES</v>
          </cell>
          <cell r="I564" t="str">
            <v>LES INFUSIONS DE PLANTES</v>
          </cell>
          <cell r="J564" t="str">
            <v>Rayon de soleil</v>
          </cell>
          <cell r="K564" t="str">
            <v>Feuilles de framboisier - mélisse - pétales de souci</v>
          </cell>
          <cell r="L564" t="str">
            <v>Infusion de plantes</v>
          </cell>
          <cell r="M564" t="str">
            <v>/</v>
          </cell>
          <cell r="N564" t="str">
            <v>AB</v>
          </cell>
          <cell r="O564" t="str">
            <v>/</v>
          </cell>
          <cell r="P564" t="str">
            <v>/</v>
          </cell>
          <cell r="Q564" t="str">
            <v>/</v>
          </cell>
          <cell r="R564" t="str">
            <v>/</v>
          </cell>
          <cell r="S564" t="str">
            <v>/</v>
          </cell>
          <cell r="T564" t="str">
            <v>AT-BIO-401
Agriculture UE</v>
          </cell>
          <cell r="U564"/>
          <cell r="V564" t="str">
            <v>Lumineuse et pleine d'optimisme comme un rayon de soleil matinal, cette tisane au bouquet aromatique très floral est une savoureuse invitation à voir la vie du bon côté.</v>
          </cell>
          <cell r="W564" t="str">
            <v>S11</v>
          </cell>
          <cell r="X564" t="str">
            <v>Lumineuse et pleine d'optimisme comme un rayon de soleil matinal, cette tisane au bouquet aromatique très floral est une savoureuse invitation à voir la vie du bon côté.</v>
          </cell>
          <cell r="Y564"/>
          <cell r="Z564" t="str">
            <v>Ingrédients : feuilles de framboisier* 30% (Rubus idaeus), mélisse* 22% (Melissa officinalis), pétales de souci* 12,5% (Calendula officinalis), feuilles de noisetier* (Corylus avellana), pétales de tournesol* (Helianthus annuus), ortie* (Urtica dioica), alchémille* (Alchemilla vulgaris L), pétales de bleuet* (Centaurea cyanus), fleurs de tilleul* (Tiliae flos). *Issu de l'agriculture biologique.</v>
          </cell>
          <cell r="AA564" t="str">
            <v>/</v>
          </cell>
          <cell r="AB564" t="str">
            <v>/</v>
          </cell>
          <cell r="AC564">
            <v>40</v>
          </cell>
          <cell r="AD564" t="str">
            <v>5-10</v>
          </cell>
          <cell r="AE564">
            <v>95</v>
          </cell>
          <cell r="AF564">
            <v>2</v>
          </cell>
          <cell r="AG564">
            <v>20</v>
          </cell>
          <cell r="AH564">
            <v>3582811005032</v>
          </cell>
          <cell r="AI564" t="str">
            <v>/</v>
          </cell>
          <cell r="AJ564" t="str">
            <v>ETHN5030V5</v>
          </cell>
          <cell r="AK564" t="str">
            <v>ETHN5030V5</v>
          </cell>
          <cell r="AL564" t="str">
            <v>/</v>
          </cell>
          <cell r="AM564" t="str">
            <v>Sonnentor</v>
          </cell>
        </row>
        <row r="565">
          <cell r="A565" t="str">
            <v>TH1161</v>
          </cell>
          <cell r="B565"/>
          <cell r="C565"/>
          <cell r="D565"/>
          <cell r="E565"/>
          <cell r="F565"/>
          <cell r="G565"/>
          <cell r="H565" t="str">
            <v>LES BIENFAITRICES</v>
          </cell>
          <cell r="I565" t="str">
            <v>LES INFUSIONS DE PLANTES</v>
          </cell>
          <cell r="J565" t="str">
            <v>Reine des prés</v>
          </cell>
          <cell r="K565" t="str">
            <v>Souplesse articulaire &amp; Drainante</v>
          </cell>
          <cell r="L565" t="str">
            <v>Infusion de plante</v>
          </cell>
          <cell r="M565" t="str">
            <v>France</v>
          </cell>
          <cell r="N565" t="str">
            <v>AB</v>
          </cell>
          <cell r="O565" t="str">
            <v>/</v>
          </cell>
          <cell r="P565" t="str">
            <v>/</v>
          </cell>
          <cell r="Q565" t="str">
            <v>/</v>
          </cell>
          <cell r="R565" t="str">
            <v>/</v>
          </cell>
          <cell r="S565" t="str">
            <v>/</v>
          </cell>
          <cell r="T565" t="str">
            <v>Agriculture UE</v>
          </cell>
          <cell r="U565"/>
          <cell r="V565" t="str">
            <v>Reine de nos campagnes, cette plante mellifère aux vertus diurétiques reconnues est aussi une alliée précieuse pour maintenir la souplesse des articulations qu’elle soulage avec efficacité. Utilisée dès le Moyen Âge pour parfumer l’hydromel, elle délivre une infusion très aromatique, aux notes sucrées, qui évoquent notamment les fruits jaunes et les petits-beurre. Un concentré de bienfaits et gourmandise.</v>
          </cell>
          <cell r="W565" t="str">
            <v>S11</v>
          </cell>
          <cell r="X565" t="str">
            <v>Reine de nos campagnes, cette plante mellifère produit une infusion aux vertus diurétiques reconnues et s’avère également être une alliée précieuse pour maintenir la souplesse des articulations. Ses saveurs de fruits jaunes et de petits-beurre en font un concentré de bienfaits et de gourmandise.</v>
          </cell>
          <cell r="Y565"/>
          <cell r="Z565" t="str">
            <v>Ingrédient : reine des prés* (Filipendula ulmaria). *Issu de l'agriculture biologique.</v>
          </cell>
          <cell r="AA565"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565" t="str">
            <v>/</v>
          </cell>
          <cell r="AC565">
            <v>500</v>
          </cell>
          <cell r="AD565" t="str">
            <v>5-10</v>
          </cell>
          <cell r="AE565">
            <v>95</v>
          </cell>
          <cell r="AF565">
            <v>2</v>
          </cell>
          <cell r="AG565">
            <v>250</v>
          </cell>
          <cell r="AH565">
            <v>3582811011613</v>
          </cell>
          <cell r="AI565" t="str">
            <v>/</v>
          </cell>
          <cell r="AJ565" t="str">
            <v>INTERNE</v>
          </cell>
          <cell r="AK565" t="str">
            <v>INTERNE</v>
          </cell>
          <cell r="AL565" t="str">
            <v>/</v>
          </cell>
          <cell r="AM565" t="str">
            <v>?</v>
          </cell>
        </row>
        <row r="566">
          <cell r="A566" t="str">
            <v>TH1162</v>
          </cell>
          <cell r="B566"/>
          <cell r="C566" t="str">
            <v>X</v>
          </cell>
          <cell r="D566" t="str">
            <v>X</v>
          </cell>
          <cell r="E566"/>
          <cell r="F566" t="str">
            <v>GRAI</v>
          </cell>
          <cell r="G566">
            <v>45408</v>
          </cell>
          <cell r="H566" t="str">
            <v>LES BIENFAITRICES</v>
          </cell>
          <cell r="I566" t="str">
            <v>LES INFUSIONS DE PLANTES</v>
          </cell>
          <cell r="J566" t="str">
            <v>Reine des prés</v>
          </cell>
          <cell r="K566" t="str">
            <v>Souplesse articulaire &amp; Drainante</v>
          </cell>
          <cell r="L566" t="str">
            <v>Infusion de plante</v>
          </cell>
          <cell r="M566" t="str">
            <v>France</v>
          </cell>
          <cell r="N566" t="str">
            <v>AB</v>
          </cell>
          <cell r="O566" t="str">
            <v>/</v>
          </cell>
          <cell r="P566" t="str">
            <v>/</v>
          </cell>
          <cell r="Q566" t="str">
            <v>/</v>
          </cell>
          <cell r="R566" t="str">
            <v>/</v>
          </cell>
          <cell r="S566" t="str">
            <v>/</v>
          </cell>
          <cell r="T566" t="str">
            <v>Agriculture UE</v>
          </cell>
          <cell r="U566"/>
          <cell r="V566" t="str">
            <v>Reine de nos campagnes, cette plante mellifère aux vertus diurétiques reconnues est aussi une alliée précieuse pour maintenir la souplesse des articulations qu’elle soulage avec efficacité. Utilisée dès le Moyen Âge pour parfumer l’hydromel, elle délivre une infusion très aromatique, aux notes sucrées, qui évoquent notamment les fruits jaunes et les petits-beurre. Un concentré de bienfaits et gourmandise.</v>
          </cell>
          <cell r="W566" t="str">
            <v>S11</v>
          </cell>
          <cell r="X566" t="str">
            <v>Reine de nos campagnes, cette plante mellifère produit une infusion aux vertus diurétiques reconnues et s’avère également être une alliée précieuse pour maintenir la souplesse des articulations. Ses saveurs de fruits jaunes et de petits-beurre en font un concentré de bienfaits et de gourmandise.</v>
          </cell>
          <cell r="Y566"/>
          <cell r="Z566" t="str">
            <v>Ingrédient : reine des prés* (Filipendula ulmaria). *Issu de l'agriculture biologique.</v>
          </cell>
          <cell r="AA566"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566" t="str">
            <v>/</v>
          </cell>
          <cell r="AC566">
            <v>120</v>
          </cell>
          <cell r="AD566" t="str">
            <v>5-10</v>
          </cell>
          <cell r="AE566">
            <v>95</v>
          </cell>
          <cell r="AF566">
            <v>2</v>
          </cell>
          <cell r="AG566">
            <v>60</v>
          </cell>
          <cell r="AH566">
            <v>3582811011620</v>
          </cell>
          <cell r="AI566" t="str">
            <v>/</v>
          </cell>
          <cell r="AJ566" t="str">
            <v>ETHN1160V5</v>
          </cell>
          <cell r="AK566" t="str">
            <v>ETHN1160V5</v>
          </cell>
          <cell r="AL566" t="str">
            <v>/</v>
          </cell>
          <cell r="AM566" t="str">
            <v>?</v>
          </cell>
        </row>
        <row r="567">
          <cell r="A567" t="str">
            <v>TH5171</v>
          </cell>
          <cell r="B567"/>
          <cell r="C567"/>
          <cell r="D567"/>
          <cell r="E567"/>
          <cell r="F567"/>
          <cell r="G567"/>
          <cell r="H567" t="str">
            <v>LES BIENFAITRICES</v>
          </cell>
          <cell r="I567" t="str">
            <v>LES INFUSIONS DE PLANTES</v>
          </cell>
          <cell r="J567" t="str">
            <v>Remède Elfique</v>
          </cell>
          <cell r="K567" t="str">
            <v>Bien-être
Feuilles de framboisier - Mélisse</v>
          </cell>
          <cell r="L567" t="str">
            <v>Infusion de plantes</v>
          </cell>
          <cell r="M567" t="str">
            <v>/</v>
          </cell>
          <cell r="N567" t="str">
            <v>AB</v>
          </cell>
          <cell r="O567" t="str">
            <v>/</v>
          </cell>
          <cell r="P567" t="str">
            <v>/</v>
          </cell>
          <cell r="Q567" t="str">
            <v>/</v>
          </cell>
          <cell r="R567" t="str">
            <v>/</v>
          </cell>
          <cell r="S567" t="str">
            <v>/</v>
          </cell>
          <cell r="T567" t="str">
            <v>AT-BIO-301
Agriculture UE</v>
          </cell>
          <cell r="U567"/>
          <cell r="V567" t="str">
            <v>Très ancienne recette elfique, transmise par notre ami Aëngys, herboriste réputé chez les Elfes pour ses étonnants pouvoirs magiques. Cet élixir apaisant aide l'organisme à se libérer des toxines accumulées, facilite la digestion et procure une véritable sensation de bien-être. Un remède savoureux dont on aime partager le secret…</v>
          </cell>
          <cell r="W567" t="str">
            <v>S11</v>
          </cell>
          <cell r="X567" t="str">
            <v>Très ancienne recette de tisane, transmise par notre ami Aëngys, un elfe herboriste réputé. L’infusion apaisante aide l'organisme à se libérer des toxines accumulées, facilite la digestion et procure une véritable sensation de bien-être. Un remède elfique savoureux dont on aime à partager le secret…</v>
          </cell>
          <cell r="Y567"/>
          <cell r="Z567" t="str">
            <v>Ingrédients : feuilles de framboisier* 25% (Rubus idaeus), mélisse* 25% (Melissa officinalis), fleurs de tilleul* (Tiliae flos), pétales de bleuet* (Centaurea cyanus), pétales de souci* (Calendula officinalis), feuilles de mûrier* (Rubus fruticosus), romarin* (Rosmarinus officinalis), ortie* (Urtica dioica), serpolet* (Thymus serpyllum), alchémille* (Alchemilla vulgaris L.), boutons de rose* (Rosa damascena). *Issu de l'agriculture biologique.</v>
          </cell>
          <cell r="AA567" t="str">
            <v>Consommation journalière conseillée : 5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567" t="str">
            <v>/</v>
          </cell>
          <cell r="AC567">
            <v>300</v>
          </cell>
          <cell r="AD567" t="str">
            <v>5-10</v>
          </cell>
          <cell r="AE567">
            <v>95</v>
          </cell>
          <cell r="AF567">
            <v>2</v>
          </cell>
          <cell r="AG567">
            <v>150</v>
          </cell>
          <cell r="AH567">
            <v>3582811051718</v>
          </cell>
          <cell r="AI567" t="str">
            <v>/</v>
          </cell>
          <cell r="AJ567" t="str">
            <v>INTERNE</v>
          </cell>
          <cell r="AK567" t="str">
            <v>INTERNE</v>
          </cell>
          <cell r="AL567" t="str">
            <v>/</v>
          </cell>
          <cell r="AM567" t="str">
            <v>Sonnentor</v>
          </cell>
        </row>
        <row r="568">
          <cell r="A568" t="str">
            <v>TH517</v>
          </cell>
          <cell r="B568"/>
          <cell r="C568" t="str">
            <v>X</v>
          </cell>
          <cell r="D568" t="str">
            <v>X</v>
          </cell>
          <cell r="E568"/>
          <cell r="F568" t="str">
            <v>GRAI</v>
          </cell>
          <cell r="G568">
            <v>45408</v>
          </cell>
          <cell r="H568" t="str">
            <v>LES BIENFAITRICES</v>
          </cell>
          <cell r="I568" t="str">
            <v>LES INFUSIONS DE PLANTES</v>
          </cell>
          <cell r="J568" t="str">
            <v>Remède Elfique</v>
          </cell>
          <cell r="K568" t="str">
            <v>Bien-être
Feuilles de framboisier - Mélisse</v>
          </cell>
          <cell r="L568" t="str">
            <v>Infusion de plantes</v>
          </cell>
          <cell r="M568" t="str">
            <v>/</v>
          </cell>
          <cell r="N568" t="str">
            <v>AB</v>
          </cell>
          <cell r="O568" t="str">
            <v>/</v>
          </cell>
          <cell r="P568" t="str">
            <v>/</v>
          </cell>
          <cell r="Q568" t="str">
            <v>/</v>
          </cell>
          <cell r="R568" t="str">
            <v>/</v>
          </cell>
          <cell r="S568" t="str">
            <v>/</v>
          </cell>
          <cell r="T568" t="str">
            <v>AT-BIO-301
Agriculture UE</v>
          </cell>
          <cell r="U568"/>
          <cell r="V568" t="str">
            <v>Très ancienne recette elfique, transmise par notre ami Aëngys, herboriste réputé chez les Elfes pour ses étonnants pouvoirs magiques. Cet élixir apaisant aide l'organisme à se libérer des toxines accumulées, facilite la digestion et procure une véritable sensation de bien-être. Un remède savoureux dont on aime partager le secret…</v>
          </cell>
          <cell r="W568" t="str">
            <v>S11</v>
          </cell>
          <cell r="X568" t="str">
            <v>Très ancienne recette de tisane, transmise par notre ami Aëngys, un elfe herboriste réputé. L’infusion apaisante aide l'organisme à se libérer des toxines accumulées, facilite la digestion et procure une véritable sensation de bien-être. Un remède elfique savoureux dont on aime à partager le secret…</v>
          </cell>
          <cell r="Y568"/>
          <cell r="Z568" t="str">
            <v>Ingrédients : feuilles de framboisier* 25% (Rubus idaeus), mélisse* 25% (Melissa officinalis), fleurs de tilleul* (Tiliae flos), pétales de bleuet* (Centaurea cyanus), pétales de souci* (Calendula officinalis), feuilles de mûrier* (Rubus fruticosus), romarin* (Rosmarinus officinalis), ortie* (Urtica dioica), serpolet* (Thymus serpyllum), alchémille* (Alchemilla vulgaris L.), boutons de rose* (Rosa damascena). *Issu de l'agriculture biologique.</v>
          </cell>
          <cell r="AA568" t="str">
            <v>Consommation journalière conseillée : 5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568" t="str">
            <v>/</v>
          </cell>
          <cell r="AC568">
            <v>50</v>
          </cell>
          <cell r="AD568" t="str">
            <v>5-10</v>
          </cell>
          <cell r="AE568">
            <v>95</v>
          </cell>
          <cell r="AF568">
            <v>2</v>
          </cell>
          <cell r="AG568">
            <v>25</v>
          </cell>
          <cell r="AH568">
            <v>3582811005179</v>
          </cell>
          <cell r="AI568" t="str">
            <v>/</v>
          </cell>
          <cell r="AJ568" t="str">
            <v>ETHN5170V5</v>
          </cell>
          <cell r="AK568" t="str">
            <v>ETHN5170V5</v>
          </cell>
          <cell r="AL568" t="str">
            <v>/</v>
          </cell>
          <cell r="AM568" t="str">
            <v>Sonnentor</v>
          </cell>
        </row>
        <row r="569">
          <cell r="A569" t="str">
            <v>TA7451</v>
          </cell>
          <cell r="B569"/>
          <cell r="C569"/>
          <cell r="D569"/>
          <cell r="E569"/>
          <cell r="F569"/>
          <cell r="G569"/>
          <cell r="H569" t="str">
            <v>LES GRANDS CLASSIQUES</v>
          </cell>
          <cell r="I569"/>
          <cell r="J569" t="str">
            <v>Rendez-vous amoureux</v>
          </cell>
          <cell r="K569" t="str">
            <v>Saveurs litchi - poire</v>
          </cell>
          <cell r="L569" t="str">
            <v>Thé noir aromatisé</v>
          </cell>
          <cell r="M569" t="str">
            <v>Inde</v>
          </cell>
          <cell r="N569" t="str">
            <v>AB</v>
          </cell>
          <cell r="O569" t="str">
            <v>WFTO</v>
          </cell>
          <cell r="P569" t="str">
            <v>/</v>
          </cell>
          <cell r="Q569" t="str">
            <v>/</v>
          </cell>
          <cell r="R569" t="str">
            <v>/</v>
          </cell>
          <cell r="S569" t="str">
            <v>/</v>
          </cell>
          <cell r="T569" t="str">
            <v>Agriculture UE/non UE</v>
          </cell>
          <cell r="U569"/>
          <cell r="V569" t="str">
            <v>Comme un rendez-vous amoureux réussi, la dégustation de ce thé laisse en bouche de doux souvenirs… L'harmonieux mariage litchi-poire, mis en valeur par les saveurs chaleureuses du thé noir, se prolonge avec d'agréables notes miellées d’osmanthe. Une infusion avec laquelle on ne se lasse pas de reprendre rendez-vous…</v>
          </cell>
          <cell r="W569" t="str">
            <v>S16</v>
          </cell>
          <cell r="X569" t="str">
            <v>Comme un rendez-vous amoureux réussi, la dégustation de cette recette à base de thé noir laisse en bouche de doux souvenirs… Le délicieux dialogue du duo litchi-poire, se prolonge avec d'agréables notes miellées d’osmanthe. Une infusion avec laquelle on ne se lasse pas de prendre rendez-vous…</v>
          </cell>
          <cell r="Y569"/>
          <cell r="Z569" t="str">
            <v xml:space="preserve">Ingrédients : thé noir*, arômes naturels de (poire*, litchi) 13%, fleurs (osmanthe*, violette*), pétales de camomille*. *Issu de l'agriculture biologique. </v>
          </cell>
          <cell r="AA569" t="str">
            <v>/</v>
          </cell>
          <cell r="AB569" t="str">
            <v>Membre certifié World Fair Trade Organization, Les Jardins de Gaïa s’engagent pour un commerce plus juste et répondent aux exigences du commerce équitable. Pour en savoir plus : www.wfto.com.</v>
          </cell>
          <cell r="AC569">
            <v>1.5</v>
          </cell>
          <cell r="AD569" t="str">
            <v>3</v>
          </cell>
          <cell r="AE569">
            <v>95</v>
          </cell>
          <cell r="AF569">
            <v>2</v>
          </cell>
          <cell r="AG569">
            <v>750</v>
          </cell>
          <cell r="AH569">
            <v>3582810474518</v>
          </cell>
          <cell r="AI569" t="str">
            <v>/</v>
          </cell>
          <cell r="AJ569" t="str">
            <v>INTERNE</v>
          </cell>
          <cell r="AK569" t="str">
            <v>INTERNE</v>
          </cell>
          <cell r="AL569" t="str">
            <v>/</v>
          </cell>
          <cell r="AM569" t="str">
            <v>Création maison</v>
          </cell>
        </row>
        <row r="570">
          <cell r="A570" t="str">
            <v>TA7452</v>
          </cell>
          <cell r="B570"/>
          <cell r="C570" t="str">
            <v>X</v>
          </cell>
          <cell r="D570" t="str">
            <v>X</v>
          </cell>
          <cell r="E570" t="str">
            <v>X</v>
          </cell>
          <cell r="F570" t="str">
            <v>BRODART</v>
          </cell>
          <cell r="G570"/>
          <cell r="H570" t="str">
            <v>LES GRANDS CLASSIQUES</v>
          </cell>
          <cell r="I570"/>
          <cell r="J570" t="str">
            <v>Rendez-vous amoureux</v>
          </cell>
          <cell r="K570" t="str">
            <v>Saveurs litchi - poire</v>
          </cell>
          <cell r="L570" t="str">
            <v>Thé noir aromatisé</v>
          </cell>
          <cell r="M570" t="str">
            <v>Inde</v>
          </cell>
          <cell r="N570" t="str">
            <v>AB</v>
          </cell>
          <cell r="O570" t="str">
            <v>WFTO</v>
          </cell>
          <cell r="P570" t="str">
            <v>/</v>
          </cell>
          <cell r="Q570" t="str">
            <v>/</v>
          </cell>
          <cell r="R570" t="str">
            <v>/</v>
          </cell>
          <cell r="S570" t="str">
            <v>/</v>
          </cell>
          <cell r="T570" t="str">
            <v>Agriculture UE/non UE</v>
          </cell>
          <cell r="U570"/>
          <cell r="V570" t="str">
            <v>Comme un rendez-vous amoureux réussi, la dégustation de ce thé laisse en bouche de doux souvenirs… L'harmonieux mariage litchi-poire, mis en valeur par les saveurs chaleureuses du thé noir, se prolonge avec d'agréables notes miellées d’osmanthe. Une infusion avec laquelle on ne se lasse pas de reprendre rendez-vous…</v>
          </cell>
          <cell r="W570" t="str">
            <v>S16</v>
          </cell>
          <cell r="X570" t="str">
            <v>Comme un rendez-vous amoureux réussi, la dégustation de cette recette à base de thé noir laisse en bouche de doux souvenirs… Le délicieux dialogue du duo litchi-poire, se prolonge avec d'agréables notes miellées d’osmanthe. Une infusion avec laquelle on ne se lasse pas de prendre rendez-vous…</v>
          </cell>
          <cell r="Y570"/>
          <cell r="Z570" t="str">
            <v xml:space="preserve">Ingrédients : thé noir*, arômes naturels de (poire*, litchi) 13%, fleurs (osmanthe*, violette*), pétales de camomille*. *Issu de l'agriculture biologique. </v>
          </cell>
          <cell r="AA570" t="str">
            <v>/</v>
          </cell>
          <cell r="AB570" t="str">
            <v>Membre certifié World Fair Trade Organization, Les Jardins de Gaïa s’engagent pour un commerce plus juste et répondent aux exigences du commerce équitable. Pour en savoir plus : www.wfto.com.</v>
          </cell>
          <cell r="AC570">
            <v>100</v>
          </cell>
          <cell r="AD570" t="str">
            <v>3</v>
          </cell>
          <cell r="AE570">
            <v>95</v>
          </cell>
          <cell r="AF570">
            <v>2</v>
          </cell>
          <cell r="AG570">
            <v>50</v>
          </cell>
          <cell r="AH570">
            <v>3582810474525</v>
          </cell>
          <cell r="AI570" t="str">
            <v>/</v>
          </cell>
          <cell r="AJ570" t="str">
            <v>ETNA745V5</v>
          </cell>
          <cell r="AK570" t="str">
            <v>ETNA745V5</v>
          </cell>
          <cell r="AL570" t="str">
            <v>ETCNA7452V5</v>
          </cell>
          <cell r="AM570" t="str">
            <v>Création maison</v>
          </cell>
        </row>
        <row r="571">
          <cell r="A571" t="str">
            <v>TUTA7452</v>
          </cell>
          <cell r="B571"/>
          <cell r="C571"/>
          <cell r="D571"/>
          <cell r="E571"/>
          <cell r="F571"/>
          <cell r="G571"/>
          <cell r="H571" t="str">
            <v>LES GRANDS CLASSIQUES</v>
          </cell>
          <cell r="I571"/>
          <cell r="J571" t="str">
            <v>Rendez-vous amoureux</v>
          </cell>
          <cell r="K571" t="str">
            <v>Saveurs litchi - poire</v>
          </cell>
          <cell r="L571" t="str">
            <v>Thé noir aromatisé</v>
          </cell>
          <cell r="M571" t="str">
            <v>Inde</v>
          </cell>
          <cell r="N571" t="str">
            <v>AB</v>
          </cell>
          <cell r="O571" t="str">
            <v>WFTO</v>
          </cell>
          <cell r="P571" t="str">
            <v>/</v>
          </cell>
          <cell r="Q571" t="str">
            <v>/</v>
          </cell>
          <cell r="R571" t="str">
            <v>/</v>
          </cell>
          <cell r="S571" t="str">
            <v>/</v>
          </cell>
          <cell r="T571" t="str">
            <v>Agriculture UE/non UE</v>
          </cell>
          <cell r="U571"/>
          <cell r="V571" t="str">
            <v>Comme un rendez-vous amoureux réussi, la dégustation de ce thé laisse en bouche de doux souvenirs… L'harmonieux mariage litchi-poire, mis en valeur par les saveurs chaleureuses du thé noir, se prolonge avec d'agréables notes miellées d’osmanthe. Une infusion avec laquelle on ne se lasse pas de reprendre rendez-vous…</v>
          </cell>
          <cell r="W571" t="str">
            <v>S16</v>
          </cell>
          <cell r="X571" t="str">
            <v>Comme un rendez-vous amoureux réussi, la dégustation de cette recette à base de thé noir laisse en bouche de doux souvenirs… Le délicieux dialogue du duo litchi-poire, se prolonge avec d'agréables notes miellées d’osmanthe. Une infusion avec laquelle on ne se lasse pas de prendre rendez-vous…</v>
          </cell>
          <cell r="Y571"/>
          <cell r="Z571" t="str">
            <v xml:space="preserve">Ingrédients : thé noir*, arômes naturels de (poire*, litchi) 13%, fleurs (osmanthe*, violette*), pétales de camomille*. *Issu de l'agriculture biologique. </v>
          </cell>
          <cell r="AA571" t="str">
            <v>/</v>
          </cell>
          <cell r="AB571" t="str">
            <v>Membre certifié World Fair Trade Organization, Les Jardins de Gaïa s’engagent pour un commerce plus juste et répondent aux exigences du commerce équitable. Pour en savoir plus : www.wfto.com.</v>
          </cell>
          <cell r="AC571">
            <v>100</v>
          </cell>
          <cell r="AD571" t="str">
            <v>3</v>
          </cell>
          <cell r="AE571">
            <v>95</v>
          </cell>
          <cell r="AF571">
            <v>2</v>
          </cell>
          <cell r="AG571">
            <v>50</v>
          </cell>
          <cell r="AH571">
            <v>3582815674524</v>
          </cell>
          <cell r="AI571" t="str">
            <v>/</v>
          </cell>
          <cell r="AJ571" t="str">
            <v>ETTUNA7452V5</v>
          </cell>
          <cell r="AK571" t="str">
            <v>ETTUNA7452V5</v>
          </cell>
          <cell r="AL571" t="str">
            <v>/</v>
          </cell>
          <cell r="AM571" t="str">
            <v>Création maison</v>
          </cell>
        </row>
        <row r="572">
          <cell r="A572" t="str">
            <v>TH0651</v>
          </cell>
          <cell r="B572"/>
          <cell r="C572"/>
          <cell r="D572"/>
          <cell r="E572"/>
          <cell r="F572"/>
          <cell r="G572"/>
          <cell r="H572" t="str">
            <v>LES BIENFAITRICES</v>
          </cell>
          <cell r="I572" t="str">
            <v>LES INFUSIONS DE PLANTES</v>
          </cell>
          <cell r="J572" t="str">
            <v>Repas relax</v>
          </cell>
          <cell r="K572" t="str">
            <v>Digestive
Romarin - Fenouil - Coriandre - Lavande</v>
          </cell>
          <cell r="L572" t="str">
            <v>Infusion de plantes</v>
          </cell>
          <cell r="M572" t="str">
            <v>/</v>
          </cell>
          <cell r="N572" t="str">
            <v>AB</v>
          </cell>
          <cell r="O572" t="str">
            <v>/</v>
          </cell>
          <cell r="P572" t="str">
            <v>/</v>
          </cell>
          <cell r="Q572" t="str">
            <v>/</v>
          </cell>
          <cell r="R572" t="str">
            <v>/</v>
          </cell>
          <cell r="S572" t="str">
            <v>/</v>
          </cell>
          <cell r="T572" t="str">
            <v>Agriculture UE/non UE</v>
          </cell>
          <cell r="U572"/>
          <cell r="V572" t="str">
            <v>Ouvrez votre appétit et faites-vous plaisir à table sans redouter la fin du repas… Cette tisane qui stimule la digestion et facilite l’élimination, particulièrement lumineuse et agréable à l’œil est un véritable coup de pouce pour les ventres paresseux. Ses saveurs où se mêlent des notes épicées, sucrées, anisées et iodées offrent un dernier plaisir gustatif avant une sortie de table tout en légèreté.</v>
          </cell>
          <cell r="W572" t="str">
            <v>S12</v>
          </cell>
          <cell r="X572" t="str">
            <v xml:space="preserve">Faites-vous plaisir à table sans redouter la fin du repas avec cette tisane qui stimule la digestion et facilite l’élimination. Particulièrement lumineuse et agréable à l’œil son infusion aux notes épicées, sucrées, anisées et iodées est un véritable coup de pouce pour les ventres paresseux. </v>
          </cell>
          <cell r="Y572"/>
          <cell r="Z572" t="str">
            <v>Ingrédients : romarin* 33% (Rosmarinus officinalis), lemongrass* (Cymbopogon citratus), fenouil* 19% (Foeniculum vulgare), coriandre* 10% (Coriandrum sativum), lavande* 3% (Lavandula augustifolia), curcuma* (Curcuma longa), pétales de souci* (Calendula officinalis). *Issu de l'agriculture biologique.</v>
          </cell>
          <cell r="AA572"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572" t="str">
            <v>/</v>
          </cell>
          <cell r="AC572">
            <v>750</v>
          </cell>
          <cell r="AD572" t="str">
            <v>5-10</v>
          </cell>
          <cell r="AE572">
            <v>95</v>
          </cell>
          <cell r="AF572">
            <v>2</v>
          </cell>
          <cell r="AG572">
            <v>375</v>
          </cell>
          <cell r="AH572">
            <v>3582811006510</v>
          </cell>
          <cell r="AI572" t="str">
            <v>/</v>
          </cell>
          <cell r="AJ572" t="str">
            <v>INTERNE</v>
          </cell>
          <cell r="AK572" t="str">
            <v>INTERNE</v>
          </cell>
          <cell r="AL572" t="str">
            <v>/</v>
          </cell>
          <cell r="AM572" t="str">
            <v>?</v>
          </cell>
        </row>
        <row r="573">
          <cell r="A573" t="str">
            <v>TH0652</v>
          </cell>
          <cell r="B573"/>
          <cell r="C573" t="str">
            <v>X</v>
          </cell>
          <cell r="D573" t="str">
            <v>X</v>
          </cell>
          <cell r="E573"/>
          <cell r="F573" t="str">
            <v>GRAI</v>
          </cell>
          <cell r="G573">
            <v>45408</v>
          </cell>
          <cell r="H573" t="str">
            <v>LES BIENFAITRICES</v>
          </cell>
          <cell r="I573" t="str">
            <v>LES INFUSIONS DE PLANTES</v>
          </cell>
          <cell r="J573" t="str">
            <v>Repas relax</v>
          </cell>
          <cell r="K573" t="str">
            <v>Digestive
Romarin - Fenouil - Coriandre - Lavande</v>
          </cell>
          <cell r="L573" t="str">
            <v>Infusion de plantes</v>
          </cell>
          <cell r="M573" t="str">
            <v>/</v>
          </cell>
          <cell r="N573" t="str">
            <v>AB</v>
          </cell>
          <cell r="O573" t="str">
            <v>/</v>
          </cell>
          <cell r="P573" t="str">
            <v>/</v>
          </cell>
          <cell r="Q573" t="str">
            <v>/</v>
          </cell>
          <cell r="R573" t="str">
            <v>/</v>
          </cell>
          <cell r="S573" t="str">
            <v>/</v>
          </cell>
          <cell r="T573" t="str">
            <v>Agriculture UE/non UE</v>
          </cell>
          <cell r="U573"/>
          <cell r="V573" t="str">
            <v>Ouvrez votre appétit et faites-vous plaisir à table sans redouter la fin du repas… Cette tisane qui stimule la digestion et facilite l’élimination, particulièrement lumineuse et agréable à l’œil est un véritable coup de pouce pour les ventres paresseux. Ses saveurs où se mêlent des notes épicées, sucrées, anisées et iodées offrent un dernier plaisir gustatif avant une sortie de table tout en légèreté.</v>
          </cell>
          <cell r="W573" t="str">
            <v>S12</v>
          </cell>
          <cell r="X573" t="str">
            <v xml:space="preserve">Faites-vous plaisir à table sans redouter la fin du repas avec cette tisane qui stimule la digestion et facilite l’élimination. Particulièrement lumineuse et agréable à l’œil son infusion aux notes épicées, sucrées, anisées et iodées est un véritable coup de pouce pour les ventres paresseux. </v>
          </cell>
          <cell r="Y573"/>
          <cell r="Z573" t="str">
            <v>Ingrédients : romarin* 33% (Rosmarinus officinalis), lemongrass* (Cymbopogon citratus), fenouil* 19% (Foeniculum vulgare), coriandre* 10% (Coriandrum sativum), lavande* 3% (Lavandula augustifolia), curcuma* (Curcuma longa), pétales de souci* (Calendula officinalis). *Issu de l'agriculture biologique.</v>
          </cell>
          <cell r="AA573"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573" t="str">
            <v>/</v>
          </cell>
          <cell r="AC573">
            <v>100</v>
          </cell>
          <cell r="AD573" t="str">
            <v>5-10</v>
          </cell>
          <cell r="AE573">
            <v>95</v>
          </cell>
          <cell r="AF573">
            <v>2</v>
          </cell>
          <cell r="AG573">
            <v>50</v>
          </cell>
          <cell r="AH573">
            <v>3582811006527</v>
          </cell>
          <cell r="AI573" t="str">
            <v>/</v>
          </cell>
          <cell r="AJ573" t="str">
            <v>ETHN0650V5</v>
          </cell>
          <cell r="AK573" t="str">
            <v>ETHN0650V5</v>
          </cell>
          <cell r="AL573" t="str">
            <v>/</v>
          </cell>
          <cell r="AM573" t="str">
            <v>?</v>
          </cell>
        </row>
        <row r="574">
          <cell r="A574" t="str">
            <v>TR2461</v>
          </cell>
          <cell r="B574"/>
          <cell r="C574"/>
          <cell r="D574"/>
          <cell r="E574"/>
          <cell r="F574"/>
          <cell r="G574"/>
          <cell r="H574" t="str">
            <v>LES GRANDS CLASSIQUES</v>
          </cell>
          <cell r="I574"/>
          <cell r="J574" t="str">
            <v>Respire la vie</v>
          </cell>
          <cell r="K574" t="str">
            <v>Macis - Lavande - Saveur mûre</v>
          </cell>
          <cell r="L574" t="str">
            <v>Rooibos aromatisé</v>
          </cell>
          <cell r="M574" t="str">
            <v>Afrique du Sud - Cap Occidental</v>
          </cell>
          <cell r="N574" t="str">
            <v>AB</v>
          </cell>
          <cell r="O574" t="str">
            <v>WFTO</v>
          </cell>
          <cell r="P574" t="str">
            <v>/</v>
          </cell>
          <cell r="Q574" t="str">
            <v>/</v>
          </cell>
          <cell r="R574" t="str">
            <v>/</v>
          </cell>
          <cell r="S574" t="str">
            <v>/</v>
          </cell>
          <cell r="T574" t="str">
            <v>Agriculture UE/non UE</v>
          </cell>
          <cell r="U574"/>
          <cell r="V574" t="str">
            <v xml:space="preserve">Inspirer… expirer… et revenir à l’essentiel sur les deux temps de la mélodie de la vie. Cette création maison d’un bel équilibre entre notes fruitées (mûre, myrtille), florales (lavande) et épicées (macis) évoque l’enchantement d’une balade en forêt. Chaque gorgée est une invitation à prendre conscience de la beauté fragile du monde qui nous entoure et donne naturellement envie de respirer la vie ! </v>
          </cell>
          <cell r="W574"/>
          <cell r="X574" t="str">
            <v>Sur une base de rooibos vert, les notes fruitées du duo mûre-myrtille, florales de la lavande et épicées du macis s’accordent parfaitement pour offrir une mélodie de saveurs. Chaque gorgée est une invitation à prendre conscience du monde qui nous entoure. Une vraie bouffée d'oxygène et de plaisir !</v>
          </cell>
          <cell r="Y574"/>
          <cell r="Z574" t="str">
            <v>Ingrédients : rooibos vert*, arômes naturels de (mûre* 7%, myrtille*, fraise*), fleurs (macis*, lavande*) 9%, pétales de fleurs (coquelicot*, bleuet*), baies d'aronia*. *Issu de l'agriculture biologique.</v>
          </cell>
          <cell r="AA574" t="str">
            <v>/</v>
          </cell>
          <cell r="AB574" t="str">
            <v>/</v>
          </cell>
          <cell r="AC574">
            <v>1.5</v>
          </cell>
          <cell r="AD574" t="str">
            <v>5-10</v>
          </cell>
          <cell r="AE574">
            <v>95</v>
          </cell>
          <cell r="AF574">
            <v>2</v>
          </cell>
          <cell r="AG574">
            <v>750</v>
          </cell>
          <cell r="AH574">
            <v>3582810924617</v>
          </cell>
          <cell r="AI574" t="str">
            <v>/</v>
          </cell>
          <cell r="AJ574" t="str">
            <v>INTERNE</v>
          </cell>
          <cell r="AK574" t="str">
            <v>INTERNE</v>
          </cell>
          <cell r="AL574" t="str">
            <v>/</v>
          </cell>
          <cell r="AM574" t="str">
            <v>Création maison</v>
          </cell>
        </row>
        <row r="575">
          <cell r="A575" t="str">
            <v>TR2462</v>
          </cell>
          <cell r="B575"/>
          <cell r="C575" t="str">
            <v>X</v>
          </cell>
          <cell r="D575" t="str">
            <v>X</v>
          </cell>
          <cell r="E575" t="str">
            <v>X</v>
          </cell>
          <cell r="F575" t="str">
            <v>GRAI</v>
          </cell>
          <cell r="G575">
            <v>45383</v>
          </cell>
          <cell r="H575" t="str">
            <v>LES GRANDS CLASSIQUES</v>
          </cell>
          <cell r="I575"/>
          <cell r="J575" t="str">
            <v>Respire la vie</v>
          </cell>
          <cell r="K575" t="str">
            <v>Macis - Lavande - Saveur mûre</v>
          </cell>
          <cell r="L575" t="str">
            <v>Rooibos aromatisé</v>
          </cell>
          <cell r="M575" t="str">
            <v>Afrique du Sud - Cap Occidental</v>
          </cell>
          <cell r="N575" t="str">
            <v>AB</v>
          </cell>
          <cell r="O575" t="str">
            <v>WFTO</v>
          </cell>
          <cell r="P575" t="str">
            <v>/</v>
          </cell>
          <cell r="Q575" t="str">
            <v>/</v>
          </cell>
          <cell r="R575" t="str">
            <v>/</v>
          </cell>
          <cell r="S575" t="str">
            <v>/</v>
          </cell>
          <cell r="T575" t="str">
            <v>Agriculture UE/non UE</v>
          </cell>
          <cell r="U575"/>
          <cell r="V575" t="str">
            <v xml:space="preserve">Inspirer… expirer… et revenir à l’essentiel sur les deux temps de la mélodie de la vie. Cette création maison d’un bel équilibre entre notes fruitées (mûre, myrtille), florales (lavande) et épicées (macis) évoque l’enchantement d’une balade en forêt. Chaque gorgée est une invitation à prendre conscience de la beauté fragile du monde qui nous entoure et donne naturellement envie de respirer la vie ! </v>
          </cell>
          <cell r="W575"/>
          <cell r="X575" t="str">
            <v>Sur une base de rooibos vert, les notes fruitées du duo mûre-myrtille, florales de la lavande et épicées du macis s’accordent parfaitement pour offrir une mélodie de saveurs. Chaque gorgée est une invitation à prendre conscience du monde qui nous entoure. Une vraie bouffée d'oxygène et de plaisir !</v>
          </cell>
          <cell r="Y575"/>
          <cell r="Z575" t="str">
            <v>Ingrédients : rooibos vert*, arômes naturels de (mûre* 7%, myrtille*, fraise*), fleurs (macis*, lavande*) 9%, pétales de fleurs (coquelicot*, bleuet*), baies d'aronia*. *Issu de l'agriculture biologique.</v>
          </cell>
          <cell r="AA575" t="str">
            <v>/</v>
          </cell>
          <cell r="AB575" t="str">
            <v>/</v>
          </cell>
          <cell r="AC575">
            <v>100</v>
          </cell>
          <cell r="AD575" t="str">
            <v>5-10</v>
          </cell>
          <cell r="AE575">
            <v>95</v>
          </cell>
          <cell r="AF575">
            <v>2</v>
          </cell>
          <cell r="AG575">
            <v>50</v>
          </cell>
          <cell r="AH575">
            <v>3582810924624</v>
          </cell>
          <cell r="AI575" t="str">
            <v>/</v>
          </cell>
          <cell r="AJ575" t="str">
            <v>ETRA246V5</v>
          </cell>
          <cell r="AK575" t="str">
            <v>ETRA246V5</v>
          </cell>
          <cell r="AL575" t="str">
            <v>ETCRA2462V5</v>
          </cell>
          <cell r="AM575" t="str">
            <v>Kings product</v>
          </cell>
        </row>
        <row r="576">
          <cell r="A576" t="str">
            <v>TUTR2462</v>
          </cell>
          <cell r="B576"/>
          <cell r="C576"/>
          <cell r="D576"/>
          <cell r="E576"/>
          <cell r="F576"/>
          <cell r="G576"/>
          <cell r="H576" t="str">
            <v>LES GRANDS CLASSIQUES</v>
          </cell>
          <cell r="I576"/>
          <cell r="J576" t="str">
            <v>Respire la vie</v>
          </cell>
          <cell r="K576" t="str">
            <v>Macis - Lavande - Saveur mûre</v>
          </cell>
          <cell r="L576" t="str">
            <v>Rooibos aromatisé</v>
          </cell>
          <cell r="M576" t="str">
            <v>Afrique du Sud - Cap Occidental</v>
          </cell>
          <cell r="N576" t="str">
            <v>AB</v>
          </cell>
          <cell r="O576" t="str">
            <v>WFTO</v>
          </cell>
          <cell r="P576" t="str">
            <v>/</v>
          </cell>
          <cell r="Q576" t="str">
            <v>/</v>
          </cell>
          <cell r="R576" t="str">
            <v>/</v>
          </cell>
          <cell r="S576" t="str">
            <v>/</v>
          </cell>
          <cell r="T576" t="str">
            <v>Agriculture UE/non UE</v>
          </cell>
          <cell r="U576"/>
          <cell r="V576" t="str">
            <v xml:space="preserve">Inspirer… expirer… et revenir à l’essentiel sur les deux temps de la mélodie de la vie. Cette création maison d’un bel équilibre entre notes fruitées (mûre, myrtille), florales (lavande) et épicées (macis) évoque l’enchantement d’une balade en forêt. Chaque gorgée est une invitation à prendre conscience de la beauté fragile du monde qui nous entoure et donne naturellement envie de respirer la vie ! </v>
          </cell>
          <cell r="W576"/>
          <cell r="X576" t="str">
            <v>Sur une base de rooibos vert, les notes fruitées du duo mûre-myrtille, florales de la lavande et épicées du macis s’accordent parfaitement pour offrir une mélodie de saveurs. Chaque gorgée est une invitation à prendre conscience du monde qui nous entoure. Une vraie bouffée d'oxygène et de plaisir !</v>
          </cell>
          <cell r="Y576"/>
          <cell r="Z576" t="str">
            <v>Ingrédients : rooibos vert*, arômes naturels de (mûre* 7%, myrtille*, fraise*), fleurs (macis*, lavande*) 9%, pétales de fleurs (coquelicot*, bleuet*), baies d'aronia*. *Issu de l'agriculture biologique.</v>
          </cell>
          <cell r="AA576" t="str">
            <v>/</v>
          </cell>
          <cell r="AB576" t="str">
            <v>/</v>
          </cell>
          <cell r="AC576">
            <v>100</v>
          </cell>
          <cell r="AD576" t="str">
            <v>5-10</v>
          </cell>
          <cell r="AE576">
            <v>95</v>
          </cell>
          <cell r="AF576">
            <v>2</v>
          </cell>
          <cell r="AG576">
            <v>50</v>
          </cell>
          <cell r="AH576">
            <v>3582815624628</v>
          </cell>
          <cell r="AI576" t="str">
            <v>/</v>
          </cell>
          <cell r="AJ576" t="str">
            <v>ETTURA2462V5</v>
          </cell>
          <cell r="AK576" t="str">
            <v>ETTURA2462V5</v>
          </cell>
          <cell r="AL576" t="str">
            <v>/</v>
          </cell>
          <cell r="AM576" t="str">
            <v>Création maison</v>
          </cell>
        </row>
        <row r="577">
          <cell r="A577" t="str">
            <v>TA7291</v>
          </cell>
          <cell r="B577"/>
          <cell r="C577"/>
          <cell r="D577"/>
          <cell r="E577"/>
          <cell r="F577"/>
          <cell r="G577"/>
          <cell r="H577" t="str">
            <v>LES GRANDS CLASSIQUES</v>
          </cell>
          <cell r="I577"/>
          <cell r="J577" t="str">
            <v>Retour de cueillette</v>
          </cell>
          <cell r="K577" t="str">
            <v>Fruits rouges</v>
          </cell>
          <cell r="L577" t="str">
            <v>Thé noir aromatisé</v>
          </cell>
          <cell r="M577" t="str">
            <v>Inde</v>
          </cell>
          <cell r="N577" t="str">
            <v>AB</v>
          </cell>
          <cell r="O577" t="str">
            <v>WFTO</v>
          </cell>
          <cell r="P577" t="str">
            <v>/</v>
          </cell>
          <cell r="Q577" t="str">
            <v>/</v>
          </cell>
          <cell r="R577" t="str">
            <v>/</v>
          </cell>
          <cell r="S577" t="str">
            <v>/</v>
          </cell>
          <cell r="T577" t="str">
            <v>Agriculture UE/non UE</v>
          </cell>
          <cell r="U577"/>
          <cell r="V577" t="str">
            <v>Réunie dans un même panier, cette délicieuse recette aux saveurs de fruits de fin d’été, agrémentée de pétales de roses, accompagne une sélection de thés noirs doux et ronds. À savourer avec tendresse.</v>
          </cell>
          <cell r="W577" t="str">
            <v>S16</v>
          </cell>
          <cell r="X577" t="str">
            <v>Comme le retour d’une cueillette abondante, cette recette à base de thé noir joliment agrémentée de pétales de roses est une fête pour les papilles. Cerise, mirabelle, mûre, cassis, groseille, baies d’aronia, impossible de résister à ce festival de saveurs fruitées et gourmandes.</v>
          </cell>
          <cell r="Y577"/>
          <cell r="Z577" t="str">
            <v xml:space="preserve">Ingrédients : thé noir*, arômes naturels de (cerise* 2%, mirabelle, mûre* 1%, cassis*), baies (aronia*, groseille* 1%), pétales de rose*. *Issu de l'agriculture biologique. </v>
          </cell>
          <cell r="AA577" t="str">
            <v>/</v>
          </cell>
          <cell r="AB577" t="str">
            <v>Membre certifié World Fair Trade Organization, Les Jardins de Gaïa s’engagent pour un commerce plus juste et répondent aux exigences du commerce équitable. Pour en savoir plus : www.wfto.com.</v>
          </cell>
          <cell r="AC577">
            <v>1.5</v>
          </cell>
          <cell r="AD577" t="str">
            <v>3-4</v>
          </cell>
          <cell r="AE577">
            <v>90</v>
          </cell>
          <cell r="AF577">
            <v>2</v>
          </cell>
          <cell r="AG577">
            <v>750</v>
          </cell>
          <cell r="AH577">
            <v>3582810472910</v>
          </cell>
          <cell r="AI577" t="str">
            <v>/</v>
          </cell>
          <cell r="AJ577" t="str">
            <v>INTERNE</v>
          </cell>
          <cell r="AK577" t="str">
            <v>INTERNE</v>
          </cell>
          <cell r="AL577" t="str">
            <v>/</v>
          </cell>
          <cell r="AM577" t="str">
            <v>Création maison</v>
          </cell>
        </row>
        <row r="578">
          <cell r="A578" t="str">
            <v>TA7292</v>
          </cell>
          <cell r="B578"/>
          <cell r="C578" t="str">
            <v>X</v>
          </cell>
          <cell r="D578" t="str">
            <v>X</v>
          </cell>
          <cell r="E578" t="str">
            <v>X</v>
          </cell>
          <cell r="F578" t="str">
            <v>BRODART</v>
          </cell>
          <cell r="G578"/>
          <cell r="H578" t="str">
            <v>LES GRANDS CLASSIQUES</v>
          </cell>
          <cell r="I578"/>
          <cell r="J578" t="str">
            <v>Retour de cueillette</v>
          </cell>
          <cell r="K578" t="str">
            <v>Fruits rouges</v>
          </cell>
          <cell r="L578" t="str">
            <v>Thé noir aromatisé</v>
          </cell>
          <cell r="M578" t="str">
            <v>Inde</v>
          </cell>
          <cell r="N578" t="str">
            <v>AB</v>
          </cell>
          <cell r="O578" t="str">
            <v>WFTO</v>
          </cell>
          <cell r="P578" t="str">
            <v>/</v>
          </cell>
          <cell r="Q578" t="str">
            <v>/</v>
          </cell>
          <cell r="R578" t="str">
            <v>/</v>
          </cell>
          <cell r="S578" t="str">
            <v>/</v>
          </cell>
          <cell r="T578" t="str">
            <v>Agriculture UE/non UE</v>
          </cell>
          <cell r="U578"/>
          <cell r="V578" t="str">
            <v>Réunie dans un même panier, cette délicieuse recette aux saveurs de fruits de fin d’été, agrémentée de pétales de roses, accompagne une sélection de thés noirs doux et ronds. À savourer avec tendresse.</v>
          </cell>
          <cell r="W578" t="str">
            <v>S16</v>
          </cell>
          <cell r="X578" t="str">
            <v>Comme le retour d’une cueillette abondante, cette recette à base de thé noir joliment agrémentée de pétales de roses est une fête pour les papilles. Cerise, mirabelle, mûre, cassis, groseille, baies d’aronia, impossible de résister à ce festival de saveurs fruitées et gourmandes.</v>
          </cell>
          <cell r="Y578"/>
          <cell r="Z578" t="str">
            <v xml:space="preserve">Ingrédients : thé noir*, arômes naturels de (cerise* 2%, mirabelle, mûre* 1%, cassis*), baies (aronia*, groseille* 1%), pétales de rose*. *Issu de l'agriculture biologique. </v>
          </cell>
          <cell r="AA578" t="str">
            <v>/</v>
          </cell>
          <cell r="AB578" t="str">
            <v>Membre certifié World Fair Trade Organization, Les Jardins de Gaïa s’engagent pour un commerce plus juste et répondent aux exigences du commerce équitable. Pour en savoir plus : www.wfto.com.</v>
          </cell>
          <cell r="AC578">
            <v>100</v>
          </cell>
          <cell r="AD578" t="str">
            <v>3-4</v>
          </cell>
          <cell r="AE578">
            <v>90</v>
          </cell>
          <cell r="AF578">
            <v>2</v>
          </cell>
          <cell r="AG578">
            <v>50</v>
          </cell>
          <cell r="AH578">
            <v>3582810472927</v>
          </cell>
          <cell r="AI578" t="str">
            <v>/</v>
          </cell>
          <cell r="AJ578" t="str">
            <v>ETNA729V5</v>
          </cell>
          <cell r="AK578" t="str">
            <v>ETNA729V5</v>
          </cell>
          <cell r="AL578" t="str">
            <v>ETCNA7292V5</v>
          </cell>
          <cell r="AM578" t="str">
            <v>Création maison</v>
          </cell>
        </row>
        <row r="579">
          <cell r="A579" t="str">
            <v>TA5011</v>
          </cell>
          <cell r="B579"/>
          <cell r="C579"/>
          <cell r="D579"/>
          <cell r="E579"/>
          <cell r="F579"/>
          <cell r="G579"/>
          <cell r="H579" t="str">
            <v>LES GRANDS CLASSIQUES</v>
          </cell>
          <cell r="I579"/>
          <cell r="J579" t="str">
            <v>Rêve de Femme</v>
          </cell>
          <cell r="K579" t="str">
            <v>Mangue - Saveur pêche</v>
          </cell>
          <cell r="L579" t="str">
            <v>Thé blanc aromatisé</v>
          </cell>
          <cell r="M579" t="str">
            <v>Chine - Fujian</v>
          </cell>
          <cell r="N579" t="str">
            <v>AB</v>
          </cell>
          <cell r="O579" t="str">
            <v>WFTO</v>
          </cell>
          <cell r="P579" t="str">
            <v>/</v>
          </cell>
          <cell r="Q579" t="str">
            <v>/</v>
          </cell>
          <cell r="R579" t="str">
            <v>/</v>
          </cell>
          <cell r="S579" t="str">
            <v>/</v>
          </cell>
          <cell r="T579" t="str">
            <v>Agriculture UE/non UE</v>
          </cell>
          <cell r="U579"/>
          <cell r="V579" t="str">
            <v>Images délicieuses qui s'entremêlent aux parfums… Intemporel et légendaire, ce thé blanc d'une grande douceur se marie avec bonheur aux notes charnues, sucrées de la pêche et de la mangue. Son infusion dépose sur le palais un petit goût de paradis.</v>
          </cell>
          <cell r="W579"/>
          <cell r="X579" t="str">
            <v>Sur son lit de thé blanc, cette recette sait marier les saveurs en associant la douceur et la finesse à l’image d’un rêve de femme. Les notes charnues et sucrées de la pêche et de la mangue fusionnent merveilleusement en déposant sur le palais comme un petit goût de paradis.</v>
          </cell>
          <cell r="Y579"/>
          <cell r="Z579" t="str">
            <v>Ingrédients : thé blanc*, arômes naturels de (mangue*, pêche*) 8%, pétales de rose*, morceaux de mangue* 3%. *Issu de l'agriculture biologique.</v>
          </cell>
          <cell r="AA579" t="str">
            <v>/</v>
          </cell>
          <cell r="AB579" t="str">
            <v>Membre certifié World Fair Trade Organization, Les Jardins de Gaïa s’engagent pour un commerce plus juste et répondent aux exigences du commerce équitable. Pour en savoir plus : www.wfto.com.</v>
          </cell>
          <cell r="AC579">
            <v>1.5</v>
          </cell>
          <cell r="AD579" t="str">
            <v>3-4</v>
          </cell>
          <cell r="AE579">
            <v>80</v>
          </cell>
          <cell r="AF579">
            <v>2</v>
          </cell>
          <cell r="AG579">
            <v>750</v>
          </cell>
          <cell r="AH579">
            <v>3582810650110</v>
          </cell>
          <cell r="AI579" t="str">
            <v>/</v>
          </cell>
          <cell r="AJ579" t="str">
            <v>INTERNE</v>
          </cell>
          <cell r="AK579" t="str">
            <v>INTERNE</v>
          </cell>
          <cell r="AL579" t="str">
            <v>/</v>
          </cell>
          <cell r="AM579" t="str">
            <v>Création maison</v>
          </cell>
        </row>
        <row r="580">
          <cell r="A580" t="str">
            <v>TA5016</v>
          </cell>
          <cell r="B580"/>
          <cell r="C580" t="str">
            <v>X</v>
          </cell>
          <cell r="D580" t="str">
            <v>X</v>
          </cell>
          <cell r="E580" t="str">
            <v>X</v>
          </cell>
          <cell r="F580" t="str">
            <v>GRAI</v>
          </cell>
          <cell r="G580">
            <v>45383</v>
          </cell>
          <cell r="H580" t="str">
            <v>LES GRANDS CLASSIQUES</v>
          </cell>
          <cell r="I580"/>
          <cell r="J580" t="str">
            <v>Rêve de Femme</v>
          </cell>
          <cell r="K580" t="str">
            <v>Mangue - Saveur pêche</v>
          </cell>
          <cell r="L580" t="str">
            <v>Thé blanc aromatisé</v>
          </cell>
          <cell r="M580" t="str">
            <v>Chine - Fujian</v>
          </cell>
          <cell r="N580" t="str">
            <v>AB</v>
          </cell>
          <cell r="O580" t="str">
            <v>WFTO</v>
          </cell>
          <cell r="P580" t="str">
            <v>/</v>
          </cell>
          <cell r="Q580" t="str">
            <v>/</v>
          </cell>
          <cell r="R580" t="str">
            <v>/</v>
          </cell>
          <cell r="S580" t="str">
            <v>/</v>
          </cell>
          <cell r="T580" t="str">
            <v>Agriculture UE/non UE</v>
          </cell>
          <cell r="U580"/>
          <cell r="V580" t="str">
            <v>Images délicieuses qui s'entremêlent aux parfums… Intemporel et légendaire, ce thé blanc d'une grande douceur se marie avec bonheur aux notes charnues, sucrées de la pêche et de la mangue. Son infusion dépose sur le palais un petit goût de paradis.</v>
          </cell>
          <cell r="W580"/>
          <cell r="X580" t="str">
            <v>Sur son lit de thé blanc, cette recette sait marier les saveurs en associant la douceur et la finesse à l’image d’un rêve de femme. Les notes charnues et sucrées de la pêche et de la mangue fusionnent merveilleusement en déposant sur le palais comme un petit goût de paradis.</v>
          </cell>
          <cell r="Y580"/>
          <cell r="Z580" t="str">
            <v>Ingrédients : thé blanc*, arômes naturels de (mangue*, pêche*) 8%, pétales de rose*, morceaux de mangue* 3%. *Issu de l'agriculture biologique.</v>
          </cell>
          <cell r="AA580" t="str">
            <v>/</v>
          </cell>
          <cell r="AB580" t="str">
            <v>Membre certifié World Fair Trade Organization, Les Jardins de Gaïa s’engagent pour un commerce plus juste et répondent aux exigences du commerce équitable. Pour en savoir plus : www.wfto.com.</v>
          </cell>
          <cell r="AC580">
            <v>50</v>
          </cell>
          <cell r="AD580" t="str">
            <v>3-4</v>
          </cell>
          <cell r="AE580">
            <v>80</v>
          </cell>
          <cell r="AF580">
            <v>2</v>
          </cell>
          <cell r="AG580">
            <v>25</v>
          </cell>
          <cell r="AH580">
            <v>3582810650165</v>
          </cell>
          <cell r="AI580" t="str">
            <v>/</v>
          </cell>
          <cell r="AJ580" t="str">
            <v>INTERNE</v>
          </cell>
          <cell r="AK580" t="str">
            <v>ETBA501V5</v>
          </cell>
          <cell r="AL580" t="str">
            <v>ETCBA5016V5</v>
          </cell>
          <cell r="AM580" t="str">
            <v>Création maison</v>
          </cell>
        </row>
        <row r="581">
          <cell r="A581" t="str">
            <v>TU5016</v>
          </cell>
          <cell r="B581"/>
          <cell r="C581"/>
          <cell r="D581"/>
          <cell r="E581"/>
          <cell r="F581"/>
          <cell r="G581"/>
          <cell r="H581" t="str">
            <v>LES GRANDS CLASSIQUES</v>
          </cell>
          <cell r="I581"/>
          <cell r="J581" t="str">
            <v>Rêve de Femme</v>
          </cell>
          <cell r="K581" t="str">
            <v>Mangue - Saveur pêche</v>
          </cell>
          <cell r="L581" t="str">
            <v>Thé blanc aromatisé</v>
          </cell>
          <cell r="M581" t="str">
            <v>Chine - Fujian</v>
          </cell>
          <cell r="N581" t="str">
            <v>AB</v>
          </cell>
          <cell r="O581" t="str">
            <v>WFTO</v>
          </cell>
          <cell r="P581" t="str">
            <v>/</v>
          </cell>
          <cell r="Q581" t="str">
            <v>/</v>
          </cell>
          <cell r="R581" t="str">
            <v>/</v>
          </cell>
          <cell r="S581" t="str">
            <v>/</v>
          </cell>
          <cell r="T581" t="str">
            <v>Agriculture UE/non UE</v>
          </cell>
          <cell r="U581"/>
          <cell r="V581" t="str">
            <v>Images délicieuses qui s'entremêlent aux parfums… Intemporel et légendaire, ce thé blanc d'une grande douceur se marie avec bonheur aux notes charnues, sucrées de la pêche et de la mangue. Son infusion dépose sur le palais un petit goût de paradis.</v>
          </cell>
          <cell r="W581"/>
          <cell r="X581" t="str">
            <v>Sur son lit de thé blanc, cette recette sait marier les saveurs en associant la douceur et la finesse à l’image d’un rêve de femme. Les notes charnues et sucrées de la pêche et de la mangue fusionnent merveilleusement en déposant sur le palais comme un petit goût de paradis.</v>
          </cell>
          <cell r="Y581"/>
          <cell r="Z581" t="str">
            <v>Ingrédients : thé blanc*, arômes naturels de (mangue*, pêche*) 8%, pétales de rose*, morceaux de mangue* 3%. *Issu de l'agriculture biologique.</v>
          </cell>
          <cell r="AA581" t="str">
            <v>/</v>
          </cell>
          <cell r="AB581" t="str">
            <v>Membre certifié World Fair Trade Organization, Les Jardins de Gaïa s’engagent pour un commerce plus juste et répondent aux exigences du commerce équitable. Pour en savoir plus : www.wfto.com.</v>
          </cell>
          <cell r="AC581">
            <v>50</v>
          </cell>
          <cell r="AD581" t="str">
            <v>3-4</v>
          </cell>
          <cell r="AE581">
            <v>80</v>
          </cell>
          <cell r="AF581">
            <v>2</v>
          </cell>
          <cell r="AG581">
            <v>25</v>
          </cell>
          <cell r="AH581">
            <v>3582815550163</v>
          </cell>
          <cell r="AI581" t="str">
            <v>/</v>
          </cell>
          <cell r="AJ581" t="str">
            <v>INTERNE</v>
          </cell>
          <cell r="AK581" t="str">
            <v>INTERNE</v>
          </cell>
          <cell r="AL581" t="str">
            <v>/</v>
          </cell>
          <cell r="AM581" t="str">
            <v>Création maison</v>
          </cell>
        </row>
        <row r="582">
          <cell r="A582" t="str">
            <v>TA5031</v>
          </cell>
          <cell r="B582"/>
          <cell r="C582"/>
          <cell r="D582"/>
          <cell r="E582"/>
          <cell r="F582"/>
          <cell r="G582"/>
          <cell r="H582" t="str">
            <v>LES ENGAGÉS</v>
          </cell>
          <cell r="I582" t="str">
            <v>AGIR POUR LA NATURE</v>
          </cell>
          <cell r="J582" t="str">
            <v>Rêve éveillé de Gaïa</v>
          </cell>
          <cell r="K582" t="str">
            <v>Gingembre - Saveur vanille</v>
          </cell>
          <cell r="L582" t="str">
            <v>Thé blanc aromatisé</v>
          </cell>
          <cell r="M582" t="str">
            <v>Vietnam</v>
          </cell>
          <cell r="N582" t="str">
            <v>AB</v>
          </cell>
          <cell r="O582" t="str">
            <v>WFTO</v>
          </cell>
          <cell r="P582" t="str">
            <v>/</v>
          </cell>
          <cell r="Q582" t="str">
            <v>WT</v>
          </cell>
          <cell r="R582" t="str">
            <v>/</v>
          </cell>
          <cell r="S582" t="str">
            <v>/</v>
          </cell>
          <cell r="T582" t="str">
            <v>Agriculture UE/non UE</v>
          </cell>
          <cell r="U582"/>
          <cell r="V582" t="str">
            <v>Douceur et harmonie typiques du thé blanc caressant le palais avant que ne s'épanouissent les arômes subtils et dynamisants du gingembre, magnifiés par la vanille. Pour animer tous les enfants de Gaïa à s’élever ensemble contre la destruction de ses dons. Car rêver est toujours autorisé…</v>
          </cell>
          <cell r="W582" t="str">
            <v>S17</v>
          </cell>
          <cell r="X582" t="str">
            <v>Né de la rencontre de la douceur et la fraîcheur du thé blanc avec le caractère vif et citronné du gingembre et le velouté sensuel de la vanille, cette recette est une invitation à lâcher prise et rêver d’un monde éveillé qui laisse place à l’enchantement.</v>
          </cell>
          <cell r="Y582" t="str">
            <v>Depuis 1999, l'association Kokopelli milite pour la libération des semences et contre la brevetabilité du vivant. www.kokopelli-semences.fr</v>
          </cell>
          <cell r="Z582" t="str">
            <v>Ingrédients : thé blanc*, gingembre* 10%, extrait de vanille* 4%, pétales de fleurs (rose*, mauve*, lavande*, souci*, tournesol*, bleuet*). *Issu de l'agriculture biologique.</v>
          </cell>
          <cell r="AA582" t="str">
            <v>/</v>
          </cell>
          <cell r="AB582" t="str">
            <v>Membre certifié World Fair Trade Organization, Les Jardins de Gaïa s’engagent pour un commerce plus juste et répondent aux exigences du commerce équitable. Pour en savoir plus : www.wfto.com.</v>
          </cell>
          <cell r="AC582">
            <v>1.5</v>
          </cell>
          <cell r="AD582" t="str">
            <v>3-4</v>
          </cell>
          <cell r="AE582">
            <v>80</v>
          </cell>
          <cell r="AF582">
            <v>2</v>
          </cell>
          <cell r="AG582">
            <v>750</v>
          </cell>
          <cell r="AH582">
            <v>3582810650318</v>
          </cell>
          <cell r="AI582" t="str">
            <v>/</v>
          </cell>
          <cell r="AJ582" t="str">
            <v>INTERNE</v>
          </cell>
          <cell r="AK582" t="str">
            <v>INTERNE</v>
          </cell>
          <cell r="AL582" t="str">
            <v>/</v>
          </cell>
          <cell r="AM582" t="str">
            <v>Création maison</v>
          </cell>
        </row>
        <row r="583">
          <cell r="A583" t="str">
            <v>TA5036</v>
          </cell>
          <cell r="B583"/>
          <cell r="C583" t="str">
            <v>X</v>
          </cell>
          <cell r="D583"/>
          <cell r="E583"/>
          <cell r="F583" t="str">
            <v>BRODART</v>
          </cell>
          <cell r="G583"/>
          <cell r="H583" t="str">
            <v>LES ENGAGÉS</v>
          </cell>
          <cell r="I583" t="str">
            <v>AGIR POUR LA NATURE</v>
          </cell>
          <cell r="J583" t="str">
            <v>Rêve éveillé de Gaïa</v>
          </cell>
          <cell r="K583" t="str">
            <v>Gingembre - Saveur vanille</v>
          </cell>
          <cell r="L583" t="str">
            <v>Thé blanc aromatisé</v>
          </cell>
          <cell r="M583" t="str">
            <v>Vietnam</v>
          </cell>
          <cell r="N583" t="str">
            <v>AB</v>
          </cell>
          <cell r="O583" t="str">
            <v>WFTO</v>
          </cell>
          <cell r="P583" t="str">
            <v>/</v>
          </cell>
          <cell r="Q583" t="str">
            <v>WT</v>
          </cell>
          <cell r="R583" t="str">
            <v>/</v>
          </cell>
          <cell r="S583" t="str">
            <v>/</v>
          </cell>
          <cell r="T583" t="str">
            <v>Agriculture UE/non UE</v>
          </cell>
          <cell r="U583"/>
          <cell r="V583" t="str">
            <v>Douceur et harmonie typiques du thé blanc caressant le palais avant que ne s'épanouissent les arômes subtils et dynamisants du gingembre, magnifiés par la vanille. Pour animer tous les enfants de Gaïa à s’élever ensemble contre la destruction de ses dons. Car rêver est toujours autorisé…</v>
          </cell>
          <cell r="W583" t="str">
            <v>S17</v>
          </cell>
          <cell r="X583" t="str">
            <v>Né de la rencontre de la douceur et la fraîcheur du thé blanc avec le caractère vif et citronné du gingembre et le velouté sensuel de la vanille, cette recette est une invitation à lâcher prise et rêver d’un monde éveillé qui laisse place à l’enchantement.</v>
          </cell>
          <cell r="Y583" t="str">
            <v>Depuis 1999, l'association Kokopelli milite pour la libération des semences et contre la brevetabilité du vivant. www.kokopelli-semences.fr</v>
          </cell>
          <cell r="Z583" t="str">
            <v>Ingrédients : thé blanc*, gingembre* 10%, extrait de vanille* 4%, pétales de fleurs (rose*, mauve*, lavande*, souci*, tournesol*, bleuet*). *Issu de l'agriculture biologique.</v>
          </cell>
          <cell r="AA583" t="str">
            <v>/</v>
          </cell>
          <cell r="AB583" t="str">
            <v>Membre certifié World Fair Trade Organization, Les Jardins de Gaïa s’engagent pour un commerce plus juste et répondent aux exigences du commerce équitable. Pour en savoir plus : www.wfto.com.</v>
          </cell>
          <cell r="AC583">
            <v>50</v>
          </cell>
          <cell r="AD583" t="str">
            <v>3-4</v>
          </cell>
          <cell r="AE583">
            <v>80</v>
          </cell>
          <cell r="AF583">
            <v>2</v>
          </cell>
          <cell r="AG583">
            <v>25</v>
          </cell>
          <cell r="AH583">
            <v>3582810650363</v>
          </cell>
          <cell r="AI583" t="str">
            <v>/</v>
          </cell>
          <cell r="AJ583" t="str">
            <v>ETBA503V5</v>
          </cell>
          <cell r="AK583" t="str">
            <v>ETBA503V5</v>
          </cell>
          <cell r="AL583" t="str">
            <v>ETCBA5036V5</v>
          </cell>
          <cell r="AM583" t="str">
            <v>Création maison</v>
          </cell>
        </row>
        <row r="584">
          <cell r="A584" t="str">
            <v>TA7071</v>
          </cell>
          <cell r="B584"/>
          <cell r="C584"/>
          <cell r="D584"/>
          <cell r="E584"/>
          <cell r="F584"/>
          <cell r="G584"/>
          <cell r="H584" t="str">
            <v>LES GRANDS CLASSIQUES</v>
          </cell>
          <cell r="I584"/>
          <cell r="J584" t="str">
            <v>Rituel Africain</v>
          </cell>
          <cell r="K584" t="str">
            <v>Coco - Banane - Ananas</v>
          </cell>
          <cell r="L584" t="str">
            <v>Thé noir aromatisé</v>
          </cell>
          <cell r="M584" t="str">
            <v>Inde</v>
          </cell>
          <cell r="N584" t="str">
            <v>AB</v>
          </cell>
          <cell r="O584" t="str">
            <v>WFTO</v>
          </cell>
          <cell r="P584" t="str">
            <v>/</v>
          </cell>
          <cell r="Q584" t="str">
            <v>/</v>
          </cell>
          <cell r="R584" t="str">
            <v>/</v>
          </cell>
          <cell r="S584" t="str">
            <v>/</v>
          </cell>
          <cell r="T584" t="str">
            <v>Agriculture non UE</v>
          </cell>
          <cell r="U584"/>
          <cell r="V584" t="str">
            <v>Rythme, bonne humeur et cocktail, cette boisson vous emmènera aux portes de l’Afrique. D’une grande volupté, ce thé noir agrémenté de fruits des tropiques est à déguster à chaque instant entre amis…</v>
          </cell>
          <cell r="W584" t="str">
            <v>S16</v>
          </cell>
          <cell r="X584" t="str">
            <v>Bonne humeur et gourmandise inspirent cette recette fruitée à base de thé noir qui vous emmène dans une chaleureuse ambiance africaine. Ce délicieux rituel est une véritable fête pour les papilles délicieusement rythmée par les notes fruitées de la noix de coco, de la banane et de l’ananas.</v>
          </cell>
          <cell r="Y584"/>
          <cell r="Z584" t="str">
            <v>Ingrédients : thé noir*, arômes naturels de (ananas*, noix de coco*, banane*) 12%, morceaux de fruits (copeaux de noix de coco*, ananas*, banane*) 3%. *Issu de l'agriculture biologique.</v>
          </cell>
          <cell r="AA584" t="str">
            <v>/</v>
          </cell>
          <cell r="AB584" t="str">
            <v>Membre certifié World Fair Trade Organization, Les Jardins de Gaïa s’engagent pour un commerce plus juste et répondent aux exigences du commerce équitable. Pour en savoir plus : www.wfto.com.</v>
          </cell>
          <cell r="AC584">
            <v>1.5</v>
          </cell>
          <cell r="AD584" t="str">
            <v>3-4</v>
          </cell>
          <cell r="AE584">
            <v>90</v>
          </cell>
          <cell r="AF584">
            <v>2</v>
          </cell>
          <cell r="AG584">
            <v>750</v>
          </cell>
          <cell r="AH584">
            <v>3582810470718</v>
          </cell>
          <cell r="AI584" t="str">
            <v>/</v>
          </cell>
          <cell r="AJ584" t="str">
            <v>INTERNE</v>
          </cell>
          <cell r="AK584" t="str">
            <v>INTERNE</v>
          </cell>
          <cell r="AL584" t="str">
            <v>/</v>
          </cell>
          <cell r="AM584" t="str">
            <v>Création maison</v>
          </cell>
        </row>
        <row r="585">
          <cell r="A585" t="str">
            <v>TA7072</v>
          </cell>
          <cell r="B585"/>
          <cell r="C585" t="str">
            <v>X</v>
          </cell>
          <cell r="D585" t="str">
            <v>X</v>
          </cell>
          <cell r="E585" t="str">
            <v>X</v>
          </cell>
          <cell r="F585" t="str">
            <v>BRODART</v>
          </cell>
          <cell r="G585"/>
          <cell r="H585" t="str">
            <v>LES GRANDS CLASSIQUES</v>
          </cell>
          <cell r="I585"/>
          <cell r="J585" t="str">
            <v>Rituel Africain</v>
          </cell>
          <cell r="K585" t="str">
            <v>Coco - Banane - Ananas</v>
          </cell>
          <cell r="L585" t="str">
            <v>Thé noir aromatisé</v>
          </cell>
          <cell r="M585" t="str">
            <v>Inde</v>
          </cell>
          <cell r="N585" t="str">
            <v>AB</v>
          </cell>
          <cell r="O585" t="str">
            <v>WFTO</v>
          </cell>
          <cell r="P585" t="str">
            <v>/</v>
          </cell>
          <cell r="Q585" t="str">
            <v>/</v>
          </cell>
          <cell r="R585" t="str">
            <v>/</v>
          </cell>
          <cell r="S585" t="str">
            <v>/</v>
          </cell>
          <cell r="T585" t="str">
            <v>Agriculture non UE</v>
          </cell>
          <cell r="U585"/>
          <cell r="V585" t="str">
            <v>Rythme, bonne humeur et cocktail, cette boisson vous emmènera aux portes de l’Afrique. D’une grande volupté, ce thé noir agrémenté de fruits des tropiques est à déguster à chaque instant entre amis…</v>
          </cell>
          <cell r="W585" t="str">
            <v>S16</v>
          </cell>
          <cell r="X585" t="str">
            <v>Bonne humeur et gourmandise inspirent cette recette fruitée à base de thé noir qui vous emmène dans une chaleureuse ambiance africaine. Ce délicieux rituel est une véritable fête pour les papilles délicieusement rythmée par les notes fruitées de la noix de coco, de la banane et de l’ananas.</v>
          </cell>
          <cell r="Y585"/>
          <cell r="Z585" t="str">
            <v>Ingrédients : thé noir*, arômes naturels de (ananas*, noix de coco*, banane*) 12%, morceaux de fruits (copeaux de noix de coco*, ananas*, banane*) 3%. *Issu de l'agriculture biologique.</v>
          </cell>
          <cell r="AA585" t="str">
            <v>/</v>
          </cell>
          <cell r="AB585" t="str">
            <v>Membre certifié World Fair Trade Organization, Les Jardins de Gaïa s’engagent pour un commerce plus juste et répondent aux exigences du commerce équitable. Pour en savoir plus : www.wfto.com.</v>
          </cell>
          <cell r="AC585">
            <v>100</v>
          </cell>
          <cell r="AD585" t="str">
            <v>3-4</v>
          </cell>
          <cell r="AE585">
            <v>90</v>
          </cell>
          <cell r="AF585">
            <v>2</v>
          </cell>
          <cell r="AG585">
            <v>50</v>
          </cell>
          <cell r="AH585">
            <v>3582810470725</v>
          </cell>
          <cell r="AI585" t="str">
            <v>/</v>
          </cell>
          <cell r="AJ585" t="str">
            <v>ETNA707V5</v>
          </cell>
          <cell r="AK585" t="str">
            <v>ETNA707V5</v>
          </cell>
          <cell r="AL585" t="str">
            <v>ETCNA7072V5</v>
          </cell>
          <cell r="AM585" t="str">
            <v>Création maison</v>
          </cell>
        </row>
        <row r="586">
          <cell r="A586" t="str">
            <v>TA7101</v>
          </cell>
          <cell r="B586"/>
          <cell r="C586"/>
          <cell r="D586"/>
          <cell r="E586"/>
          <cell r="F586"/>
          <cell r="G586"/>
          <cell r="H586" t="str">
            <v>LES ENGAGÉS</v>
          </cell>
          <cell r="I586" t="str">
            <v>AGIR POUR LA CULTURE</v>
          </cell>
          <cell r="J586" t="str">
            <v>Rock your brain</v>
          </cell>
          <cell r="K586" t="str">
            <v>gingembre, cannelle, baies de genévrier</v>
          </cell>
          <cell r="L586" t="str">
            <v>Thé noir parfumé</v>
          </cell>
          <cell r="M586" t="str">
            <v>Inde - Kerala</v>
          </cell>
          <cell r="N586" t="str">
            <v>AB</v>
          </cell>
          <cell r="O586" t="str">
            <v>WFTO</v>
          </cell>
          <cell r="P586" t="str">
            <v>/</v>
          </cell>
          <cell r="Q586" t="str">
            <v>/</v>
          </cell>
          <cell r="R586" t="str">
            <v>/</v>
          </cell>
          <cell r="S586" t="str">
            <v>/</v>
          </cell>
          <cell r="T586" t="str">
            <v>Agriculture UE/non UE</v>
          </cell>
          <cell r="U586"/>
          <cell r="V586" t="str">
            <v xml:space="preserve">Inspirée par le feu sacré qui anime le cœur des rockers, cette recette enflammée en fait voir de toutes les saveurs ! Thé noir et notes épicées font irrésistiblement monter le volume de la dégustation et mettent le palais en effervescence. L'envie de vivre fort et vite, de se libérer de toutes conventions gustatives a donné naissance au plus Rock'n' Roll de nos thés ! </v>
          </cell>
          <cell r="W586"/>
          <cell r="X586" t="str">
            <v>Inspiré par le feu sacré, ce thé noir délicieusement épicé va vous en faire voir de toutes les saveurs ! Faites monter le volume de la dégustation et mettez votre palais en effervescence. Loin de toutes les conventions gustatives voici le plus Rock'n' Roll de nos thés !</v>
          </cell>
          <cell r="Y586" t="str">
            <v>Zone 51 est une association née à Sélestat en 1998. Son objectif est de promouvoir et diffuser les musiques actuelles en Alsace. zone51.net</v>
          </cell>
          <cell r="Z586" t="str">
            <v>Ingrédients : thé noir*, épices (gingembre* 20%, cannelle* 14%, cardamome*, clous de girofle*, baies de genévrier* 3%, fenouil*, poivre noir*), écorces de mandarine*, pétales de souci*, pétales de roses*. *Issu de l’agriculture biologique.</v>
          </cell>
          <cell r="AA586" t="str">
            <v>/</v>
          </cell>
          <cell r="AB586" t="str">
            <v>Membre certifié World Fair Trade Organization, Les Jardins de Gaïa s’engagent pour un commerce plus juste et répondent aux exigences du commerce équitable. Pour en savoir plus : www.wfto.com.</v>
          </cell>
          <cell r="AC586">
            <v>1.5</v>
          </cell>
          <cell r="AD586" t="str">
            <v>3-4</v>
          </cell>
          <cell r="AE586">
            <v>95</v>
          </cell>
          <cell r="AF586">
            <v>2</v>
          </cell>
          <cell r="AG586">
            <v>750</v>
          </cell>
          <cell r="AH586">
            <v>3582810471012</v>
          </cell>
          <cell r="AI586" t="str">
            <v>/</v>
          </cell>
          <cell r="AJ586" t="str">
            <v>INTERNE</v>
          </cell>
          <cell r="AK586" t="str">
            <v>INTERNE</v>
          </cell>
          <cell r="AL586" t="str">
            <v>/</v>
          </cell>
          <cell r="AM586" t="str">
            <v>Création maison</v>
          </cell>
        </row>
        <row r="587">
          <cell r="A587" t="str">
            <v>TA7102</v>
          </cell>
          <cell r="B587"/>
          <cell r="C587" t="str">
            <v>X</v>
          </cell>
          <cell r="D587"/>
          <cell r="E587"/>
          <cell r="F587" t="str">
            <v>GRAI</v>
          </cell>
          <cell r="G587">
            <v>45383</v>
          </cell>
          <cell r="H587" t="str">
            <v>LES ENGAGÉS</v>
          </cell>
          <cell r="I587" t="str">
            <v>AGIR POUR LA CULTURE</v>
          </cell>
          <cell r="J587" t="str">
            <v>Rock your brain</v>
          </cell>
          <cell r="K587" t="str">
            <v>gingembre, cannelle, baies de genévrier</v>
          </cell>
          <cell r="L587" t="str">
            <v>Thé noir parfumé</v>
          </cell>
          <cell r="M587" t="str">
            <v>Inde</v>
          </cell>
          <cell r="N587" t="str">
            <v>AB</v>
          </cell>
          <cell r="O587" t="str">
            <v>WFTO</v>
          </cell>
          <cell r="P587" t="str">
            <v>/</v>
          </cell>
          <cell r="Q587" t="str">
            <v>/</v>
          </cell>
          <cell r="R587" t="str">
            <v>/</v>
          </cell>
          <cell r="S587" t="str">
            <v>/</v>
          </cell>
          <cell r="T587" t="str">
            <v>Agriculture UE/non UE</v>
          </cell>
          <cell r="U587"/>
          <cell r="V587" t="str">
            <v xml:space="preserve">Inspirée par le feu sacré qui anime le cœur des rockers, cette recette enflammée en fait voir de toutes les saveurs ! Thé noir et notes épicées font irrésistiblement monter le volume de la dégustation et mettent le palais en effervescence. L'envie de vivre fort et vite, de se libérer de toutes conventions gustatives a donné naissance au plus Rock'n' Roll de nos thés ! </v>
          </cell>
          <cell r="W587"/>
          <cell r="X587" t="str">
            <v>Inspiré par le feu sacré, ce thé noir délicieusement épicé va vous en faire voir de toutes les saveurs ! Faites monter le volume de la dégustation et mettez votre palais en effervescence. Loin de toutes les conventions gustatives voici le plus Rock'n' Roll de nos thés !</v>
          </cell>
          <cell r="Y587" t="str">
            <v>Zone 51 est une association née à Sélestat en 1998. Son objectif est de promouvoir et diffuser les musiques actuelles en Alsace. zone51.net</v>
          </cell>
          <cell r="Z587" t="str">
            <v>Ingrédients : thé noir*, épices (gingembre* 20%, cannelle* 14%, cardamome*, clous de girofle*, baies de genévrier* 3%, fenouil*, poivre noir*), écorces de mandarine*, pétales de souci*, pétales de roses*. *Issu de l’agriculture biologique.</v>
          </cell>
          <cell r="AA587" t="str">
            <v>/</v>
          </cell>
          <cell r="AB587" t="str">
            <v>Membre certifié World Fair Trade Organization, Les Jardins de Gaïa s’engagent pour un commerce plus juste et répondent aux exigences du commerce équitable. Pour en savoir plus : www.wfto.com.</v>
          </cell>
          <cell r="AC587">
            <v>100</v>
          </cell>
          <cell r="AD587" t="str">
            <v>3-4</v>
          </cell>
          <cell r="AE587">
            <v>95</v>
          </cell>
          <cell r="AF587">
            <v>2</v>
          </cell>
          <cell r="AG587">
            <v>50</v>
          </cell>
          <cell r="AH587">
            <v>3582810471029</v>
          </cell>
          <cell r="AI587" t="str">
            <v>/</v>
          </cell>
          <cell r="AJ587" t="str">
            <v>ETNM710</v>
          </cell>
          <cell r="AK587" t="str">
            <v>ETNM710V5</v>
          </cell>
          <cell r="AL587" t="str">
            <v>ETCNM7102V5</v>
          </cell>
          <cell r="AM587" t="str">
            <v>The Sahyadri Organic Tea Farmers Consortium</v>
          </cell>
        </row>
        <row r="588">
          <cell r="A588" t="str">
            <v>TN4067</v>
          </cell>
          <cell r="B588"/>
          <cell r="C588"/>
          <cell r="D588"/>
          <cell r="E588"/>
          <cell r="F588"/>
          <cell r="G588"/>
          <cell r="H588" t="str">
            <v>LES GRANDS CLASSIQUES</v>
          </cell>
          <cell r="I588"/>
          <cell r="J588" t="str">
            <v>Roi du Yunnan d’Or</v>
          </cell>
          <cell r="K588" t="str">
            <v>Special grade</v>
          </cell>
          <cell r="L588" t="str">
            <v>Thé noir d'origine</v>
          </cell>
          <cell r="M588" t="str">
            <v>Chine - Yunnan</v>
          </cell>
          <cell r="N588" t="str">
            <v>AB</v>
          </cell>
          <cell r="O588" t="str">
            <v>WFTO</v>
          </cell>
          <cell r="P588" t="str">
            <v>/</v>
          </cell>
          <cell r="Q588" t="str">
            <v>WT</v>
          </cell>
          <cell r="R588" t="str">
            <v>/</v>
          </cell>
          <cell r="S588" t="str">
            <v>/</v>
          </cell>
          <cell r="T588" t="str">
            <v>Agriculture Chine</v>
          </cell>
          <cell r="U588"/>
          <cell r="V588" t="str">
            <v>Issues d'une cueillette particulièrement soignée, ces petites feuilles régulières et riches en pointes dorées, libèrent une liqueur ambrée, veloutée, très fruitée, soulignée de notes épicées. Ce thé moelleux et rond imprègne longuement le palais tout en délicatesse.</v>
          </cell>
          <cell r="W588" t="str">
            <v>S16</v>
          </cell>
          <cell r="X588" t="str">
            <v>Fruits d'une cueillette particulièrement soignée, les feuilles et les bourgeons dorés de ce thé noir du Yunnan, libèrent une liqueur ambrée aux saveurs fruitées soulignées d’agréables notes épicées. Moelleuse et ronde, l’infusion imprègne longuement le palais de sa délicatesse.</v>
          </cell>
          <cell r="Y588"/>
          <cell r="Z588" t="str">
            <v>Ingrédient : thé noir*. *Issu de l'agriculture biologique.</v>
          </cell>
          <cell r="AA588" t="str">
            <v>/</v>
          </cell>
          <cell r="AB588" t="str">
            <v>Membre certifié World Fair Trade Organization, Les Jardins de Gaïa s’engagent pour un commerce plus juste et répondent aux exigences du commerce équitable. Pour en savoir plus : www.wfto.com.</v>
          </cell>
          <cell r="AC588">
            <v>1</v>
          </cell>
          <cell r="AD588" t="str">
            <v>3-4</v>
          </cell>
          <cell r="AE588">
            <v>90</v>
          </cell>
          <cell r="AF588">
            <v>2</v>
          </cell>
          <cell r="AG588">
            <v>500</v>
          </cell>
          <cell r="AH588">
            <v>3582810240670</v>
          </cell>
          <cell r="AI588" t="str">
            <v>/</v>
          </cell>
          <cell r="AJ588" t="str">
            <v>INTERNE</v>
          </cell>
          <cell r="AK588" t="str">
            <v>INTERNE</v>
          </cell>
          <cell r="AL588" t="str">
            <v>/</v>
          </cell>
          <cell r="AM588" t="str">
            <v>Cangyuan Yisheng Organic Tea Specialized Cooperative</v>
          </cell>
        </row>
        <row r="589">
          <cell r="A589" t="str">
            <v>TN4062</v>
          </cell>
          <cell r="B589"/>
          <cell r="C589" t="str">
            <v>X</v>
          </cell>
          <cell r="D589" t="str">
            <v>X</v>
          </cell>
          <cell r="E589" t="str">
            <v>X</v>
          </cell>
          <cell r="F589" t="str">
            <v>BRODART</v>
          </cell>
          <cell r="G589"/>
          <cell r="H589" t="str">
            <v>LES GRANDS CLASSIQUES</v>
          </cell>
          <cell r="I589"/>
          <cell r="J589" t="str">
            <v>Roi du Yunnan d’Or</v>
          </cell>
          <cell r="K589" t="str">
            <v>Special grade</v>
          </cell>
          <cell r="L589" t="str">
            <v>Thé noir d'origine</v>
          </cell>
          <cell r="M589" t="str">
            <v>Chine - Yunnan</v>
          </cell>
          <cell r="N589" t="str">
            <v>AB</v>
          </cell>
          <cell r="O589" t="str">
            <v>WFTO</v>
          </cell>
          <cell r="P589" t="str">
            <v>/</v>
          </cell>
          <cell r="Q589" t="str">
            <v>WT</v>
          </cell>
          <cell r="R589" t="str">
            <v>/</v>
          </cell>
          <cell r="S589" t="str">
            <v>/</v>
          </cell>
          <cell r="T589" t="str">
            <v>Agriculture Chine</v>
          </cell>
          <cell r="U589"/>
          <cell r="V589" t="str">
            <v>Issues d'une cueillette particulièrement soignée, ces petites feuilles régulières et riches en pointes dorées, libèrent une liqueur ambrée, veloutée, très fruitée, soulignée de notes épicées. Ce thé moelleux et rond imprègne longuement le palais tout en délicatesse.</v>
          </cell>
          <cell r="W589" t="str">
            <v>S16</v>
          </cell>
          <cell r="X589" t="str">
            <v>Fruits d'une cueillette particulièrement soignée, les feuilles et les bourgeons dorés de ce thé noir du Yunnan, libèrent une liqueur ambrée aux saveurs fruitées soulignées d’agréables notes épicées. Moelleuse et ronde, l’infusion imprègne longuement le palais de sa délicatesse.</v>
          </cell>
          <cell r="Y589"/>
          <cell r="Z589" t="str">
            <v>Ingrédient : thé noir*. *Issu de l'agriculture biologique.</v>
          </cell>
          <cell r="AA589" t="str">
            <v>/</v>
          </cell>
          <cell r="AB589" t="str">
            <v>Membre certifié World Fair Trade Organization, Les Jardins de Gaïa s’engagent pour un commerce plus juste et répondent aux exigences du commerce équitable. Pour en savoir plus : www.wfto.com.</v>
          </cell>
          <cell r="AC589">
            <v>100</v>
          </cell>
          <cell r="AD589" t="str">
            <v>3-4</v>
          </cell>
          <cell r="AE589">
            <v>90</v>
          </cell>
          <cell r="AF589">
            <v>2</v>
          </cell>
          <cell r="AG589">
            <v>500</v>
          </cell>
          <cell r="AH589">
            <v>3582810240625</v>
          </cell>
          <cell r="AI589" t="str">
            <v>/</v>
          </cell>
          <cell r="AJ589" t="str">
            <v>ETNN406V5</v>
          </cell>
          <cell r="AK589" t="str">
            <v>ETNN406V5</v>
          </cell>
          <cell r="AL589" t="str">
            <v>ETCNN4062V5</v>
          </cell>
          <cell r="AM589" t="str">
            <v>Cangyuan Yisheng Organic Tea Specialized Cooperative</v>
          </cell>
        </row>
        <row r="590">
          <cell r="A590" t="str">
            <v>TN4066</v>
          </cell>
          <cell r="B590" t="str">
            <v>SDG 2025</v>
          </cell>
          <cell r="C590"/>
          <cell r="D590"/>
          <cell r="E590"/>
          <cell r="F590"/>
          <cell r="G590"/>
          <cell r="H590" t="str">
            <v>LES GRANDS CLASSIQUES</v>
          </cell>
          <cell r="I590"/>
          <cell r="J590" t="str">
            <v>Roi du Yunnan d’Or</v>
          </cell>
          <cell r="K590" t="str">
            <v>Special grade</v>
          </cell>
          <cell r="L590" t="str">
            <v>Thé noir d'origine</v>
          </cell>
          <cell r="M590" t="str">
            <v>Chine - Yunnan</v>
          </cell>
          <cell r="N590" t="str">
            <v>AB</v>
          </cell>
          <cell r="O590" t="str">
            <v>WFTO</v>
          </cell>
          <cell r="P590" t="str">
            <v>/</v>
          </cell>
          <cell r="Q590" t="str">
            <v>WT</v>
          </cell>
          <cell r="R590" t="str">
            <v>/</v>
          </cell>
          <cell r="S590" t="str">
            <v>/</v>
          </cell>
          <cell r="T590" t="str">
            <v>Agriculture Chine</v>
          </cell>
          <cell r="U590"/>
          <cell r="V590" t="str">
            <v>Issues d'une cueillette particulièrement soignée, ces petites feuilles régulières et riches en pointes dorées, libèrent une liqueur ambrée, veloutée, très fruitée, soulignée de notes épicées. Ce thé moelleux et rond imprègne longuement le palais tout en délicatesse.</v>
          </cell>
          <cell r="W590" t="str">
            <v>S16</v>
          </cell>
          <cell r="X590" t="str">
            <v>Fruits d'une cueillette particulièrement soignée, les feuilles et les bourgeons dorés de ce thé noir du Yunnan, libèrent une liqueur ambrée aux saveurs fruitées soulignées d’agréables notes épicées. Moelleuse et ronde, l’infusion imprègne longuement le palais de sa délicatesse.</v>
          </cell>
          <cell r="Y590"/>
          <cell r="Z590" t="str">
            <v>Ingrédient : thé noir*. *Issu de l'agriculture biologique.</v>
          </cell>
          <cell r="AA590" t="str">
            <v>/</v>
          </cell>
          <cell r="AB590" t="str">
            <v>Membre certifié World Fair Trade Organization, Les Jardins de Gaïa s’engagent pour un commerce plus juste et répondent aux exigences du commerce équitable. Pour en savoir plus : www.wfto.com.</v>
          </cell>
          <cell r="AC590">
            <v>50</v>
          </cell>
          <cell r="AD590" t="str">
            <v>3-4</v>
          </cell>
          <cell r="AE590">
            <v>90</v>
          </cell>
          <cell r="AF590">
            <v>2</v>
          </cell>
          <cell r="AG590">
            <v>500</v>
          </cell>
          <cell r="AH590">
            <v>3582810240663</v>
          </cell>
          <cell r="AI590" t="str">
            <v>/</v>
          </cell>
          <cell r="AJ590" t="str">
            <v>ETNN406V5</v>
          </cell>
          <cell r="AK590" t="str">
            <v>ETNN406V5</v>
          </cell>
          <cell r="AL590" t="str">
            <v>ETCNN4066V5</v>
          </cell>
          <cell r="AM590" t="str">
            <v>Cangyuan Yisheng Organic Tea Specialized Cooperative</v>
          </cell>
        </row>
        <row r="591">
          <cell r="A591" t="str">
            <v>TA6961</v>
          </cell>
          <cell r="B591"/>
          <cell r="C591"/>
          <cell r="D591"/>
          <cell r="E591"/>
          <cell r="F591"/>
          <cell r="G591"/>
          <cell r="H591" t="str">
            <v>LES GRANDS CLASSIQUES</v>
          </cell>
          <cell r="I591"/>
          <cell r="J591" t="str">
            <v>Romance indienne</v>
          </cell>
          <cell r="K591" t="str">
            <v>Saveurs mangue - pêche</v>
          </cell>
          <cell r="L591" t="str">
            <v>Thé vert aromatisé</v>
          </cell>
          <cell r="M591" t="str">
            <v>Chine</v>
          </cell>
          <cell r="N591" t="str">
            <v>AB</v>
          </cell>
          <cell r="O591" t="str">
            <v>WFTO</v>
          </cell>
          <cell r="P591" t="str">
            <v>/</v>
          </cell>
          <cell r="Q591" t="str">
            <v>/</v>
          </cell>
          <cell r="R591" t="str">
            <v>/</v>
          </cell>
          <cell r="S591" t="str">
            <v>/</v>
          </cell>
          <cell r="T591" t="str">
            <v>Agriculture UE/non UE</v>
          </cell>
          <cell r="U591"/>
          <cell r="V591" t="str">
            <v>Tendre et romantique, ce mariage de thés verts et de fruits savoureusement sucrés est d’une belle plénitude. Son infusion dorée, au parfum intense et enveloppant, se savoure à deux ou entre amis. Un must en thé glacé !</v>
          </cell>
          <cell r="W591"/>
          <cell r="X591" t="str">
            <v>Comme une romance indienne tendre et colorée, ce mariage de thés verts d’Inde met en valeur l’union de la pêche et de la mangue. L’exotisme de son infusion dorée et délicatement fruitée se savoure à deux ou entre amis. Un must en thé glacé !</v>
          </cell>
          <cell r="Y591"/>
          <cell r="Z591" t="str">
            <v xml:space="preserve">Ingrédients : thé vert*, arômes naturels de (mangue*, pêche*) 10%, morceaux de pomme*. *Issu de l'agriculture biologique. </v>
          </cell>
          <cell r="AA591" t="str">
            <v>/</v>
          </cell>
          <cell r="AB591" t="str">
            <v>Membre certifié World Fair Trade Organization, Les Jardins de Gaïa s’engagent pour un commerce plus juste et répondent aux exigences du commerce équitable. Pour en savoir plus : www.wfto.com.</v>
          </cell>
          <cell r="AC591">
            <v>1.5</v>
          </cell>
          <cell r="AD591" t="str">
            <v>3</v>
          </cell>
          <cell r="AE591">
            <v>75</v>
          </cell>
          <cell r="AF591">
            <v>2</v>
          </cell>
          <cell r="AG591">
            <v>750</v>
          </cell>
          <cell r="AH591">
            <v>3582810869611</v>
          </cell>
          <cell r="AI591" t="str">
            <v>/</v>
          </cell>
          <cell r="AJ591" t="str">
            <v>INTERNE</v>
          </cell>
          <cell r="AK591" t="str">
            <v>INTERNE</v>
          </cell>
          <cell r="AL591" t="str">
            <v>/</v>
          </cell>
          <cell r="AM591" t="str">
            <v>Création maison</v>
          </cell>
        </row>
        <row r="592">
          <cell r="A592" t="str">
            <v>TA6962</v>
          </cell>
          <cell r="B592"/>
          <cell r="C592" t="str">
            <v>X</v>
          </cell>
          <cell r="D592" t="str">
            <v>x</v>
          </cell>
          <cell r="E592" t="str">
            <v>x</v>
          </cell>
          <cell r="F592" t="str">
            <v>GRAI</v>
          </cell>
          <cell r="G592">
            <v>45383</v>
          </cell>
          <cell r="H592" t="str">
            <v>LES GRANDS CLASSIQUES</v>
          </cell>
          <cell r="I592"/>
          <cell r="J592" t="str">
            <v>Romance indienne</v>
          </cell>
          <cell r="K592" t="str">
            <v>Saveurs mangue - pêche</v>
          </cell>
          <cell r="L592" t="str">
            <v>Thé vert aromatisé</v>
          </cell>
          <cell r="M592" t="str">
            <v>Chine</v>
          </cell>
          <cell r="N592" t="str">
            <v>AB</v>
          </cell>
          <cell r="O592" t="str">
            <v>WFTO</v>
          </cell>
          <cell r="P592" t="str">
            <v>/</v>
          </cell>
          <cell r="Q592" t="str">
            <v>/</v>
          </cell>
          <cell r="R592" t="str">
            <v>/</v>
          </cell>
          <cell r="S592" t="str">
            <v>/</v>
          </cell>
          <cell r="T592" t="str">
            <v>Agriculture UE/non UE</v>
          </cell>
          <cell r="U592"/>
          <cell r="V592" t="str">
            <v>Tendre et romantique, ce mariage de thés verts et de fruits savoureusement sucrés est d’une belle plénitude. Son infusion dorée, au parfum intense et enveloppant, se savoure à deux ou entre amis. Un must en thé glacé !</v>
          </cell>
          <cell r="W592"/>
          <cell r="X592" t="str">
            <v>Comme une romance indienne tendre et colorée, ce mariage de thés verts d’Inde met en valeur l’union de la pêche et de la mangue. L’exotisme de son infusion dorée et délicatement fruitée se savoure à deux ou entre amis. Un must en thé glacé !</v>
          </cell>
          <cell r="Y592"/>
          <cell r="Z592" t="str">
            <v xml:space="preserve">Ingrédients : thé vert*, arômes naturels de (mangue*, pêche*) 10%, morceaux de pomme*. *Issu de l'agriculture biologique. </v>
          </cell>
          <cell r="AA592" t="str">
            <v>/</v>
          </cell>
          <cell r="AB592" t="str">
            <v>Membre certifié World Fair Trade Organization, Les Jardins de Gaïa s’engagent pour un commerce plus juste et répondent aux exigences du commerce équitable. Pour en savoir plus : www.wfto.com.</v>
          </cell>
          <cell r="AC592">
            <v>100</v>
          </cell>
          <cell r="AD592" t="str">
            <v>3</v>
          </cell>
          <cell r="AE592">
            <v>75</v>
          </cell>
          <cell r="AF592">
            <v>2</v>
          </cell>
          <cell r="AG592">
            <v>50</v>
          </cell>
          <cell r="AH592">
            <v>3582811769620</v>
          </cell>
          <cell r="AI592" t="str">
            <v>/</v>
          </cell>
          <cell r="AJ592" t="str">
            <v>ETVA696V5</v>
          </cell>
          <cell r="AK592" t="str">
            <v>ETVA696V5</v>
          </cell>
          <cell r="AL592" t="str">
            <v>ETCVA6962V5</v>
          </cell>
          <cell r="AM592" t="str">
            <v>Guzhang Gaofeng Organic Tea Association</v>
          </cell>
        </row>
        <row r="593">
          <cell r="A593" t="str">
            <v>TH1621</v>
          </cell>
          <cell r="B593"/>
          <cell r="C593"/>
          <cell r="D593"/>
          <cell r="E593"/>
          <cell r="F593"/>
          <cell r="G593"/>
          <cell r="H593" t="str">
            <v>LES BIENFAITRICES</v>
          </cell>
          <cell r="I593" t="str">
            <v>LES INFUSIONS DE PLANTES</v>
          </cell>
          <cell r="J593" t="str">
            <v>Romarin</v>
          </cell>
          <cell r="K593" t="str">
            <v>Digestive &amp; Diurétique</v>
          </cell>
          <cell r="L593" t="str">
            <v>Infusion de plante</v>
          </cell>
          <cell r="M593" t="str">
            <v>Portugal - Maroc</v>
          </cell>
          <cell r="N593" t="str">
            <v>AB</v>
          </cell>
          <cell r="O593" t="str">
            <v>/</v>
          </cell>
          <cell r="P593" t="str">
            <v>/</v>
          </cell>
          <cell r="Q593" t="str">
            <v>/</v>
          </cell>
          <cell r="R593" t="str">
            <v>/</v>
          </cell>
          <cell r="S593" t="str">
            <v>/</v>
          </cell>
          <cell r="T593" t="str">
            <v>Agriculture UE/non UE</v>
          </cell>
          <cell r="U593"/>
          <cell r="V593" t="str">
            <v>Arbrisseau de rocailles emblématique, présent sur tout le pourtour méditerranéen, le romarin est un condiment très apprécié en cuisine pour parfumer grillades, soupes ou autres sauces, mais aussi une formidable plante médicinale. On apprécie particulièrement le coup de pouce à la digestion et le soutien naturel à l’élimination rénale que procure son infusion particulièrement savoureuse.</v>
          </cell>
          <cell r="W593" t="str">
            <v>S12</v>
          </cell>
          <cell r="X593" t="str">
            <v>Arbrisseau de rocailles emblématique, présent sur tout le pourtour méditerranéen, le romarin produit une infusion très aromatique. Ce condiment très apprécié en cuisine est aussi une formidable plante médicinale qui aide à la digestion et soutien naturellement l’élimination rénale.</v>
          </cell>
          <cell r="Y593"/>
          <cell r="Z593" t="str">
            <v>Ingrédient : romarin* (Rosmarinus officinalis). *Issu de l'agriculture biologique.</v>
          </cell>
          <cell r="AA593"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593" t="str">
            <v>/</v>
          </cell>
          <cell r="AC593">
            <v>500</v>
          </cell>
          <cell r="AD593" t="str">
            <v>5-10</v>
          </cell>
          <cell r="AE593">
            <v>95</v>
          </cell>
          <cell r="AF593">
            <v>2</v>
          </cell>
          <cell r="AG593">
            <v>250</v>
          </cell>
          <cell r="AH593">
            <v>3582811016212</v>
          </cell>
          <cell r="AI593" t="str">
            <v>/</v>
          </cell>
          <cell r="AJ593" t="str">
            <v>INTERNE</v>
          </cell>
          <cell r="AK593" t="str">
            <v>INTERNE</v>
          </cell>
          <cell r="AL593" t="str">
            <v>/</v>
          </cell>
          <cell r="AM593" t="str">
            <v>Herbier du Diois</v>
          </cell>
        </row>
        <row r="594">
          <cell r="A594" t="str">
            <v>TH1622</v>
          </cell>
          <cell r="B594"/>
          <cell r="C594" t="str">
            <v>X</v>
          </cell>
          <cell r="D594" t="str">
            <v>X</v>
          </cell>
          <cell r="E594"/>
          <cell r="F594" t="str">
            <v>GRAI</v>
          </cell>
          <cell r="G594">
            <v>45408</v>
          </cell>
          <cell r="H594" t="str">
            <v>LES BIENFAITRICES</v>
          </cell>
          <cell r="I594" t="str">
            <v>LES INFUSIONS DE PLANTES</v>
          </cell>
          <cell r="J594" t="str">
            <v>Romarin</v>
          </cell>
          <cell r="K594" t="str">
            <v>Digestive &amp; Diurétique</v>
          </cell>
          <cell r="L594" t="str">
            <v>Infusion de plante</v>
          </cell>
          <cell r="M594" t="str">
            <v>Portugal - Maroc</v>
          </cell>
          <cell r="N594" t="str">
            <v>AB</v>
          </cell>
          <cell r="O594" t="str">
            <v>/</v>
          </cell>
          <cell r="P594" t="str">
            <v>/</v>
          </cell>
          <cell r="Q594" t="str">
            <v>/</v>
          </cell>
          <cell r="R594" t="str">
            <v>/</v>
          </cell>
          <cell r="S594" t="str">
            <v>/</v>
          </cell>
          <cell r="T594" t="str">
            <v>Agriculture UE/non UE</v>
          </cell>
          <cell r="U594"/>
          <cell r="V594" t="str">
            <v>Arbrisseau de rocailles emblématique, présent sur tout le pourtour méditerranéen, le romarin est un condiment très apprécié en cuisine pour parfumer grillades, soupes ou autres sauces, mais aussi une formidable plante médicinale. On apprécie particulièrement le coup de pouce à la digestion et le soutien naturel à l’élimination rénale que procure son infusion particulièrement savoureuse.</v>
          </cell>
          <cell r="W594" t="str">
            <v>S12</v>
          </cell>
          <cell r="X594" t="str">
            <v>Arbrisseau de rocailles emblématique, présent sur tout le pourtour méditerranéen, le romarin produit une infusion très aromatique. Ce condiment très apprécié en cuisine est aussi une formidable plante médicinale qui aide à la digestion et soutien naturellement l’élimination rénale.</v>
          </cell>
          <cell r="Y594"/>
          <cell r="Z594" t="str">
            <v>Ingrédient : romarin* (Rosmarinus officinalis). *Issu de l'agriculture biologique.</v>
          </cell>
          <cell r="AA594"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594" t="str">
            <v>/</v>
          </cell>
          <cell r="AC594">
            <v>90</v>
          </cell>
          <cell r="AD594" t="str">
            <v>5-10</v>
          </cell>
          <cell r="AE594">
            <v>95</v>
          </cell>
          <cell r="AF594">
            <v>2</v>
          </cell>
          <cell r="AG594">
            <v>45</v>
          </cell>
          <cell r="AH594">
            <v>3582811016229</v>
          </cell>
          <cell r="AI594" t="str">
            <v>/</v>
          </cell>
          <cell r="AJ594" t="str">
            <v>ETHN1620V5</v>
          </cell>
          <cell r="AK594" t="str">
            <v>ETHN1620V5</v>
          </cell>
          <cell r="AL594" t="str">
            <v>/</v>
          </cell>
          <cell r="AM594" t="str">
            <v>Herbier du Diois</v>
          </cell>
        </row>
        <row r="595">
          <cell r="A595" t="str">
            <v>TR2001</v>
          </cell>
          <cell r="B595"/>
          <cell r="C595"/>
          <cell r="D595"/>
          <cell r="E595"/>
          <cell r="F595"/>
          <cell r="G595"/>
          <cell r="H595" t="str">
            <v>LES GRANDS CLASSIQUES</v>
          </cell>
          <cell r="I595"/>
          <cell r="J595" t="str">
            <v>Rooibos</v>
          </cell>
          <cell r="K595" t="str">
            <v>Rooibos Nature</v>
          </cell>
          <cell r="L595" t="str">
            <v>Rooibos nature</v>
          </cell>
          <cell r="M595" t="str">
            <v>Afrique du Sud - Cap Occidental</v>
          </cell>
          <cell r="N595" t="str">
            <v>AB</v>
          </cell>
          <cell r="O595" t="str">
            <v>WFTO</v>
          </cell>
          <cell r="P595" t="str">
            <v>/</v>
          </cell>
          <cell r="Q595" t="str">
            <v>/</v>
          </cell>
          <cell r="R595" t="str">
            <v>/</v>
          </cell>
          <cell r="S595" t="str">
            <v>/</v>
          </cell>
          <cell r="T595" t="str">
            <v>Agriculture Afrique du Sud</v>
          </cell>
          <cell r="U595"/>
          <cell r="V595" t="str">
            <v>Boisson nationale d’Afrique du Sud, le rooibos, infusion rouge au goût doux et ensoleillé, vous transporte sur les terres dorées de la pointe africaine. Très digeste, dépourvu de théine et très peu tannique, le rooibos, chaud ou glacé, fera la joie des petits et des grands à tout moment de la journée.</v>
          </cell>
          <cell r="W595"/>
          <cell r="X595" t="str">
            <v>Né au cœur du Cederberg, ce rooibos gorgé du soleil sud-africain offre la générosité de son terroir à la biodiversité exceptionnelle. Son infusion souple et dépourvue de théine distille des saveurs agréablement boisées et vanillées qui peuvent s’apprécier aussi bien chaudes que glacées.</v>
          </cell>
          <cell r="Y595"/>
          <cell r="Z595" t="str">
            <v xml:space="preserve">Ingrédient : rooibos*. *Issu de l'agriculture biologique. </v>
          </cell>
          <cell r="AA595" t="str">
            <v>/</v>
          </cell>
          <cell r="AB595" t="str">
            <v>Membre certifié World Fair Trade Organization, Les Jardins de Gaïa s’engagent pour un commerce plus juste et répondent aux exigences du commerce équitable. Pour en savoir plus : www.wfto.com.</v>
          </cell>
          <cell r="AC595">
            <v>1.5</v>
          </cell>
          <cell r="AD595" t="str">
            <v>5-10</v>
          </cell>
          <cell r="AE595">
            <v>95</v>
          </cell>
          <cell r="AF595">
            <v>2</v>
          </cell>
          <cell r="AG595">
            <v>750</v>
          </cell>
          <cell r="AH595">
            <v>3582810920015</v>
          </cell>
          <cell r="AI595" t="str">
            <v>/</v>
          </cell>
          <cell r="AJ595" t="str">
            <v>INTERNE</v>
          </cell>
          <cell r="AK595" t="str">
            <v>INTERNE</v>
          </cell>
          <cell r="AL595" t="str">
            <v>/</v>
          </cell>
          <cell r="AM595" t="str">
            <v>Wupperthal Original Rooibos Cooperative</v>
          </cell>
        </row>
        <row r="596">
          <cell r="A596" t="str">
            <v>TR2002</v>
          </cell>
          <cell r="B596"/>
          <cell r="C596" t="str">
            <v>X</v>
          </cell>
          <cell r="D596" t="str">
            <v>X</v>
          </cell>
          <cell r="E596" t="str">
            <v>X</v>
          </cell>
          <cell r="F596" t="str">
            <v>GRAI</v>
          </cell>
          <cell r="G596">
            <v>45383</v>
          </cell>
          <cell r="H596" t="str">
            <v>LES GRANDS CLASSIQUES</v>
          </cell>
          <cell r="I596"/>
          <cell r="J596" t="str">
            <v>Rooibos</v>
          </cell>
          <cell r="K596" t="str">
            <v>Rooibos Nature</v>
          </cell>
          <cell r="L596" t="str">
            <v>Rooibos nature</v>
          </cell>
          <cell r="M596" t="str">
            <v>Afrique du Sud - Cap Occidental</v>
          </cell>
          <cell r="N596" t="str">
            <v>AB</v>
          </cell>
          <cell r="O596" t="str">
            <v>WFTO</v>
          </cell>
          <cell r="P596" t="str">
            <v>/</v>
          </cell>
          <cell r="Q596" t="str">
            <v>/</v>
          </cell>
          <cell r="R596" t="str">
            <v>/</v>
          </cell>
          <cell r="S596" t="str">
            <v>/</v>
          </cell>
          <cell r="T596" t="str">
            <v>Agriculture Afrique du Sud</v>
          </cell>
          <cell r="U596"/>
          <cell r="V596" t="str">
            <v>Boisson nationale d’Afrique du Sud, le rooibos, infusion rouge au goût doux et ensoleillé, vous transporte sur les terres dorées de la pointe africaine. Très digeste, dépourvu de théine et très peu tannique, le rooibos, chaud ou glacé, fera la joie des petits et des grands à tout moment de la journée.</v>
          </cell>
          <cell r="W596"/>
          <cell r="X596" t="str">
            <v>Né au cœur du Cederberg, ce rooibos gorgé du soleil sud-africain offre la générosité de son terroir à la biodiversité exceptionnelle. Son infusion souple et dépourvue de théine distille des saveurs agréablement boisées et vanillées qui peuvent s’apprécier aussi bien chaudes que glacées.</v>
          </cell>
          <cell r="Y596"/>
          <cell r="Z596" t="str">
            <v xml:space="preserve">Ingrédient : rooibos*. *Issu de l'agriculture biologique. </v>
          </cell>
          <cell r="AA596" t="str">
            <v>/</v>
          </cell>
          <cell r="AB596" t="str">
            <v>Membre certifié World Fair Trade Organization, Les Jardins de Gaïa s’engagent pour un commerce plus juste et répondent aux exigences du commerce équitable. Pour en savoir plus : www.wfto.com.</v>
          </cell>
          <cell r="AC596">
            <v>100</v>
          </cell>
          <cell r="AD596" t="str">
            <v>5-10</v>
          </cell>
          <cell r="AE596">
            <v>95</v>
          </cell>
          <cell r="AF596">
            <v>2</v>
          </cell>
          <cell r="AG596">
            <v>50</v>
          </cell>
          <cell r="AH596">
            <v>3582810920022</v>
          </cell>
          <cell r="AI596" t="str">
            <v>/</v>
          </cell>
          <cell r="AJ596" t="str">
            <v>ETRN200</v>
          </cell>
          <cell r="AK596" t="str">
            <v>ETRN200V5</v>
          </cell>
          <cell r="AL596" t="str">
            <v>ETCRN2002V5</v>
          </cell>
          <cell r="AM596" t="str">
            <v>Wupperthal Original Rooibos Cooperative</v>
          </cell>
        </row>
        <row r="597">
          <cell r="A597" t="str">
            <v>TR2601</v>
          </cell>
          <cell r="B597"/>
          <cell r="C597"/>
          <cell r="D597"/>
          <cell r="E597"/>
          <cell r="F597"/>
          <cell r="G597"/>
          <cell r="H597" t="str">
            <v>LES GRANDS CLASSIQUES</v>
          </cell>
          <cell r="I597"/>
          <cell r="J597" t="str">
            <v>Rooibos</v>
          </cell>
          <cell r="K597" t="str">
            <v>Nature</v>
          </cell>
          <cell r="L597" t="str">
            <v>Rooibos nature</v>
          </cell>
          <cell r="M597" t="str">
            <v>Afrique du Sud - Cap Occidental</v>
          </cell>
          <cell r="N597" t="str">
            <v>AB</v>
          </cell>
          <cell r="O597" t="str">
            <v>WFTO</v>
          </cell>
          <cell r="P597" t="str">
            <v>D</v>
          </cell>
          <cell r="Q597" t="str">
            <v>/</v>
          </cell>
          <cell r="R597" t="str">
            <v>/</v>
          </cell>
          <cell r="S597" t="str">
            <v>/</v>
          </cell>
          <cell r="T597" t="str">
            <v>Agriculture Afrique du Sud</v>
          </cell>
          <cell r="U597"/>
          <cell r="V597" t="str">
            <v>C’est sur le haut plateau de Vaalheuning dans le Cederberg, au milieu d’un “royaume floral” protégé, que ce premier rooibos élevé en biodynamie prend naturellement sa force et sa richesse. Aboutissement d’une étroite collaboration avec des petits producteurs sud-africains, ce rooibos unique et rare exprime toute la magie d’un terroir qui nous tient véritablement à cœur !</v>
          </cell>
          <cell r="W597" t="str">
            <v>S17</v>
          </cell>
          <cell r="X597" t="str">
            <v>C’est sur le haut plateau de Vaalheuning dans le Cederberg, au milieu d’un “royaume floral” protégé, que ce premier rooibos élevé en biodynamie prend naturellement sa force et sa richesse. Unique et rare, il exprime toute la magie d’un terroir qui nous tient véritablement à cœur !</v>
          </cell>
          <cell r="Y597"/>
          <cell r="Z597" t="str">
            <v xml:space="preserve">Ingrédient : rooibos**. **Issu de l'agriculture biologique et biodynamique. demeter est la marque des produits issus de l'agriculture biodynamique certifiée. </v>
          </cell>
          <cell r="AA597" t="str">
            <v>/</v>
          </cell>
          <cell r="AB597" t="str">
            <v>Membre certifié World Fair Trade Organization, Les Jardins de Gaïa s’engagent pour un commerce plus juste et répondent aux exigences du commerce équitable. Pour en savoir plus : www.wfto.com.</v>
          </cell>
          <cell r="AC597">
            <v>1.5</v>
          </cell>
          <cell r="AD597" t="str">
            <v>5-10</v>
          </cell>
          <cell r="AE597">
            <v>95</v>
          </cell>
          <cell r="AF597">
            <v>2</v>
          </cell>
          <cell r="AG597">
            <v>750</v>
          </cell>
          <cell r="AH597">
            <v>3582810926017</v>
          </cell>
          <cell r="AI597" t="str">
            <v>/</v>
          </cell>
          <cell r="AJ597" t="str">
            <v>INTERNE</v>
          </cell>
          <cell r="AK597" t="str">
            <v>INTERNE</v>
          </cell>
          <cell r="AL597" t="str">
            <v>/</v>
          </cell>
          <cell r="AM597" t="str">
            <v>Wupperthal Original Rooibos Cooperative</v>
          </cell>
        </row>
        <row r="598">
          <cell r="A598" t="str">
            <v>TR2602</v>
          </cell>
          <cell r="B598"/>
          <cell r="C598" t="str">
            <v>X</v>
          </cell>
          <cell r="D598" t="str">
            <v>X</v>
          </cell>
          <cell r="E598" t="str">
            <v>X</v>
          </cell>
          <cell r="F598" t="str">
            <v>BRODART</v>
          </cell>
          <cell r="G598"/>
          <cell r="H598" t="str">
            <v>LES GRANDS CLASSIQUES</v>
          </cell>
          <cell r="I598"/>
          <cell r="J598" t="str">
            <v>Rooibos</v>
          </cell>
          <cell r="K598" t="str">
            <v>Nature</v>
          </cell>
          <cell r="L598" t="str">
            <v>Rooibos nature</v>
          </cell>
          <cell r="M598" t="str">
            <v>Afrique du Sud - Cap Occidental</v>
          </cell>
          <cell r="N598" t="str">
            <v>AB</v>
          </cell>
          <cell r="O598" t="str">
            <v>WFTO</v>
          </cell>
          <cell r="P598" t="str">
            <v>D</v>
          </cell>
          <cell r="Q598" t="str">
            <v>/</v>
          </cell>
          <cell r="R598" t="str">
            <v>/</v>
          </cell>
          <cell r="S598" t="str">
            <v>/</v>
          </cell>
          <cell r="T598" t="str">
            <v>Agriculture Afrique du Sud</v>
          </cell>
          <cell r="U598"/>
          <cell r="V598" t="str">
            <v>C’est sur le haut plateau de Vaalheuning dans le Cederberg, au milieu d’un “royaume floral” protégé, que ce premier rooibos élevé en biodynamie prend naturellement sa force et sa richesse. Aboutissement d’une étroite collaboration avec des petits producteurs sud-africains, ce rooibos unique et rare exprime toute la magie d’un terroir qui nous tient véritablement à cœur !</v>
          </cell>
          <cell r="W598" t="str">
            <v>S17</v>
          </cell>
          <cell r="X598" t="str">
            <v>C’est sur le haut plateau de Vaalheuning dans le Cederberg, au milieu d’un “royaume floral” protégé, que ce premier rooibos élevé en biodynamie prend naturellement sa force et sa richesse. Unique et rare, il exprime toute la magie d’un terroir qui nous tient véritablement à cœur !</v>
          </cell>
          <cell r="Y598"/>
          <cell r="Z598" t="str">
            <v xml:space="preserve">Ingrédient : rooibos**. **Issu de l'agriculture biologique et biodynamique. demeter est la marque des produits issus de l'agriculture biodynamique certifiée. </v>
          </cell>
          <cell r="AA598" t="str">
            <v>/</v>
          </cell>
          <cell r="AB598" t="str">
            <v>Membre certifié World Fair Trade Organization, Les Jardins de Gaïa s’engagent pour un commerce plus juste et répondent aux exigences du commerce équitable. Pour en savoir plus : www.wfto.com.</v>
          </cell>
          <cell r="AC598">
            <v>100</v>
          </cell>
          <cell r="AD598" t="str">
            <v>5-10</v>
          </cell>
          <cell r="AE598">
            <v>95</v>
          </cell>
          <cell r="AF598">
            <v>2</v>
          </cell>
          <cell r="AG598">
            <v>50</v>
          </cell>
          <cell r="AH598">
            <v>3582810926024</v>
          </cell>
          <cell r="AI598" t="str">
            <v>/</v>
          </cell>
          <cell r="AJ598" t="str">
            <v>ETRN260</v>
          </cell>
          <cell r="AK598" t="str">
            <v>ETRN260V5</v>
          </cell>
          <cell r="AL598" t="str">
            <v>ETCRN2602V5</v>
          </cell>
          <cell r="AM598" t="str">
            <v>Wupperthal Original Rooibos Cooperative</v>
          </cell>
        </row>
        <row r="599">
          <cell r="A599" t="str">
            <v>TR2407</v>
          </cell>
          <cell r="B599"/>
          <cell r="C599"/>
          <cell r="D599"/>
          <cell r="E599"/>
          <cell r="F599"/>
          <cell r="G599"/>
          <cell r="H599" t="str">
            <v>LES GRANDS CLASSIQUES</v>
          </cell>
          <cell r="I599"/>
          <cell r="J599" t="str">
            <v>Rooibos sauvage</v>
          </cell>
          <cell r="K599" t="str">
            <v>Nature</v>
          </cell>
          <cell r="L599" t="str">
            <v>Rooibos nature</v>
          </cell>
          <cell r="M599" t="str">
            <v>Afrique du Sud - Cap Occidental</v>
          </cell>
          <cell r="N599" t="str">
            <v>AB</v>
          </cell>
          <cell r="O599" t="str">
            <v>WFTO</v>
          </cell>
          <cell r="P599" t="str">
            <v>/</v>
          </cell>
          <cell r="Q599" t="str">
            <v>/</v>
          </cell>
          <cell r="R599" t="str">
            <v>/</v>
          </cell>
          <cell r="S599" t="str">
            <v>/</v>
          </cell>
          <cell r="T599" t="str">
            <v>Agriculture Afrique du Sud</v>
          </cell>
          <cell r="U599"/>
          <cell r="V599" t="str">
            <v>Recherché pour sa rareté et son arôme unique, le rooibos sauvage, fines aiguilles ocre rouge, offre une tasse cuivrée au goût puissant et parfumé à l'image de son terroir. Très digeste, cette infusion ne contient pas de théine et très peu de tanins. À consommer à toute heure du jour et de la nuit…</v>
          </cell>
          <cell r="W599" t="str">
            <v>S17</v>
          </cell>
          <cell r="X599" t="str">
            <v>Recherché pour sa rareté et pour ses saveurs gourmandes plus florales, miellées et épicées qu’un rooibos classique, le rooibos sauvage offre une belle tasse cuivrée au goût puissant et complexe à l’image de son lumineux terroir.</v>
          </cell>
          <cell r="Y599"/>
          <cell r="Z599" t="str">
            <v>Ingrédient : rooibos*. *Issu de l'agriculture biologique.</v>
          </cell>
          <cell r="AA599" t="str">
            <v>/</v>
          </cell>
          <cell r="AB599" t="str">
            <v>Membre certifié World Fair Trade Organization, Les Jardins de Gaïa s’engagent pour un commerce plus juste et répondent aux exigences du commerce équitable. Pour en savoir plus : www.wfto.com.</v>
          </cell>
          <cell r="AC599">
            <v>1.5</v>
          </cell>
          <cell r="AD599" t="str">
            <v>5-10</v>
          </cell>
          <cell r="AE599">
            <v>95</v>
          </cell>
          <cell r="AF599">
            <v>2</v>
          </cell>
          <cell r="AG599">
            <v>750</v>
          </cell>
          <cell r="AH599">
            <v>3582810924075</v>
          </cell>
          <cell r="AI599" t="str">
            <v>/</v>
          </cell>
          <cell r="AJ599" t="str">
            <v>INTERNE</v>
          </cell>
          <cell r="AK599" t="str">
            <v>INTERNE</v>
          </cell>
          <cell r="AL599" t="str">
            <v>/</v>
          </cell>
          <cell r="AM599" t="str">
            <v>Wupperthal Original Rooibos Cooperative</v>
          </cell>
        </row>
        <row r="600">
          <cell r="A600" t="str">
            <v>TR2402</v>
          </cell>
          <cell r="B600"/>
          <cell r="C600" t="str">
            <v>X</v>
          </cell>
          <cell r="D600" t="str">
            <v>X</v>
          </cell>
          <cell r="E600" t="str">
            <v>X</v>
          </cell>
          <cell r="F600" t="str">
            <v>BRODART</v>
          </cell>
          <cell r="G600"/>
          <cell r="H600" t="str">
            <v>LES GRANDS CLASSIQUES</v>
          </cell>
          <cell r="I600"/>
          <cell r="J600" t="str">
            <v>Rooibos sauvage</v>
          </cell>
          <cell r="K600" t="str">
            <v>Nature</v>
          </cell>
          <cell r="L600" t="str">
            <v>Rooibos nature</v>
          </cell>
          <cell r="M600" t="str">
            <v>Afrique du Sud - Cap Occidental</v>
          </cell>
          <cell r="N600" t="str">
            <v>AB</v>
          </cell>
          <cell r="O600" t="str">
            <v>WFTO</v>
          </cell>
          <cell r="P600" t="str">
            <v>/</v>
          </cell>
          <cell r="Q600" t="str">
            <v>/</v>
          </cell>
          <cell r="R600" t="str">
            <v>/</v>
          </cell>
          <cell r="S600" t="str">
            <v>/</v>
          </cell>
          <cell r="T600" t="str">
            <v>Agriculture Afrique du Sud</v>
          </cell>
          <cell r="U600"/>
          <cell r="V600" t="str">
            <v>Recherché pour sa rareté et son arôme unique, le rooibos sauvage, fines aiguilles ocre rouge, offre une tasse cuivrée au goût puissant et parfumé à l'image de son terroir. Très digeste, cette infusion ne contient pas de théine et très peu de tanins. À consommer à toute heure du jour et de la nuit…</v>
          </cell>
          <cell r="W600" t="str">
            <v>S17</v>
          </cell>
          <cell r="X600" t="str">
            <v>Recherché pour sa rareté et pour ses saveurs gourmandes plus florales, miellées et épicées qu’un rooibos classique, le rooibos sauvage offre une belle tasse cuivrée au goût puissant et complexe à l’image de son lumineux terroir.</v>
          </cell>
          <cell r="Y600"/>
          <cell r="Z600" t="str">
            <v>Ingrédient : rooibos*. *Issu de l'agriculture biologique.</v>
          </cell>
          <cell r="AA600" t="str">
            <v>/</v>
          </cell>
          <cell r="AB600" t="str">
            <v>Membre certifié World Fair Trade Organization, Les Jardins de Gaïa s’engagent pour un commerce plus juste et répondent aux exigences du commerce équitable. Pour en savoir plus : www.wfto.com.</v>
          </cell>
          <cell r="AC600">
            <v>100</v>
          </cell>
          <cell r="AD600" t="str">
            <v>5-10</v>
          </cell>
          <cell r="AE600">
            <v>95</v>
          </cell>
          <cell r="AF600">
            <v>2</v>
          </cell>
          <cell r="AG600">
            <v>50</v>
          </cell>
          <cell r="AH600">
            <v>3582810924020</v>
          </cell>
          <cell r="AI600" t="str">
            <v>/</v>
          </cell>
          <cell r="AJ600" t="str">
            <v>ETRN240V5</v>
          </cell>
          <cell r="AK600" t="str">
            <v>ETRN240V5</v>
          </cell>
          <cell r="AL600" t="str">
            <v>ETCRN2402V5</v>
          </cell>
          <cell r="AM600" t="str">
            <v>Wupperthal Original Rooibos Cooperative</v>
          </cell>
        </row>
        <row r="601">
          <cell r="A601" t="str">
            <v>TR2501</v>
          </cell>
          <cell r="B601"/>
          <cell r="C601"/>
          <cell r="D601"/>
          <cell r="E601"/>
          <cell r="F601"/>
          <cell r="G601"/>
          <cell r="H601" t="str">
            <v>LES GRANDS CLASSIQUES</v>
          </cell>
          <cell r="I601"/>
          <cell r="J601" t="str">
            <v>Rooibos vert</v>
          </cell>
          <cell r="K601" t="str">
            <v>Nature</v>
          </cell>
          <cell r="L601" t="str">
            <v>Rooibos nature</v>
          </cell>
          <cell r="M601" t="str">
            <v>Afrique du Sud - Cap Occidental</v>
          </cell>
          <cell r="N601" t="str">
            <v>AB</v>
          </cell>
          <cell r="O601" t="str">
            <v>WFTO</v>
          </cell>
          <cell r="P601" t="str">
            <v>/</v>
          </cell>
          <cell r="Q601" t="str">
            <v>/</v>
          </cell>
          <cell r="R601" t="str">
            <v>/</v>
          </cell>
          <cell r="S601" t="str">
            <v>/</v>
          </cell>
          <cell r="T601" t="str">
            <v>Agriculture Afrique du Sud</v>
          </cell>
          <cell r="U601"/>
          <cell r="V601" t="str">
            <v xml:space="preserve">Délicate boisson d’Afrique du Sud non fermentée. Infusion herbacée et légère sans théine, à haute teneur en vitamines. À consommer à tout moment. </v>
          </cell>
          <cell r="W601"/>
          <cell r="X601" t="str">
            <v>Le rooibos vert contrairement au rooibos rouge classique n’a pas subi d’étape de fermentation et garde sa couleur originelle. On l’apprécie pour ses saveurs subtilement herbacées au cœur d’une liqueur tout en fraîcheur et légèreté. Découvrez une autre version de la boisson nationale sud-africaine !</v>
          </cell>
          <cell r="Y601"/>
          <cell r="Z601" t="str">
            <v xml:space="preserve">Ingrédient : rooibos vert*. *Issu de l'agriculture biologique. </v>
          </cell>
          <cell r="AA601" t="str">
            <v>/</v>
          </cell>
          <cell r="AB601" t="str">
            <v>Membre certifié World Fair Trade Organization, Les Jardins de Gaïa s’engagent pour un commerce plus juste et répondent aux exigences du commerce équitable. Pour en savoir plus : www.wfto.com.</v>
          </cell>
          <cell r="AC601">
            <v>1.5</v>
          </cell>
          <cell r="AD601" t="str">
            <v>5-7</v>
          </cell>
          <cell r="AE601">
            <v>95</v>
          </cell>
          <cell r="AF601">
            <v>2</v>
          </cell>
          <cell r="AG601">
            <v>750</v>
          </cell>
          <cell r="AH601">
            <v>3582810925010</v>
          </cell>
          <cell r="AI601" t="str">
            <v>/</v>
          </cell>
          <cell r="AJ601" t="str">
            <v>INTERNE</v>
          </cell>
          <cell r="AK601" t="str">
            <v>INTERNE</v>
          </cell>
          <cell r="AL601" t="str">
            <v>/</v>
          </cell>
          <cell r="AM601" t="str">
            <v>Kings product</v>
          </cell>
        </row>
        <row r="602">
          <cell r="A602" t="str">
            <v>TR2502</v>
          </cell>
          <cell r="B602"/>
          <cell r="C602" t="str">
            <v>X</v>
          </cell>
          <cell r="D602" t="str">
            <v>X</v>
          </cell>
          <cell r="E602" t="str">
            <v>X</v>
          </cell>
          <cell r="F602" t="str">
            <v>GRAI</v>
          </cell>
          <cell r="G602">
            <v>45383</v>
          </cell>
          <cell r="H602" t="str">
            <v>LES GRANDS CLASSIQUES</v>
          </cell>
          <cell r="I602"/>
          <cell r="J602" t="str">
            <v>Rooibos vert</v>
          </cell>
          <cell r="K602" t="str">
            <v>Rooibos Nature</v>
          </cell>
          <cell r="L602" t="str">
            <v>Rooibos nature</v>
          </cell>
          <cell r="M602" t="str">
            <v>Afrique du Sud - Cap Occidental</v>
          </cell>
          <cell r="N602" t="str">
            <v>AB</v>
          </cell>
          <cell r="O602" t="str">
            <v>WFTO</v>
          </cell>
          <cell r="P602" t="str">
            <v>/</v>
          </cell>
          <cell r="Q602" t="str">
            <v>/</v>
          </cell>
          <cell r="R602" t="str">
            <v>/</v>
          </cell>
          <cell r="S602" t="str">
            <v>/</v>
          </cell>
          <cell r="T602" t="str">
            <v>Agriculture Afrique du Sud</v>
          </cell>
          <cell r="U602"/>
          <cell r="V602" t="str">
            <v xml:space="preserve">Délicate boisson d’Afrique du Sud non fermentée. Infusion herbacée et légère sans théine, à haute teneur en vitamines. À consommer à tout moment. </v>
          </cell>
          <cell r="W602"/>
          <cell r="X602" t="str">
            <v>Le rooibos vert contrairement au rooibos rouge classique n’a pas subi d’étape de fermentation et garde sa couleur originelle. On l’apprécie pour ses saveurs subtilement herbacées au cœur d’une liqueur tout en fraîcheur et légèreté. Découvrez une autre version de la boisson nationale sud-africaine !</v>
          </cell>
          <cell r="Y602"/>
          <cell r="Z602" t="str">
            <v xml:space="preserve">Ingrédient : rooibos vert*. *Issu de l'agriculture biologique. </v>
          </cell>
          <cell r="AA602" t="str">
            <v>/</v>
          </cell>
          <cell r="AB602" t="str">
            <v>Membre certifié World Fair Trade Organization, Les Jardins de Gaïa s’engagent pour un commerce plus juste et répondent aux exigences du commerce équitable. Pour en savoir plus : www.wfto.com.</v>
          </cell>
          <cell r="AC602">
            <v>100</v>
          </cell>
          <cell r="AD602" t="str">
            <v>5-7</v>
          </cell>
          <cell r="AE602">
            <v>95</v>
          </cell>
          <cell r="AF602">
            <v>2</v>
          </cell>
          <cell r="AG602">
            <v>50</v>
          </cell>
          <cell r="AH602">
            <v>3582810925027</v>
          </cell>
          <cell r="AI602" t="str">
            <v>/</v>
          </cell>
          <cell r="AJ602" t="str">
            <v>ETRN250</v>
          </cell>
          <cell r="AK602" t="str">
            <v>ETRN250V5</v>
          </cell>
          <cell r="AL602" t="str">
            <v>ETCRN2502V5</v>
          </cell>
          <cell r="AM602" t="str">
            <v>Kings product</v>
          </cell>
        </row>
        <row r="603">
          <cell r="A603" t="str">
            <v>TUTJ0726</v>
          </cell>
          <cell r="B603"/>
          <cell r="C603"/>
          <cell r="D603"/>
          <cell r="E603"/>
          <cell r="F603"/>
          <cell r="G603"/>
          <cell r="H603" t="str">
            <v>LES PRECIEUX DU JAPON ET DE TAIWAN</v>
          </cell>
          <cell r="I603"/>
          <cell r="J603" t="str">
            <v>Rosé cha</v>
          </cell>
          <cell r="K603" t="str">
            <v>Nadeshiko 撫子</v>
          </cell>
          <cell r="L603" t="str">
            <v>Thé sombre d'origine</v>
          </cell>
          <cell r="M603" t="str">
            <v>Japon - Shizuoka</v>
          </cell>
          <cell r="N603" t="str">
            <v>AB</v>
          </cell>
          <cell r="O603" t="str">
            <v>/</v>
          </cell>
          <cell r="P603" t="str">
            <v>/</v>
          </cell>
          <cell r="Q603" t="str">
            <v>/</v>
          </cell>
          <cell r="R603" t="str">
            <v>/</v>
          </cell>
          <cell r="S603" t="str">
            <v>/</v>
          </cell>
          <cell r="T603" t="str">
            <v>Agriculture Japon</v>
          </cell>
          <cell r="U603"/>
          <cell r="V603" t="str">
            <v>Ce thé sombre original emprunte l’art de la fermentation du saké. Sa liqueur, joliment rosée les premières secondes de l’infusion, libère des arômes de caramel au lait, de cacahuètes pralinées avec de subtiles notes florales de rose. Une gourmandise saine qui marque l’esprit dès la première gorgée !</v>
          </cell>
          <cell r="W603" t="str">
            <v>S17</v>
          </cell>
          <cell r="X603" t="str">
            <v>Ce thé sombre original emprunte l’art de la fermentation du saké. Sa liqueur, joliment rosée les premières secondes de l’infusion, libère des arômes de caramel au lait, de cacahuètes pralinées avec de subtiles notes florales de rose. Une gourmandise saine qui marque l’esprit dès la première gorgée !</v>
          </cell>
          <cell r="Y603"/>
          <cell r="Z603" t="str">
            <v>Ingrédient : thé sombre*. *Issu de l'agriculture biologique.</v>
          </cell>
          <cell r="AA603" t="str">
            <v>/</v>
          </cell>
          <cell r="AB603" t="str">
            <v>/</v>
          </cell>
          <cell r="AC603">
            <v>50</v>
          </cell>
          <cell r="AD603" t="str">
            <v>1</v>
          </cell>
          <cell r="AE603">
            <v>100</v>
          </cell>
          <cell r="AF603">
            <v>2</v>
          </cell>
          <cell r="AG603">
            <v>25</v>
          </cell>
          <cell r="AH603">
            <v>3582815707260</v>
          </cell>
          <cell r="AI603" t="str">
            <v>Plusieurs infusions</v>
          </cell>
          <cell r="AJ603" t="str">
            <v>ETTUTJ0726</v>
          </cell>
          <cell r="AK603" t="str">
            <v>ETTUTJ0726V5</v>
          </cell>
          <cell r="AL603" t="str">
            <v>/</v>
          </cell>
          <cell r="AM603" t="str">
            <v>Shizuoka</v>
          </cell>
        </row>
        <row r="604">
          <cell r="A604" t="str">
            <v>TO2017</v>
          </cell>
          <cell r="B604"/>
          <cell r="C604"/>
          <cell r="D604"/>
          <cell r="E604"/>
          <cell r="F604"/>
          <cell r="G604"/>
          <cell r="H604" t="str">
            <v>LES GRAND CRUS</v>
          </cell>
          <cell r="I604"/>
          <cell r="J604" t="str">
            <v>Ruanzhi wulong</v>
          </cell>
          <cell r="K604" t="str">
            <v>/</v>
          </cell>
          <cell r="L604" t="str">
            <v>Thé wulong d'origine</v>
          </cell>
          <cell r="M604" t="str">
            <v>Thaïlande - Chiang Rai</v>
          </cell>
          <cell r="N604" t="str">
            <v>AB</v>
          </cell>
          <cell r="O604" t="str">
            <v>/</v>
          </cell>
          <cell r="P604" t="str">
            <v>/</v>
          </cell>
          <cell r="Q604" t="str">
            <v>/</v>
          </cell>
          <cell r="R604" t="str">
            <v>/</v>
          </cell>
          <cell r="S604" t="str">
            <v>/</v>
          </cell>
          <cell r="T604" t="str">
            <v>Agriculture Thaïlande</v>
          </cell>
          <cell r="U604"/>
          <cell r="V604" t="str">
            <v>Cet excellent wulong, fruit d'une oxydation poussée suivie d'une cuisson lente développe une palette aromatique particulièrement variée et surprenante. Son infusion lumineuse, d'une belle tenue en bouche, séduit par des saveurs qui oscillent entre la chaleur du miel de sapin et la fraîcheur des bourgeons de pin suivies d'une finale florale aux jolis accents exotiques.</v>
          </cell>
          <cell r="W604" t="str">
            <v>S26</v>
          </cell>
          <cell r="X604" t="str">
            <v>Issu de l’excellent cultivar ruanzhi, ce thé wulong développe une palette aromatique particulièrement riche et variée. Son infusion d'une belle tenue en bouche, séduit par ses saveurs douces de miel de sapin, fraîches de bourgeons de pin et sa superbe finale aux accents de fleurs exotiques.</v>
          </cell>
          <cell r="Y604"/>
          <cell r="Z604" t="str">
            <v>Ingrédient : thé wulong*. *Issu de l'agriculture biologique.</v>
          </cell>
          <cell r="AA604" t="str">
            <v>/</v>
          </cell>
          <cell r="AB604" t="str">
            <v>/</v>
          </cell>
          <cell r="AC604">
            <v>1</v>
          </cell>
          <cell r="AD604" t="str">
            <v>5-6</v>
          </cell>
          <cell r="AE604">
            <v>95</v>
          </cell>
          <cell r="AF604">
            <v>2</v>
          </cell>
          <cell r="AG604">
            <v>500</v>
          </cell>
          <cell r="AH604">
            <v>3582810720172</v>
          </cell>
          <cell r="AI604" t="str">
            <v>Plusieurs infusions</v>
          </cell>
          <cell r="AJ604" t="str">
            <v>INTERNE</v>
          </cell>
          <cell r="AK604" t="str">
            <v>INTERNE</v>
          </cell>
          <cell r="AL604" t="str">
            <v>/</v>
          </cell>
          <cell r="AM604" t="str">
            <v>Choke Chamroen Tea Co., Ltd.</v>
          </cell>
        </row>
        <row r="605">
          <cell r="A605" t="str">
            <v>TO2012</v>
          </cell>
          <cell r="B605"/>
          <cell r="C605"/>
          <cell r="D605"/>
          <cell r="E605"/>
          <cell r="F605"/>
          <cell r="G605"/>
          <cell r="H605" t="str">
            <v>LES GRAND CRUS</v>
          </cell>
          <cell r="I605"/>
          <cell r="J605" t="str">
            <v>Ruanzhi wulong</v>
          </cell>
          <cell r="K605" t="str">
            <v>/</v>
          </cell>
          <cell r="L605" t="str">
            <v>Thé wulong d'origine</v>
          </cell>
          <cell r="M605" t="str">
            <v>Thaïlande - Chiang Rai</v>
          </cell>
          <cell r="N605" t="str">
            <v>AB</v>
          </cell>
          <cell r="O605" t="str">
            <v>/</v>
          </cell>
          <cell r="P605" t="str">
            <v>/</v>
          </cell>
          <cell r="Q605" t="str">
            <v>/</v>
          </cell>
          <cell r="R605" t="str">
            <v>/</v>
          </cell>
          <cell r="S605" t="str">
            <v>/</v>
          </cell>
          <cell r="T605" t="str">
            <v>Agriculture Thaïlande</v>
          </cell>
          <cell r="U605"/>
          <cell r="V605" t="str">
            <v>Cet excellent wulong, fruit d'une oxydation poussée suivie d'une cuisson lente développe une palette aromatique particulièrement variée et surprenante. Son infusion lumineuse, d'une belle tenue en bouche, séduit par des saveurs qui oscillent entre la chaleur du miel de sapin et la fraîcheur des bourgeons de pin suivies d'une finale florale aux jolis accents exotiques.</v>
          </cell>
          <cell r="W605" t="str">
            <v>S26</v>
          </cell>
          <cell r="X605" t="str">
            <v>Issu de l’excellent cultivar ruanzhi, ce thé wulong développe une palette aromatique particulièrement riche et variée. Son infusion d'une belle tenue en bouche, séduit par ses saveurs douces de miel de sapin, fraîches de bourgeons de pin et sa superbe finale aux accents de fleurs exotiques.</v>
          </cell>
          <cell r="Y605"/>
          <cell r="Z605" t="str">
            <v>Ingrédient : thé wulong*. *Issu de l'agriculture biologique.</v>
          </cell>
          <cell r="AA605" t="str">
            <v>/</v>
          </cell>
          <cell r="AB605" t="str">
            <v>/</v>
          </cell>
          <cell r="AC605">
            <v>90</v>
          </cell>
          <cell r="AD605" t="str">
            <v>5-6</v>
          </cell>
          <cell r="AE605">
            <v>95</v>
          </cell>
          <cell r="AF605">
            <v>2</v>
          </cell>
          <cell r="AG605">
            <v>45</v>
          </cell>
          <cell r="AH605">
            <v>3582810720127</v>
          </cell>
          <cell r="AI605" t="str">
            <v>Plusieurs infusions</v>
          </cell>
          <cell r="AJ605" t="str">
            <v>ETON201V5</v>
          </cell>
          <cell r="AK605" t="str">
            <v>ETON201V5</v>
          </cell>
          <cell r="AL605" t="str">
            <v>ETCON2012V5</v>
          </cell>
          <cell r="AM605" t="str">
            <v>Choke Chamroen Tea Co., Ltd.</v>
          </cell>
        </row>
        <row r="606">
          <cell r="A606" t="str">
            <v>TO2007</v>
          </cell>
          <cell r="B606"/>
          <cell r="C606"/>
          <cell r="D606"/>
          <cell r="E606"/>
          <cell r="F606"/>
          <cell r="G606"/>
          <cell r="H606" t="str">
            <v>LES GRAND CRUS</v>
          </cell>
          <cell r="I606"/>
          <cell r="J606" t="str">
            <v>Ruby wulong</v>
          </cell>
          <cell r="K606" t="str">
            <v>/</v>
          </cell>
          <cell r="L606" t="str">
            <v>Thé wulong d'origine</v>
          </cell>
          <cell r="M606" t="str">
            <v>Thaïlande - Chiang Rai</v>
          </cell>
          <cell r="N606" t="str">
            <v>AB</v>
          </cell>
          <cell r="O606" t="str">
            <v>/</v>
          </cell>
          <cell r="P606" t="str">
            <v>/</v>
          </cell>
          <cell r="Q606" t="str">
            <v>/</v>
          </cell>
          <cell r="R606" t="str">
            <v>/</v>
          </cell>
          <cell r="S606" t="str">
            <v>/</v>
          </cell>
          <cell r="T606" t="str">
            <v>Agriculture Thaïlande</v>
          </cell>
          <cell r="U606"/>
          <cell r="V606" t="str">
            <v>Ce wulong Ruby issu de l'excellent cultivar Four seasons a été transformé par une oxydation poussée suivie d'une cuisson lente à la méthode taïwanaise. L'infusion séduit par ses effluves gourmands de brioche sortie du four et ses saveurs complexes à la fois sucrées et boisées évoquant la réglisse. D'une belle persistance en bouche, ce thé ravira les amateurs de wulong corsé.</v>
          </cell>
          <cell r="W606" t="str">
            <v>S26</v>
          </cell>
          <cell r="X606" t="str">
            <v>Fruit d'une oxydation poussée suivie d'une cuisson lente, ce thé wulong développe une palette aromatique variée. Son infusion d'une belle tenue en bouche, séduit par ses saveurs douces de miel de sapin, fraîches de bourgeons de pin, suivies d’une finale aux accents de fleurs exotiques.</v>
          </cell>
          <cell r="Y606"/>
          <cell r="Z606" t="str">
            <v>Ingrédient : thé wulong*. *Issu de l'agriculture biologique.</v>
          </cell>
          <cell r="AA606" t="str">
            <v>/</v>
          </cell>
          <cell r="AB606" t="str">
            <v>/</v>
          </cell>
          <cell r="AC606">
            <v>1</v>
          </cell>
          <cell r="AD606" t="str">
            <v>5-6</v>
          </cell>
          <cell r="AE606">
            <v>95</v>
          </cell>
          <cell r="AF606">
            <v>2</v>
          </cell>
          <cell r="AG606">
            <v>500</v>
          </cell>
          <cell r="AH606">
            <v>3582810720073</v>
          </cell>
          <cell r="AI606" t="str">
            <v>Plusieurs infusions</v>
          </cell>
          <cell r="AJ606" t="str">
            <v>INTERNE</v>
          </cell>
          <cell r="AK606" t="str">
            <v>INTERNE</v>
          </cell>
          <cell r="AL606" t="str">
            <v>/</v>
          </cell>
          <cell r="AM606" t="str">
            <v>Choke Chamroen Tea Co., Ltd.</v>
          </cell>
        </row>
        <row r="607">
          <cell r="A607" t="str">
            <v>TO2002</v>
          </cell>
          <cell r="B607"/>
          <cell r="C607"/>
          <cell r="D607"/>
          <cell r="E607"/>
          <cell r="F607"/>
          <cell r="G607"/>
          <cell r="H607" t="str">
            <v>LES GRAND CRUS</v>
          </cell>
          <cell r="I607"/>
          <cell r="J607" t="str">
            <v>Ruby wulong</v>
          </cell>
          <cell r="K607" t="str">
            <v>/</v>
          </cell>
          <cell r="L607" t="str">
            <v>Thé wulong d'origine</v>
          </cell>
          <cell r="M607" t="str">
            <v>Thaïlande - Chiang Rai</v>
          </cell>
          <cell r="N607" t="str">
            <v>AB</v>
          </cell>
          <cell r="O607" t="str">
            <v>/</v>
          </cell>
          <cell r="P607" t="str">
            <v>/</v>
          </cell>
          <cell r="Q607" t="str">
            <v>/</v>
          </cell>
          <cell r="R607" t="str">
            <v>/</v>
          </cell>
          <cell r="S607" t="str">
            <v>/</v>
          </cell>
          <cell r="T607" t="str">
            <v>Agriculture Thaïlande</v>
          </cell>
          <cell r="U607"/>
          <cell r="V607" t="str">
            <v>Ce wulong Ruby issu de l'excellent cultivar Four seasons a été transformé par une oxydation poussée suivie d'une cuisson lente à la méthode taïwanaise. L'infusion séduit par ses effluves gourmands de brioche sortie du four et ses saveurs complexes à la fois sucrées et boisées évoquant la réglisse. D'une belle persistance en bouche, ce thé ravira les amateurs de wulong corsé.</v>
          </cell>
          <cell r="W607" t="str">
            <v>S26</v>
          </cell>
          <cell r="X607" t="str">
            <v>Fruit d'une oxydation poussée suivie d'une cuisson lente, ce thé wulong développe une palette aromatique variée. Son infusion d'une belle tenue en bouche, séduit par ses saveurs douces de miel de sapin, fraîches de bourgeons de pin, suivies d’une finale aux accents de fleurs exotiques.</v>
          </cell>
          <cell r="Y607"/>
          <cell r="Z607" t="str">
            <v>Ingrédient : thé wulong*. *Issu de l'agriculture biologique.</v>
          </cell>
          <cell r="AA607" t="str">
            <v>/</v>
          </cell>
          <cell r="AB607" t="str">
            <v>/</v>
          </cell>
          <cell r="AC607">
            <v>90</v>
          </cell>
          <cell r="AD607" t="str">
            <v>5-6</v>
          </cell>
          <cell r="AE607">
            <v>95</v>
          </cell>
          <cell r="AF607">
            <v>2</v>
          </cell>
          <cell r="AG607">
            <v>45</v>
          </cell>
          <cell r="AH607">
            <v>3582810720028</v>
          </cell>
          <cell r="AI607" t="str">
            <v>Plusieurs infusions</v>
          </cell>
          <cell r="AJ607" t="str">
            <v>ETON200V5</v>
          </cell>
          <cell r="AK607" t="str">
            <v>ETON200V5</v>
          </cell>
          <cell r="AL607" t="str">
            <v>ETCON2002V5</v>
          </cell>
          <cell r="AM607" t="str">
            <v>Choke Chamroen Tea Co., Ltd.</v>
          </cell>
        </row>
        <row r="608">
          <cell r="A608" t="str">
            <v>TN2397</v>
          </cell>
          <cell r="B608"/>
          <cell r="C608"/>
          <cell r="D608"/>
          <cell r="E608"/>
          <cell r="F608"/>
          <cell r="G608"/>
          <cell r="H608" t="str">
            <v>LES PRIMEURS</v>
          </cell>
          <cell r="I608"/>
          <cell r="J608" t="str">
            <v>Rungbang</v>
          </cell>
          <cell r="K608" t="str">
            <v>FTGFOP1 FF 
Top Quality 
cultivar Rungbang China</v>
          </cell>
          <cell r="L608" t="str">
            <v>Thé noir primeur</v>
          </cell>
          <cell r="M608" t="str">
            <v>Inde - Darjeeling - Rungbang garden</v>
          </cell>
          <cell r="N608" t="str">
            <v>AB</v>
          </cell>
          <cell r="O608" t="str">
            <v>/</v>
          </cell>
          <cell r="P608" t="str">
            <v>/</v>
          </cell>
          <cell r="Q608" t="str">
            <v>/</v>
          </cell>
          <cell r="R608" t="str">
            <v>IGP</v>
          </cell>
          <cell r="S608" t="str">
            <v>/</v>
          </cell>
          <cell r="T608" t="str">
            <v>Agriculture Inde</v>
          </cell>
          <cell r="U608"/>
          <cell r="V608" t="str">
            <v>Thé de printemps de caractère issu de petits producteurs pratiquant l’agroforesterie. Notes : florales, biscuitées et gourmandes.</v>
          </cell>
          <cell r="W608" t="str">
            <v>S26</v>
          </cell>
          <cell r="X608"/>
          <cell r="Y608"/>
          <cell r="Z608" t="str">
            <v xml:space="preserve">Ingrédient :  thé noir*. *Issu de l'agriculture biologique. </v>
          </cell>
          <cell r="AA608" t="str">
            <v>/</v>
          </cell>
          <cell r="AB608"/>
          <cell r="AC608">
            <v>1</v>
          </cell>
          <cell r="AD608" t="str">
            <v>3-4</v>
          </cell>
          <cell r="AE608" t="str">
            <v>85-90</v>
          </cell>
          <cell r="AF608">
            <v>2</v>
          </cell>
          <cell r="AG608">
            <v>500</v>
          </cell>
          <cell r="AH608">
            <v>3582810223970</v>
          </cell>
          <cell r="AI608" t="str">
            <v>/</v>
          </cell>
          <cell r="AJ608" t="str">
            <v>INTERNE</v>
          </cell>
          <cell r="AK608" t="str">
            <v>INTERNE</v>
          </cell>
          <cell r="AL608" t="str">
            <v>/</v>
          </cell>
          <cell r="AM608" t="str">
            <v>RangBang Darjeeling Hills Small Tea Growers Association</v>
          </cell>
        </row>
        <row r="609">
          <cell r="A609" t="str">
            <v>TN2396</v>
          </cell>
          <cell r="B609"/>
          <cell r="C609"/>
          <cell r="D609"/>
          <cell r="E609"/>
          <cell r="F609"/>
          <cell r="G609"/>
          <cell r="H609" t="str">
            <v>LES PRIMEURS</v>
          </cell>
          <cell r="I609"/>
          <cell r="J609" t="str">
            <v>Rungbang</v>
          </cell>
          <cell r="K609" t="str">
            <v>FTGFOP1 FF 
Top Quality 
cultivar Rungbang China</v>
          </cell>
          <cell r="L609" t="str">
            <v>Thé noir primeur</v>
          </cell>
          <cell r="M609" t="str">
            <v>Inde - Darjeeling - Rungbang garden</v>
          </cell>
          <cell r="N609" t="str">
            <v>AB</v>
          </cell>
          <cell r="O609" t="str">
            <v>/</v>
          </cell>
          <cell r="P609" t="str">
            <v>/</v>
          </cell>
          <cell r="Q609" t="str">
            <v>/</v>
          </cell>
          <cell r="R609" t="str">
            <v>IGP</v>
          </cell>
          <cell r="S609" t="str">
            <v>/</v>
          </cell>
          <cell r="T609" t="str">
            <v>Agriculture Inde</v>
          </cell>
          <cell r="U609"/>
          <cell r="V609" t="str">
            <v>Thé de printemps de caractère issu de petits producteurs pratiquant l’agroforesterie. Notes : florales, biscuitées et gourmandes.</v>
          </cell>
          <cell r="W609" t="str">
            <v>S26</v>
          </cell>
          <cell r="X609"/>
          <cell r="Y609"/>
          <cell r="Z609" t="str">
            <v xml:space="preserve">Ingrédient :  thé noir*. *Issu de l'agriculture biologique. </v>
          </cell>
          <cell r="AA609" t="str">
            <v>/</v>
          </cell>
          <cell r="AB609"/>
          <cell r="AC609">
            <v>70</v>
          </cell>
          <cell r="AD609" t="str">
            <v>3-4</v>
          </cell>
          <cell r="AE609" t="str">
            <v>85-90</v>
          </cell>
          <cell r="AF609">
            <v>2</v>
          </cell>
          <cell r="AG609">
            <v>35</v>
          </cell>
          <cell r="AH609">
            <v>3582810223963</v>
          </cell>
          <cell r="AI609" t="str">
            <v>/</v>
          </cell>
          <cell r="AJ609" t="str">
            <v>ETNN239FF22</v>
          </cell>
          <cell r="AK609" t="str">
            <v>ETNN239FF22V5</v>
          </cell>
          <cell r="AL609" t="str">
            <v>ETCNN2396FF22V5</v>
          </cell>
          <cell r="AM609" t="str">
            <v>RangBang Darjeeling Hills Small Tea Growers Association</v>
          </cell>
        </row>
        <row r="610">
          <cell r="A610" t="str">
            <v>TA6761</v>
          </cell>
          <cell r="B610"/>
          <cell r="C610"/>
          <cell r="D610"/>
          <cell r="E610"/>
          <cell r="F610"/>
          <cell r="G610"/>
          <cell r="H610" t="str">
            <v>LES GRANDS CLASSIQUES</v>
          </cell>
          <cell r="I610"/>
          <cell r="J610" t="str">
            <v>Sacré Ananas !</v>
          </cell>
          <cell r="K610" t="str">
            <v>Ananas - Tulsi</v>
          </cell>
          <cell r="L610" t="str">
            <v>Thé vert aromatisé</v>
          </cell>
          <cell r="M610" t="str">
            <v>Inde</v>
          </cell>
          <cell r="N610" t="str">
            <v>AB</v>
          </cell>
          <cell r="O610" t="str">
            <v>WFTO</v>
          </cell>
          <cell r="P610" t="str">
            <v>/</v>
          </cell>
          <cell r="Q610" t="str">
            <v>/</v>
          </cell>
          <cell r="R610" t="str">
            <v>/</v>
          </cell>
          <cell r="S610" t="str">
            <v>/</v>
          </cell>
          <cell r="T610" t="str">
            <v>Agriculture UE/non UE</v>
          </cell>
          <cell r="U610"/>
          <cell r="V610" t="str">
            <v>Sur une base de thé vert frais, les saveurs délicieusement fruitées de l'ananas se mêlent ici délicatement aux notes épicées du "basilic sacré". Laissez-vous délicieusement transporter dans une atmosphère indienne, magique et colorée.</v>
          </cell>
          <cell r="W610"/>
          <cell r="X610" t="str">
            <v>Sur une base de thé vert frais, les saveurs délicieusement fruitées de l'ananas se mêlent ici délicatement aux notes épicées du "basilic sacré". Laissez-vous transporter dans une atmosphère indienne, magique et colorée.</v>
          </cell>
          <cell r="Y610"/>
          <cell r="Z610" t="str">
            <v>Ingrédients : thé vert*, tulsi* 6%, arôme naturel d'ananas* 4%, morceaux d'ananas* 3%, pétales de fleurs (rose*, bleuet*), baies roses*, poivre noir*. *Issu de l'agriculture biologique.</v>
          </cell>
          <cell r="AA610" t="str">
            <v>/</v>
          </cell>
          <cell r="AB610" t="str">
            <v>Membre certifié World Fair Trade Organization, Les Jardins de Gaïa s’engagent pour un commerce plus juste et répondent aux exigences du commerce équitable. Pour en savoir plus : www.wfto.com.</v>
          </cell>
          <cell r="AC610">
            <v>1.5</v>
          </cell>
          <cell r="AD610" t="str">
            <v>3</v>
          </cell>
          <cell r="AE610">
            <v>85</v>
          </cell>
          <cell r="AF610">
            <v>2</v>
          </cell>
          <cell r="AG610">
            <v>750</v>
          </cell>
          <cell r="AH610">
            <v>3582810867617</v>
          </cell>
          <cell r="AI610" t="str">
            <v>/</v>
          </cell>
          <cell r="AJ610" t="str">
            <v>INTERNE</v>
          </cell>
          <cell r="AK610" t="str">
            <v>INTERNE</v>
          </cell>
          <cell r="AL610" t="str">
            <v>/</v>
          </cell>
          <cell r="AM610" t="str">
            <v>Création maison</v>
          </cell>
        </row>
        <row r="611">
          <cell r="A611" t="str">
            <v>TA6762</v>
          </cell>
          <cell r="B611"/>
          <cell r="C611" t="str">
            <v>X</v>
          </cell>
          <cell r="D611" t="str">
            <v>x</v>
          </cell>
          <cell r="E611" t="str">
            <v>X</v>
          </cell>
          <cell r="F611" t="str">
            <v>GRAI</v>
          </cell>
          <cell r="G611">
            <v>45383</v>
          </cell>
          <cell r="H611" t="str">
            <v>LES GRANDS CLASSIQUES</v>
          </cell>
          <cell r="I611"/>
          <cell r="J611" t="str">
            <v>Sacré Ananas !</v>
          </cell>
          <cell r="K611" t="str">
            <v>Ananas - Tulsi</v>
          </cell>
          <cell r="L611" t="str">
            <v>Thé vert aromatisé</v>
          </cell>
          <cell r="M611" t="str">
            <v>Inde</v>
          </cell>
          <cell r="N611" t="str">
            <v>AB</v>
          </cell>
          <cell r="O611" t="str">
            <v>WFTO</v>
          </cell>
          <cell r="P611" t="str">
            <v>/</v>
          </cell>
          <cell r="Q611" t="str">
            <v>/</v>
          </cell>
          <cell r="R611" t="str">
            <v>/</v>
          </cell>
          <cell r="S611" t="str">
            <v>/</v>
          </cell>
          <cell r="T611" t="str">
            <v>Agriculture UE/non UE</v>
          </cell>
          <cell r="U611"/>
          <cell r="V611" t="str">
            <v>Sur une base de thé vert frais, les saveurs délicieusement fruitées de l'ananas se mêlent ici délicatement aux notes épicées du "basilic sacré". Laissez-vous délicieusement transporter dans une atmosphère indienne, magique et colorée.</v>
          </cell>
          <cell r="W611"/>
          <cell r="X611" t="str">
            <v>Sur une base de thé vert frais, les saveurs délicieusement fruitées de l'ananas se mêlent ici délicatement aux notes épicées du "basilic sacré". Laissez-vous transporter dans une atmosphère indienne, magique et colorée.</v>
          </cell>
          <cell r="Y611"/>
          <cell r="Z611" t="str">
            <v>Ingrédients : thé vert*, tulsi* 6%, arôme naturel d'ananas* 4%, morceaux d'ananas* 3%, pétales de fleurs (rose*, bleuet*), baies roses*, poivre noir*. *Issu de l'agriculture biologique.</v>
          </cell>
          <cell r="AA611" t="str">
            <v>/</v>
          </cell>
          <cell r="AB611" t="str">
            <v>Membre certifié World Fair Trade Organization, Les Jardins de Gaïa s’engagent pour un commerce plus juste et répondent aux exigences du commerce équitable. Pour en savoir plus : www.wfto.com.</v>
          </cell>
          <cell r="AC611">
            <v>100</v>
          </cell>
          <cell r="AD611" t="str">
            <v>3</v>
          </cell>
          <cell r="AE611">
            <v>85</v>
          </cell>
          <cell r="AF611">
            <v>2</v>
          </cell>
          <cell r="AG611">
            <v>50</v>
          </cell>
          <cell r="AH611">
            <v>3582810867624</v>
          </cell>
          <cell r="AI611" t="str">
            <v>/</v>
          </cell>
          <cell r="AJ611" t="str">
            <v>ETVA676V5</v>
          </cell>
          <cell r="AK611" t="str">
            <v>ETVA676V5</v>
          </cell>
          <cell r="AL611" t="str">
            <v>ETCVA6762V5</v>
          </cell>
          <cell r="AM611" t="str">
            <v>Création maison</v>
          </cell>
        </row>
        <row r="612">
          <cell r="A612" t="str">
            <v>TUTJ0746</v>
          </cell>
          <cell r="B612"/>
          <cell r="C612"/>
          <cell r="D612"/>
          <cell r="E612"/>
          <cell r="F612"/>
          <cell r="G612"/>
          <cell r="H612" t="str">
            <v>LES PRECIEUX DU JAPON ET DE TAIWAN</v>
          </cell>
          <cell r="I612"/>
          <cell r="J612" t="str">
            <v>Sakura</v>
          </cell>
          <cell r="K612" t="str">
            <v>Wild cherry 桜葉茶</v>
          </cell>
          <cell r="L612" t="str">
            <v>Infusion de plante</v>
          </cell>
          <cell r="M612" t="str">
            <v>Japon - Shizuoka</v>
          </cell>
          <cell r="N612" t="str">
            <v>/</v>
          </cell>
          <cell r="O612" t="str">
            <v>/</v>
          </cell>
          <cell r="P612" t="str">
            <v>/</v>
          </cell>
          <cell r="Q612" t="str">
            <v>/</v>
          </cell>
          <cell r="R612" t="str">
            <v>/</v>
          </cell>
          <cell r="S612" t="str">
            <v>/</v>
          </cell>
          <cell r="T612" t="str">
            <v>/</v>
          </cell>
          <cell r="U612"/>
          <cell r="V612" t="str">
            <v>L’amour légendaire que portent les Japonais au Sakura se retrouve dans une tasse de ses feuilles infusées. Symbole de l’éphémère beauté, la liqueur déploie dans un extrême raffinement des parfums légers et aériens de fleurs de cerisier et des arômes fruités qui persistent en bouche avec une délicieuse longueur.</v>
          </cell>
          <cell r="W612" t="str">
            <v>S26</v>
          </cell>
          <cell r="X612" t="str">
            <v>L’amour légendaire que portent les Japonais au Sakura sont au cœur de cette tisane originale. Symbole de l’éphémère beauté, la liqueur déploie dans un extrême raffinement des parfums légers et aériens de fleurs de cerisier et des arômes fruités qui persistent en bouche avec une délicieuse longueur.</v>
          </cell>
          <cell r="Y612"/>
          <cell r="Z612" t="str">
            <v>Ingrédient : feuilles de cerisier (Prunus Cerasus). Garanti sans résidus de pesticides.</v>
          </cell>
          <cell r="AA612" t="str">
            <v>/</v>
          </cell>
          <cell r="AB612" t="str">
            <v>/</v>
          </cell>
          <cell r="AC612">
            <v>20</v>
          </cell>
          <cell r="AD612" t="str">
            <v>1</v>
          </cell>
          <cell r="AE612">
            <v>100</v>
          </cell>
          <cell r="AF612">
            <v>2</v>
          </cell>
          <cell r="AG612">
            <v>10</v>
          </cell>
          <cell r="AH612">
            <v>3582815707468</v>
          </cell>
          <cell r="AI612" t="str">
            <v>Plusieurs infusions</v>
          </cell>
          <cell r="AJ612" t="str">
            <v>ETTUTJ0746</v>
          </cell>
          <cell r="AK612" t="str">
            <v>ETTUTJ0746V5</v>
          </cell>
          <cell r="AL612" t="str">
            <v>/</v>
          </cell>
          <cell r="AM612" t="str">
            <v xml:space="preserve">Japon - Izu </v>
          </cell>
        </row>
        <row r="613">
          <cell r="A613" t="str">
            <v>TN2057</v>
          </cell>
          <cell r="B613"/>
          <cell r="C613"/>
          <cell r="D613"/>
          <cell r="E613"/>
          <cell r="F613"/>
          <cell r="G613"/>
          <cell r="H613" t="str">
            <v>LES PRIMEURS</v>
          </cell>
          <cell r="I613"/>
          <cell r="J613" t="str">
            <v>Samabeong</v>
          </cell>
          <cell r="K613" t="str">
            <v>FTGFOP1 FF 
Top Quality 
cultivar Samabeong China</v>
          </cell>
          <cell r="L613" t="str">
            <v>Thé noir primeur</v>
          </cell>
          <cell r="M613" t="str">
            <v>Inde - Darjeeling - Samabeong garden</v>
          </cell>
          <cell r="N613" t="str">
            <v>AB</v>
          </cell>
          <cell r="O613" t="str">
            <v>WFTO</v>
          </cell>
          <cell r="P613" t="str">
            <v>/</v>
          </cell>
          <cell r="Q613" t="str">
            <v>/</v>
          </cell>
          <cell r="R613" t="str">
            <v>IGP</v>
          </cell>
          <cell r="S613" t="str">
            <v>/</v>
          </cell>
          <cell r="T613" t="str">
            <v>Agriculture Inde</v>
          </cell>
          <cell r="U613"/>
          <cell r="V613" t="str">
            <v>Superbe récolte primeur d’un jardin d’altitude mythique. Liqueur généreuse et souple. Notes : sucrées et fruitées (passion, ananas, pêche, papaye).</v>
          </cell>
          <cell r="W613" t="str">
            <v>S26</v>
          </cell>
          <cell r="X613"/>
          <cell r="Y613"/>
          <cell r="Z613" t="str">
            <v xml:space="preserve">Ingrédient : thé noir*. *Issu de l'agriculture biologique. </v>
          </cell>
          <cell r="AA613" t="str">
            <v>/</v>
          </cell>
          <cell r="AB613" t="str">
            <v>Membre certifié World Fair Trade Organization, Les Jardins de Gaïa s’engagent pour un commerce plus juste et répondent aux exigences du commerce équitable. Pour en savoir plus : www.wfto.com.</v>
          </cell>
          <cell r="AC613">
            <v>1</v>
          </cell>
          <cell r="AD613" t="str">
            <v>3</v>
          </cell>
          <cell r="AE613">
            <v>85</v>
          </cell>
          <cell r="AF613">
            <v>2</v>
          </cell>
          <cell r="AG613">
            <v>500</v>
          </cell>
          <cell r="AH613">
            <v>3582810220573</v>
          </cell>
          <cell r="AI613" t="str">
            <v>/</v>
          </cell>
          <cell r="AJ613" t="str">
            <v>INTERNE</v>
          </cell>
          <cell r="AK613" t="str">
            <v>INTERNE</v>
          </cell>
          <cell r="AL613" t="str">
            <v>/</v>
          </cell>
          <cell r="AM613" t="str">
            <v>Samabeong Tea Estate</v>
          </cell>
        </row>
        <row r="614">
          <cell r="A614" t="str">
            <v>TN2052</v>
          </cell>
          <cell r="B614"/>
          <cell r="C614"/>
          <cell r="D614"/>
          <cell r="E614"/>
          <cell r="F614"/>
          <cell r="G614"/>
          <cell r="H614" t="str">
            <v>LES PRIMEURS</v>
          </cell>
          <cell r="I614"/>
          <cell r="J614" t="str">
            <v>Samabeong</v>
          </cell>
          <cell r="K614" t="str">
            <v>FTGFOP1 FF 
Top Quality 
cultivar Samabeong China</v>
          </cell>
          <cell r="L614" t="str">
            <v>Thé noir primeur</v>
          </cell>
          <cell r="M614" t="str">
            <v>Inde - Darjeeling - Samabeong garden</v>
          </cell>
          <cell r="N614" t="str">
            <v>AB</v>
          </cell>
          <cell r="O614" t="str">
            <v>WFTO</v>
          </cell>
          <cell r="P614" t="str">
            <v>/</v>
          </cell>
          <cell r="Q614" t="str">
            <v>/</v>
          </cell>
          <cell r="R614" t="str">
            <v>IGP</v>
          </cell>
          <cell r="S614" t="str">
            <v>/</v>
          </cell>
          <cell r="T614" t="str">
            <v>Agriculture Inde</v>
          </cell>
          <cell r="U614"/>
          <cell r="V614" t="str">
            <v>Superbe récolte primeur d’un jardin d’altitude mythique. Liqueur généreuse et souple. Notes : sucrées et fruitées (passion, ananas, pêche, papaye).</v>
          </cell>
          <cell r="W614" t="str">
            <v>S26</v>
          </cell>
          <cell r="X614"/>
          <cell r="Y614"/>
          <cell r="Z614" t="str">
            <v xml:space="preserve">Ingrédient : thé noir*. *Issu de l'agriculture biologique. </v>
          </cell>
          <cell r="AA614" t="str">
            <v>/</v>
          </cell>
          <cell r="AB614" t="str">
            <v>Membre certifié World Fair Trade Organization, Les Jardins de Gaïa s’engagent pour un commerce plus juste et répondent aux exigences du commerce équitable. Pour en savoir plus : www.wfto.com.</v>
          </cell>
          <cell r="AC614">
            <v>80</v>
          </cell>
          <cell r="AD614" t="str">
            <v>3</v>
          </cell>
          <cell r="AE614">
            <v>85</v>
          </cell>
          <cell r="AF614">
            <v>2</v>
          </cell>
          <cell r="AG614">
            <v>40</v>
          </cell>
          <cell r="AH614">
            <v>3582810220528</v>
          </cell>
          <cell r="AI614" t="str">
            <v>/</v>
          </cell>
          <cell r="AJ614">
            <v>3582810220528</v>
          </cell>
          <cell r="AK614" t="str">
            <v>3582810220528V5</v>
          </cell>
          <cell r="AL614" t="str">
            <v>ETCNN2052FF22V5</v>
          </cell>
          <cell r="AM614" t="str">
            <v>Samabeong Tea Estate</v>
          </cell>
        </row>
        <row r="615">
          <cell r="A615" t="str">
            <v>TH2105</v>
          </cell>
          <cell r="B615"/>
          <cell r="C615"/>
          <cell r="D615"/>
          <cell r="E615"/>
          <cell r="F615"/>
          <cell r="G615"/>
          <cell r="H615" t="str">
            <v>LES BIENFAITRICES</v>
          </cell>
          <cell r="I615" t="str">
            <v>LES INFUSIONS DE PLANTES</v>
          </cell>
          <cell r="J615" t="str">
            <v>Sauge</v>
          </cell>
          <cell r="K615" t="str">
            <v>Digestive &amp; Confort féminin</v>
          </cell>
          <cell r="L615" t="str">
            <v>Infusion de plante</v>
          </cell>
          <cell r="M615" t="str">
            <v>Portugal</v>
          </cell>
          <cell r="N615" t="str">
            <v>AB</v>
          </cell>
          <cell r="O615" t="str">
            <v>/</v>
          </cell>
          <cell r="P615" t="str">
            <v>/</v>
          </cell>
          <cell r="Q615" t="str">
            <v>/</v>
          </cell>
          <cell r="R615" t="str">
            <v>/</v>
          </cell>
          <cell r="S615" t="str">
            <v>/</v>
          </cell>
          <cell r="T615" t="str">
            <v>Agriculture UE</v>
          </cell>
          <cell r="U615"/>
          <cell r="V615" t="str">
            <v>Utilisée en infusion, la sauge est un complément naturel pour se prémunir des affections respiratoires hivernales et de l'inflammation des muqueuses de la bouche. Son goût subtile mais puissant et son parfum un peu camphré relevé d'une petite note amère font d'elle également une plante aromatique surprenante pour agrémenter vos plats de façon originale. À découvrir !</v>
          </cell>
          <cell r="W615" t="str">
            <v>S12</v>
          </cell>
          <cell r="X615" t="str">
            <v xml:space="preserve">La tisane de sauge est un complément naturel pour se prémunir des affections respiratoires hivernales et de l'inflammation des muqueuses de la bouche. Ses saveurs camphrées relevées d'une petite note amère sont appréciées aussi bien en cuisine qu’au cœur d’une infusion. </v>
          </cell>
          <cell r="Y615"/>
          <cell r="Z615" t="str">
            <v>Ingrédient : sauge* (Salvia officinalis). *Issu de l’agriculture biologique.</v>
          </cell>
          <cell r="AA615"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615" t="str">
            <v>/</v>
          </cell>
          <cell r="AC615">
            <v>400</v>
          </cell>
          <cell r="AD615" t="str">
            <v>5-10</v>
          </cell>
          <cell r="AE615">
            <v>95</v>
          </cell>
          <cell r="AF615">
            <v>2</v>
          </cell>
          <cell r="AG615">
            <v>200</v>
          </cell>
          <cell r="AH615">
            <v>3582811021056</v>
          </cell>
          <cell r="AI615" t="str">
            <v>/</v>
          </cell>
          <cell r="AJ615" t="str">
            <v>INTERNE</v>
          </cell>
          <cell r="AK615" t="str">
            <v>INTERNE</v>
          </cell>
          <cell r="AL615" t="str">
            <v>/</v>
          </cell>
          <cell r="AM615" t="str">
            <v>Carlos</v>
          </cell>
        </row>
        <row r="616">
          <cell r="A616" t="str">
            <v>TH210</v>
          </cell>
          <cell r="B616"/>
          <cell r="C616" t="str">
            <v>X</v>
          </cell>
          <cell r="D616" t="str">
            <v>X</v>
          </cell>
          <cell r="E616"/>
          <cell r="F616" t="str">
            <v>GRAI</v>
          </cell>
          <cell r="G616">
            <v>45408</v>
          </cell>
          <cell r="H616" t="str">
            <v>LES BIENFAITRICES</v>
          </cell>
          <cell r="I616" t="str">
            <v>LES INFUSIONS DE PLANTES</v>
          </cell>
          <cell r="J616" t="str">
            <v>Sauge</v>
          </cell>
          <cell r="K616" t="str">
            <v>Digestive &amp; Confort féminin</v>
          </cell>
          <cell r="L616" t="str">
            <v>Infusion de plante</v>
          </cell>
          <cell r="M616" t="str">
            <v>Portugal</v>
          </cell>
          <cell r="N616" t="str">
            <v>AB</v>
          </cell>
          <cell r="O616" t="str">
            <v>/</v>
          </cell>
          <cell r="P616" t="str">
            <v>/</v>
          </cell>
          <cell r="Q616" t="str">
            <v>/</v>
          </cell>
          <cell r="R616" t="str">
            <v>/</v>
          </cell>
          <cell r="S616" t="str">
            <v>/</v>
          </cell>
          <cell r="T616" t="str">
            <v>Agriculture UE</v>
          </cell>
          <cell r="U616"/>
          <cell r="V616" t="str">
            <v>Utilisée en infusion, la sauge est un complément naturel pour se prémunir des affections respiratoires hivernales et de l'inflammation des muqueuses de la bouche. Son goût subtile mais puissant et son parfum un peu camphré relevé d'une petite note amère font d'elle également une plante aromatique surprenante pour agrémenter vos plats de façon originale. À découvrir !</v>
          </cell>
          <cell r="W616" t="str">
            <v>S12</v>
          </cell>
          <cell r="X616" t="str">
            <v xml:space="preserve">La tisane de sauge est un complément naturel pour se prémunir des affections respiratoires hivernales et de l'inflammation des muqueuses de la bouche. Ses saveurs camphrées relevées d'une petite note amère sont appréciées aussi bien en cuisine qu’au cœur d’une infusion. </v>
          </cell>
          <cell r="Y616"/>
          <cell r="Z616" t="str">
            <v>Ingrédient : sauge* (Salvia officinalis). *Issu de l’agriculture biologique.</v>
          </cell>
          <cell r="AA616"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616" t="str">
            <v>/</v>
          </cell>
          <cell r="AC616">
            <v>50</v>
          </cell>
          <cell r="AD616" t="str">
            <v>5-10</v>
          </cell>
          <cell r="AE616">
            <v>95</v>
          </cell>
          <cell r="AF616">
            <v>2</v>
          </cell>
          <cell r="AG616">
            <v>25</v>
          </cell>
          <cell r="AH616">
            <v>3582811002109</v>
          </cell>
          <cell r="AI616" t="str">
            <v>/</v>
          </cell>
          <cell r="AJ616" t="str">
            <v>ETHN2100V5</v>
          </cell>
          <cell r="AK616" t="str">
            <v>ETHN2100V5</v>
          </cell>
          <cell r="AL616" t="str">
            <v>/</v>
          </cell>
          <cell r="AM616" t="str">
            <v>Carlos</v>
          </cell>
        </row>
        <row r="617">
          <cell r="A617" t="str">
            <v>TN5227</v>
          </cell>
          <cell r="B617"/>
          <cell r="C617"/>
          <cell r="D617"/>
          <cell r="E617"/>
          <cell r="F617"/>
          <cell r="G617"/>
          <cell r="H617" t="str">
            <v>LES GRAND CRUS</v>
          </cell>
          <cell r="I617"/>
          <cell r="J617" t="str">
            <v>Seeyok Royal Reserve</v>
          </cell>
          <cell r="K617" t="str">
            <v>SFTGFOP1 SF</v>
          </cell>
          <cell r="L617" t="str">
            <v>Thé noir d'origine</v>
          </cell>
          <cell r="M617" t="str">
            <v>Inde - Darjeeling</v>
          </cell>
          <cell r="N617" t="str">
            <v>AB</v>
          </cell>
          <cell r="O617" t="str">
            <v>WFTO</v>
          </cell>
          <cell r="P617" t="str">
            <v>/</v>
          </cell>
          <cell r="Q617" t="str">
            <v>/</v>
          </cell>
          <cell r="R617" t="str">
            <v>IGP</v>
          </cell>
          <cell r="S617" t="str">
            <v>/</v>
          </cell>
          <cell r="T617" t="str">
            <v>Agriculture Inde</v>
          </cell>
          <cell r="U617"/>
          <cell r="V617" t="str">
            <v xml:space="preserve">Récolté dans la partie la plus haute du jardin de Seeyok, ce thé noir particulièrement aromatique et complexe exprime les meilleurs aspects et tout le charme des thés du Darjeeling. Sa liqueur d’une belle texture délivre des saveurs fruitées (fruits jaunes) tout en gourmandise, suivies d’une finale évoquant les fleurs sauvages particulièrement longue en bouche. </v>
          </cell>
          <cell r="W617" t="str">
            <v>S26</v>
          </cell>
          <cell r="X617" t="str">
            <v>Récolté dans la partie la plus haute du jardin de Seeyok, ce thé noir aromatique et complexe contient tout le charme des thés du Darjeeling. Sa liqueur d’une belle texture délivre des saveurs de fruits jaunes tout en gourmandise, suivies d’une longue finale évoquant les fleurs sauvages. Somptueux !</v>
          </cell>
          <cell r="Y617"/>
          <cell r="Z617" t="str">
            <v xml:space="preserve">Ingrédient :  thé noir*. *Issu de l'agriculture biologique. </v>
          </cell>
          <cell r="AA617" t="str">
            <v>/</v>
          </cell>
          <cell r="AB617" t="str">
            <v>Membre certifié World Fair Trade Organization, Les Jardins de Gaïa s’engagent pour un commerce plus juste et répondent aux exigences du commerce équitable. Pour en savoir plus : www.wfto.com.</v>
          </cell>
          <cell r="AC617">
            <v>1</v>
          </cell>
          <cell r="AD617" t="str">
            <v>3-4</v>
          </cell>
          <cell r="AE617">
            <v>95</v>
          </cell>
          <cell r="AF617">
            <v>2</v>
          </cell>
          <cell r="AG617">
            <v>500</v>
          </cell>
          <cell r="AH617">
            <v>3582810252277</v>
          </cell>
          <cell r="AI617" t="str">
            <v>/</v>
          </cell>
          <cell r="AJ617" t="str">
            <v>INTERNE</v>
          </cell>
          <cell r="AK617" t="str">
            <v>INTERNE</v>
          </cell>
          <cell r="AL617" t="str">
            <v>/</v>
          </cell>
          <cell r="AM617" t="str">
            <v>Seeyok Tea Estate</v>
          </cell>
        </row>
        <row r="618">
          <cell r="A618" t="str">
            <v>TN5226</v>
          </cell>
          <cell r="B618"/>
          <cell r="C618"/>
          <cell r="D618"/>
          <cell r="E618"/>
          <cell r="F618"/>
          <cell r="G618"/>
          <cell r="H618" t="str">
            <v>LES GRAND CRUS</v>
          </cell>
          <cell r="I618"/>
          <cell r="J618" t="str">
            <v>Seeyok Royal Reserve</v>
          </cell>
          <cell r="K618" t="str">
            <v>SFTGFOP1 SF</v>
          </cell>
          <cell r="L618" t="str">
            <v>Thé noir d'origine</v>
          </cell>
          <cell r="M618" t="str">
            <v>Inde - Darjeeling</v>
          </cell>
          <cell r="N618" t="str">
            <v>AB</v>
          </cell>
          <cell r="O618" t="str">
            <v>WFTO</v>
          </cell>
          <cell r="P618" t="str">
            <v>/</v>
          </cell>
          <cell r="Q618" t="str">
            <v>/</v>
          </cell>
          <cell r="R618" t="str">
            <v>IGP</v>
          </cell>
          <cell r="S618" t="str">
            <v>/</v>
          </cell>
          <cell r="T618" t="str">
            <v>Agriculture Inde</v>
          </cell>
          <cell r="U618"/>
          <cell r="V618" t="str">
            <v xml:space="preserve">Récolté dans la partie la plus haute du jardin de Seeyok, ce thé noir particulièrement aromatique et complexe exprime les meilleurs aspects et tout le charme des thés du Darjeeling. Sa liqueur d’une belle texture délivre des saveurs fruitées (fruits jaunes) tout en gourmandise, suivies d’une finale évoquant les fleurs sauvages particulièrement longue en bouche. </v>
          </cell>
          <cell r="W618" t="str">
            <v>S26</v>
          </cell>
          <cell r="X618" t="str">
            <v>Récolté dans la partie la plus haute du jardin de Seeyok, ce thé noir aromatique et complexe contient tout le charme des thés du Darjeeling. Sa liqueur d’une belle texture délivre des saveurs de fruits jaunes tout en gourmandise, suivies d’une longue finale évoquant les fleurs sauvages. Somptueux !</v>
          </cell>
          <cell r="Y618"/>
          <cell r="Z618" t="str">
            <v xml:space="preserve">Ingrédient :  thé noir*. *Issu de l'agriculture biologique. </v>
          </cell>
          <cell r="AA618" t="str">
            <v>/</v>
          </cell>
          <cell r="AB618" t="str">
            <v>Membre certifié World Fair Trade Organization, Les Jardins de Gaïa s’engagent pour un commerce plus juste et répondent aux exigences du commerce équitable. Pour en savoir plus : www.wfto.com.</v>
          </cell>
          <cell r="AC618">
            <v>70</v>
          </cell>
          <cell r="AD618" t="str">
            <v>3-4</v>
          </cell>
          <cell r="AE618">
            <v>95</v>
          </cell>
          <cell r="AF618">
            <v>2</v>
          </cell>
          <cell r="AG618">
            <v>35</v>
          </cell>
          <cell r="AH618">
            <v>3582810252260</v>
          </cell>
          <cell r="AI618" t="str">
            <v>/</v>
          </cell>
          <cell r="AJ618" t="str">
            <v>ETNN522V5</v>
          </cell>
          <cell r="AK618" t="str">
            <v>ETNN522V5</v>
          </cell>
          <cell r="AL618" t="str">
            <v>ETCNN5226V5</v>
          </cell>
          <cell r="AM618" t="str">
            <v>Seeyok Tea Estate</v>
          </cell>
        </row>
        <row r="619">
          <cell r="A619" t="str">
            <v>TN3307</v>
          </cell>
          <cell r="B619"/>
          <cell r="C619"/>
          <cell r="D619"/>
          <cell r="E619"/>
          <cell r="F619"/>
          <cell r="G619"/>
          <cell r="H619" t="str">
            <v>LES GRAND CRUS</v>
          </cell>
          <cell r="I619"/>
          <cell r="J619" t="str">
            <v>Seeyok Summer Blossom</v>
          </cell>
          <cell r="K619" t="str">
            <v>FTGFOP1 SF</v>
          </cell>
          <cell r="L619" t="str">
            <v>Thé noir d'origine</v>
          </cell>
          <cell r="M619" t="str">
            <v>Inde - Darjeeling</v>
          </cell>
          <cell r="N619" t="str">
            <v>AB</v>
          </cell>
          <cell r="O619" t="str">
            <v>WFTO</v>
          </cell>
          <cell r="P619" t="str">
            <v>/</v>
          </cell>
          <cell r="Q619" t="str">
            <v>/</v>
          </cell>
          <cell r="R619" t="str">
            <v>IGP</v>
          </cell>
          <cell r="S619" t="str">
            <v>/</v>
          </cell>
          <cell r="T619" t="str">
            <v>Agriculture Inde</v>
          </cell>
          <cell r="U619"/>
          <cell r="V619" t="str">
            <v>Avec ses fragrances muscatées tant recherchées par les amateurs de Darjeeling d'été, ce thé noir du très renommé jardin de Seeyok fait immédiatement pénétrer au cœur de la saison estivale indienne. En bouche, ce premier contact se prolonge agréablement avec des saveurs très aromatiques de muscat et de violette. Un thé aux accents de confiserie qui réveille immédiatement tout gourmand qui sommeille.</v>
          </cell>
          <cell r="W619" t="str">
            <v>S26</v>
          </cell>
          <cell r="X619" t="str">
            <v>Cette deuxième récolte de thé noir du très renommé jardin de Seeyok nous fait immédiatement pénétrer au cœur de la saison estivale indienne. Ses saveurs de muscat et de violette, très recherchées par les amateurs, sont un enchantement pour le palais. Une vraie gourmandise !</v>
          </cell>
          <cell r="Y619"/>
          <cell r="Z619" t="str">
            <v xml:space="preserve">Ingrédient :  thé noir*. *Issu de l'agriculture biologique. </v>
          </cell>
          <cell r="AA619" t="str">
            <v>/</v>
          </cell>
          <cell r="AB619" t="str">
            <v>Membre certifié World Fair Trade Organization, Les Jardins de Gaïa s’engagent pour un commerce plus juste et répondent aux exigences du commerce équitable. Pour en savoir plus : www.wfto.com.</v>
          </cell>
          <cell r="AC619">
            <v>1</v>
          </cell>
          <cell r="AD619" t="str">
            <v>3</v>
          </cell>
          <cell r="AE619">
            <v>95</v>
          </cell>
          <cell r="AF619">
            <v>2</v>
          </cell>
          <cell r="AG619">
            <v>500</v>
          </cell>
          <cell r="AH619">
            <v>3582810233078</v>
          </cell>
          <cell r="AI619" t="str">
            <v>/</v>
          </cell>
          <cell r="AJ619" t="str">
            <v>INTERNE</v>
          </cell>
          <cell r="AK619" t="str">
            <v>INTERNE</v>
          </cell>
          <cell r="AL619" t="str">
            <v>/</v>
          </cell>
          <cell r="AM619" t="str">
            <v>Samabeong Tea Estate</v>
          </cell>
        </row>
        <row r="620">
          <cell r="A620" t="str">
            <v>TN3302</v>
          </cell>
          <cell r="B620"/>
          <cell r="C620"/>
          <cell r="D620"/>
          <cell r="E620"/>
          <cell r="F620"/>
          <cell r="G620"/>
          <cell r="H620" t="str">
            <v>LES GRAND CRUS</v>
          </cell>
          <cell r="I620"/>
          <cell r="J620" t="str">
            <v>Seeyok Summer Blossom</v>
          </cell>
          <cell r="K620" t="str">
            <v>FTGFOP1 SF</v>
          </cell>
          <cell r="L620" t="str">
            <v>Thé noir d'origine</v>
          </cell>
          <cell r="M620" t="str">
            <v>Inde - Darjeeling</v>
          </cell>
          <cell r="N620" t="str">
            <v>AB</v>
          </cell>
          <cell r="O620" t="str">
            <v>WFTO</v>
          </cell>
          <cell r="P620" t="str">
            <v>/</v>
          </cell>
          <cell r="Q620" t="str">
            <v>/</v>
          </cell>
          <cell r="R620" t="str">
            <v>IGP</v>
          </cell>
          <cell r="S620" t="str">
            <v>/</v>
          </cell>
          <cell r="T620" t="str">
            <v>Agriculture Inde</v>
          </cell>
          <cell r="U620"/>
          <cell r="V620" t="str">
            <v>Avec ses fragrances muscatées tant recherchées par les amateurs de Darjeeling d'été, ce thé noir du très renommé jardin de Seeyok fait immédiatement pénétrer au cœur de la saison estivale indienne. En bouche, ce premier contact se prolonge agréablement avec des saveurs très aromatiques de muscat et de violette. Un thé aux accents de confiserie qui réveille immédiatement tout gourmand qui sommeille.</v>
          </cell>
          <cell r="W620" t="str">
            <v>S26</v>
          </cell>
          <cell r="X620" t="str">
            <v>Cette deuxième récolte de thé noir du très renommé jardin de Seeyok nous fait immédiatement pénétrer au cœur de la saison estivale indienne. Ses saveurs de muscat et de violette, très recherchées par les amateurs, sont un enchantement pour le palais. Une vraie gourmandise !</v>
          </cell>
          <cell r="Y620"/>
          <cell r="Z620" t="str">
            <v xml:space="preserve">Ingrédient :  thé noir*. *Issu de l'agriculture biologique. </v>
          </cell>
          <cell r="AA620" t="str">
            <v>/</v>
          </cell>
          <cell r="AB620" t="str">
            <v>Membre certifié World Fair Trade Organization, Les Jardins de Gaïa s’engagent pour un commerce plus juste et répondent aux exigences du commerce équitable. Pour en savoir plus : www.wfto.com.</v>
          </cell>
          <cell r="AC620">
            <v>80</v>
          </cell>
          <cell r="AD620" t="str">
            <v>3</v>
          </cell>
          <cell r="AE620">
            <v>95</v>
          </cell>
          <cell r="AF620">
            <v>2</v>
          </cell>
          <cell r="AG620">
            <v>40</v>
          </cell>
          <cell r="AH620">
            <v>3582810233023</v>
          </cell>
          <cell r="AI620" t="str">
            <v>/</v>
          </cell>
          <cell r="AJ620" t="str">
            <v>ETNN330V5</v>
          </cell>
          <cell r="AK620" t="str">
            <v>ETNN330V5</v>
          </cell>
          <cell r="AL620" t="str">
            <v>ETCNN3302V5</v>
          </cell>
          <cell r="AM620" t="str">
            <v>Samabeong Tea Estate</v>
          </cell>
        </row>
        <row r="621">
          <cell r="A621" t="str">
            <v>TN3111</v>
          </cell>
          <cell r="B621"/>
          <cell r="C621"/>
          <cell r="D621"/>
          <cell r="E621"/>
          <cell r="F621"/>
          <cell r="G621"/>
          <cell r="H621" t="str">
            <v>LES GRANDS CLASSIQUES</v>
          </cell>
          <cell r="I621"/>
          <cell r="J621" t="str">
            <v>Selimbong Autumnal</v>
          </cell>
          <cell r="K621" t="str">
            <v>FTGFOP1 TF</v>
          </cell>
          <cell r="L621" t="str">
            <v>Thé noir d'origine</v>
          </cell>
          <cell r="M621" t="str">
            <v>Inde - Darjeeling</v>
          </cell>
          <cell r="N621" t="str">
            <v>AB</v>
          </cell>
          <cell r="O621" t="str">
            <v>WFTO</v>
          </cell>
          <cell r="P621" t="str">
            <v>D</v>
          </cell>
          <cell r="Q621" t="str">
            <v>/</v>
          </cell>
          <cell r="R621" t="str">
            <v>IGP</v>
          </cell>
          <cell r="S621" t="str">
            <v>/</v>
          </cell>
          <cell r="T621" t="str">
            <v>Agriculture Inde</v>
          </cell>
          <cell r="U621"/>
          <cell r="V621" t="str">
            <v>Récolte d’automne donnant une tasse succulente et ronde en bouche, soulignée d’une note distinguée de muscat. Infusion dorée et douce, idéale à chaque instant.</v>
          </cell>
          <cell r="W621" t="str">
            <v>S17</v>
          </cell>
          <cell r="X621" t="str">
            <v>Ce thé noir issu d’une récolte automnale dans le jardin de Selimbong, pionnier en agriculture biodynamique dans le Darjeeling, offre une infusion souple et d’une grande douceur. Elle se distingue par son caractère mature, son équilibre et son fruité caractéristique aux jolies notes muscatées.</v>
          </cell>
          <cell r="Y621"/>
          <cell r="Z621" t="str">
            <v>Ingrédient : thé noir**. **Issu de l'agriculture biologique et biodynamique. demeter est la marque des produits issus de l'agriculture biodynamique certifiée.</v>
          </cell>
          <cell r="AA621" t="str">
            <v>/</v>
          </cell>
          <cell r="AB621" t="str">
            <v>Membre certifié World Fair Trade Organization, Les Jardins de Gaïa s’engagent pour un commerce plus juste et répondent aux exigences du commerce équitable. Pour en savoir plus : www.wfto.com.</v>
          </cell>
          <cell r="AC621">
            <v>1.5</v>
          </cell>
          <cell r="AD621" t="str">
            <v>3</v>
          </cell>
          <cell r="AE621">
            <v>90</v>
          </cell>
          <cell r="AF621">
            <v>2</v>
          </cell>
          <cell r="AG621">
            <v>750</v>
          </cell>
          <cell r="AH621">
            <v>3582810231111</v>
          </cell>
          <cell r="AI621" t="str">
            <v>/</v>
          </cell>
          <cell r="AJ621" t="str">
            <v>INTERNE</v>
          </cell>
          <cell r="AK621" t="str">
            <v>INTERNE</v>
          </cell>
          <cell r="AL621" t="str">
            <v>/</v>
          </cell>
          <cell r="AM621" t="str">
            <v>Selimbong Tea Estate</v>
          </cell>
        </row>
        <row r="622">
          <cell r="A622" t="str">
            <v>TN3112</v>
          </cell>
          <cell r="B622"/>
          <cell r="C622" t="str">
            <v>X</v>
          </cell>
          <cell r="D622" t="str">
            <v>X</v>
          </cell>
          <cell r="E622" t="str">
            <v>X</v>
          </cell>
          <cell r="F622" t="str">
            <v>BRODART</v>
          </cell>
          <cell r="G622"/>
          <cell r="H622" t="str">
            <v>LES GRANDS CLASSIQUES</v>
          </cell>
          <cell r="I622"/>
          <cell r="J622" t="str">
            <v>Selimbong Autumnal</v>
          </cell>
          <cell r="K622" t="str">
            <v>FTGFOP1 TF</v>
          </cell>
          <cell r="L622" t="str">
            <v>Thé noir d'origine</v>
          </cell>
          <cell r="M622" t="str">
            <v>Inde - Darjeeling</v>
          </cell>
          <cell r="N622" t="str">
            <v>AB</v>
          </cell>
          <cell r="O622" t="str">
            <v>WFTO</v>
          </cell>
          <cell r="P622" t="str">
            <v>D</v>
          </cell>
          <cell r="Q622" t="str">
            <v>/</v>
          </cell>
          <cell r="R622" t="str">
            <v>IGP</v>
          </cell>
          <cell r="S622" t="str">
            <v>/</v>
          </cell>
          <cell r="T622" t="str">
            <v>Agriculture Inde</v>
          </cell>
          <cell r="U622"/>
          <cell r="V622" t="str">
            <v>Récolte d’automne donnant une tasse succulente et ronde en bouche, soulignée d’une note distinguée de muscat. Infusion dorée et douce, idéale à chaque instant.</v>
          </cell>
          <cell r="W622" t="str">
            <v>S17</v>
          </cell>
          <cell r="X622" t="str">
            <v>Ce thé noir issu d’une récolte automnale dans le jardin de Selimbong, pionnier en agriculture biodynamique dans le Darjeeling, offre une infusion souple et d’une grande douceur. Elle se distingue par son caractère mature, son équilibre et son fruité caractéristique aux jolies notes muscatées.</v>
          </cell>
          <cell r="Y622"/>
          <cell r="Z622" t="str">
            <v>Ingrédient : thé noir**. **Issu de l'agriculture biologique et biodynamique. demeter est la marque des produits issus de l'agriculture biodynamique certifiée.</v>
          </cell>
          <cell r="AA622" t="str">
            <v>/</v>
          </cell>
          <cell r="AB622" t="str">
            <v>Membre certifié World Fair Trade Organization, Les Jardins de Gaïa s’engagent pour un commerce plus juste et répondent aux exigences du commerce équitable. Pour en savoir plus : www.wfto.com.</v>
          </cell>
          <cell r="AC622">
            <v>100</v>
          </cell>
          <cell r="AD622" t="str">
            <v>3</v>
          </cell>
          <cell r="AE622">
            <v>90</v>
          </cell>
          <cell r="AF622">
            <v>2</v>
          </cell>
          <cell r="AG622">
            <v>50</v>
          </cell>
          <cell r="AH622">
            <v>3582810231128</v>
          </cell>
          <cell r="AI622" t="str">
            <v>/</v>
          </cell>
          <cell r="AJ622" t="str">
            <v>ETNN311</v>
          </cell>
          <cell r="AK622" t="str">
            <v>ETNN311V5</v>
          </cell>
          <cell r="AL622" t="str">
            <v>ETCNN3112V5</v>
          </cell>
          <cell r="AM622" t="str">
            <v>Selimbong Tea Estate</v>
          </cell>
        </row>
        <row r="623">
          <cell r="A623" t="str">
            <v>TO3501</v>
          </cell>
          <cell r="B623"/>
          <cell r="C623"/>
          <cell r="D623"/>
          <cell r="E623"/>
          <cell r="F623"/>
          <cell r="G623"/>
          <cell r="H623" t="str">
            <v>LES GRANDS CLASSIQUES</v>
          </cell>
          <cell r="I623"/>
          <cell r="J623" t="str">
            <v>Selimbong été</v>
          </cell>
          <cell r="K623" t="str">
            <v xml:space="preserve">Second Flush </v>
          </cell>
          <cell r="L623" t="str">
            <v>Thé wulong d'origine</v>
          </cell>
          <cell r="M623" t="str">
            <v>Inde - Darjeeling</v>
          </cell>
          <cell r="N623" t="str">
            <v>AB</v>
          </cell>
          <cell r="O623" t="str">
            <v>WFTO</v>
          </cell>
          <cell r="P623" t="str">
            <v>D</v>
          </cell>
          <cell r="Q623" t="str">
            <v>/</v>
          </cell>
          <cell r="R623" t="str">
            <v>IGP</v>
          </cell>
          <cell r="S623" t="str">
            <v>/</v>
          </cell>
          <cell r="T623" t="str">
            <v>Agriculture Inde</v>
          </cell>
          <cell r="U623"/>
          <cell r="V623" t="str">
            <v>Ce délicieux thé légèrement fermenté développe des parfums gourmands de cassonade et de fruits rouges. Son infusion orangée libère une fraîcheur typique des thés du Darjeeling, soulignée d’une note subtile de châtaigne typique des wulong de Formose. Une tasse succulente qui laisse des arômes sucrés et veloutés d’une belle longueur en bouche.</v>
          </cell>
          <cell r="W623" t="str">
            <v>S17</v>
          </cell>
          <cell r="X623" t="str">
            <v>Elaboré à partir d’une récolte estivale dans le jardin de Selimbong réputé pour le caractère très fruité de ses productions, ce thé wulong original est d’une grande gourmandise. Ses saveurs de chataîgne et de fruits rouges sont mises en valeur par la fraîcheur typique des thés du Darjeeling.</v>
          </cell>
          <cell r="Y623"/>
          <cell r="Z623" t="str">
            <v xml:space="preserve">Ingrédient : thé wulong**. **Issu de l'agriculture biologique et biodynamique. demeter est la marque des produits issus de l'agriculture biodynamique certifiée. </v>
          </cell>
          <cell r="AA623" t="str">
            <v>/</v>
          </cell>
          <cell r="AB623" t="str">
            <v>Membre certifié World Fair Trade Organization, Les Jardins de Gaïa s’engagent pour un commerce plus juste et répondent aux exigences du commerce équitable. Pour en savoir plus : www.wfto.com.</v>
          </cell>
          <cell r="AC623">
            <v>1.5</v>
          </cell>
          <cell r="AD623" t="str">
            <v>3-4</v>
          </cell>
          <cell r="AE623">
            <v>85</v>
          </cell>
          <cell r="AF623">
            <v>2</v>
          </cell>
          <cell r="AG623">
            <v>750</v>
          </cell>
          <cell r="AH623">
            <v>3582810735015</v>
          </cell>
          <cell r="AI623" t="str">
            <v>/</v>
          </cell>
          <cell r="AJ623" t="str">
            <v>INTERNE</v>
          </cell>
          <cell r="AK623" t="str">
            <v>INTERNE</v>
          </cell>
          <cell r="AL623" t="str">
            <v>/</v>
          </cell>
          <cell r="AM623" t="str">
            <v>Selimbong Tea Estate</v>
          </cell>
        </row>
        <row r="624">
          <cell r="A624" t="str">
            <v>TO3502</v>
          </cell>
          <cell r="B624"/>
          <cell r="C624" t="str">
            <v>X</v>
          </cell>
          <cell r="D624" t="str">
            <v>X</v>
          </cell>
          <cell r="E624" t="str">
            <v>X</v>
          </cell>
          <cell r="F624" t="str">
            <v>BRODART</v>
          </cell>
          <cell r="G624"/>
          <cell r="H624" t="str">
            <v>LES GRANDS CLASSIQUES</v>
          </cell>
          <cell r="I624"/>
          <cell r="J624" t="str">
            <v>Selimbong été</v>
          </cell>
          <cell r="K624" t="str">
            <v xml:space="preserve">Second Flush </v>
          </cell>
          <cell r="L624" t="str">
            <v>Thé wulong d'origine</v>
          </cell>
          <cell r="M624" t="str">
            <v>Inde - Darjeeling</v>
          </cell>
          <cell r="N624" t="str">
            <v>AB</v>
          </cell>
          <cell r="O624" t="str">
            <v>WFTO</v>
          </cell>
          <cell r="P624" t="str">
            <v>D</v>
          </cell>
          <cell r="Q624" t="str">
            <v>/</v>
          </cell>
          <cell r="R624" t="str">
            <v>IGP</v>
          </cell>
          <cell r="S624" t="str">
            <v>/</v>
          </cell>
          <cell r="T624" t="str">
            <v>Agriculture Inde</v>
          </cell>
          <cell r="U624"/>
          <cell r="V624" t="str">
            <v>Ce délicieux thé légèrement fermenté développe des parfums gourmands de cassonade et de fruits rouges. Son infusion orangée libère une fraîcheur typique des thés du Darjeeling, soulignée d’une note subtile de châtaigne typique des wulong de Formose. Une tasse succulente qui laisse des arômes sucrés et veloutés d’une belle longueur en bouche.</v>
          </cell>
          <cell r="W624" t="str">
            <v>S17</v>
          </cell>
          <cell r="X624" t="str">
            <v>Elaboré à partir d’une récolte estivale dans le jardin de Selimbong réputé pour le caractère très fruité de ses productions, ce thé wulong original est d’une grande gourmandise. Ses saveurs de chataîgne et de fruits rouges sont mises en valeur par la fraîcheur typique des thés du Darjeeling.</v>
          </cell>
          <cell r="Y624"/>
          <cell r="Z624" t="str">
            <v xml:space="preserve">Ingrédient : thé wulong**. **Issu de l'agriculture biologique et biodynamique. demeter est la marque des produits issus de l'agriculture biodynamique certifiée. </v>
          </cell>
          <cell r="AA624" t="str">
            <v>/</v>
          </cell>
          <cell r="AB624" t="str">
            <v>Membre certifié World Fair Trade Organization, Les Jardins de Gaïa s’engagent pour un commerce plus juste et répondent aux exigences du commerce équitable. Pour en savoir plus : www.wfto.com.</v>
          </cell>
          <cell r="AC624">
            <v>100</v>
          </cell>
          <cell r="AD624" t="str">
            <v>3-4</v>
          </cell>
          <cell r="AE624">
            <v>85</v>
          </cell>
          <cell r="AF624">
            <v>2</v>
          </cell>
          <cell r="AG624">
            <v>50</v>
          </cell>
          <cell r="AH624">
            <v>3582810735022</v>
          </cell>
          <cell r="AI624" t="str">
            <v>/</v>
          </cell>
          <cell r="AJ624" t="str">
            <v>ETON350</v>
          </cell>
          <cell r="AK624" t="str">
            <v>ETON350V5</v>
          </cell>
          <cell r="AL624" t="str">
            <v>ETCON3502V5</v>
          </cell>
          <cell r="AM624" t="str">
            <v>Selimbong Tea Estate</v>
          </cell>
        </row>
        <row r="625">
          <cell r="A625" t="str">
            <v>TV3301</v>
          </cell>
          <cell r="B625"/>
          <cell r="C625"/>
          <cell r="D625"/>
          <cell r="E625"/>
          <cell r="F625"/>
          <cell r="G625"/>
          <cell r="H625" t="str">
            <v>LES GRANDS CLASSIQUES</v>
          </cell>
          <cell r="I625"/>
          <cell r="J625" t="str">
            <v>Selimbong Green</v>
          </cell>
          <cell r="K625" t="str">
            <v xml:space="preserve">Second Flush </v>
          </cell>
          <cell r="L625" t="str">
            <v>Thé vert d'origine</v>
          </cell>
          <cell r="M625" t="str">
            <v>Inde - Darjeeling</v>
          </cell>
          <cell r="N625" t="str">
            <v>AB</v>
          </cell>
          <cell r="O625" t="str">
            <v>WFTO</v>
          </cell>
          <cell r="P625" t="str">
            <v>D</v>
          </cell>
          <cell r="Q625" t="str">
            <v>/</v>
          </cell>
          <cell r="R625" t="str">
            <v>IGP</v>
          </cell>
          <cell r="S625" t="str">
            <v>/</v>
          </cell>
          <cell r="T625" t="str">
            <v>Agriculture Inde</v>
          </cell>
          <cell r="U625"/>
          <cell r="V625" t="str">
            <v>Belle récolte de thé vert produite par un fameux jardin situé au pied de l’Himalaya. Thé à l’infusion dorée et limpide, caractérisée par son doux parfum frais et son goût délicat, légèrement sucrée. À savourer pendant ou après les repas.</v>
          </cell>
          <cell r="W625"/>
          <cell r="X625" t="str">
            <v>Ce thé vert d’Inde né au cœur de Selimbong, l’un des plus anciens jardins de thé du Darjeeling, a bénéficié de l’expertise en agriculture biodynamique et de la biodiversité exceptionnelle du lieu. Sa liqueur dorée et limpide offre des saveurs fraîches et sucrées particulièrement agréables.</v>
          </cell>
          <cell r="Y625"/>
          <cell r="Z625" t="str">
            <v xml:space="preserve">Ingrédient : thé vert**. **Issu de l'agriculture biologique et biodynamique. demeter est la marque des produits issus de l'agriculture biodynamique certifiée. </v>
          </cell>
          <cell r="AA625" t="str">
            <v>/</v>
          </cell>
          <cell r="AB625" t="str">
            <v>Membre certifié World Fair Trade Organization, Les Jardins de Gaïa s’engagent pour un commerce plus juste et répondent aux exigences du commerce équitable. Pour en savoir plus : www.wfto.com.</v>
          </cell>
          <cell r="AC625">
            <v>1.5</v>
          </cell>
          <cell r="AD625" t="str">
            <v>3</v>
          </cell>
          <cell r="AE625">
            <v>80</v>
          </cell>
          <cell r="AF625">
            <v>2</v>
          </cell>
          <cell r="AG625">
            <v>750</v>
          </cell>
          <cell r="AH625">
            <v>3582810333013</v>
          </cell>
          <cell r="AI625" t="str">
            <v>/</v>
          </cell>
          <cell r="AJ625" t="str">
            <v>INTERNE</v>
          </cell>
          <cell r="AK625" t="str">
            <v>INTERNE</v>
          </cell>
          <cell r="AL625" t="str">
            <v>/</v>
          </cell>
          <cell r="AM625" t="str">
            <v>Selimbong Tea Estate</v>
          </cell>
        </row>
        <row r="626">
          <cell r="A626" t="str">
            <v>TV3302</v>
          </cell>
          <cell r="B626"/>
          <cell r="C626" t="str">
            <v>X</v>
          </cell>
          <cell r="D626" t="str">
            <v>x</v>
          </cell>
          <cell r="E626" t="str">
            <v>x</v>
          </cell>
          <cell r="F626" t="str">
            <v>GRAI</v>
          </cell>
          <cell r="G626">
            <v>45383</v>
          </cell>
          <cell r="H626" t="str">
            <v>LES GRANDS CLASSIQUES</v>
          </cell>
          <cell r="I626"/>
          <cell r="J626" t="str">
            <v>Selimbong Green</v>
          </cell>
          <cell r="K626" t="str">
            <v xml:space="preserve">Second Flush </v>
          </cell>
          <cell r="L626" t="str">
            <v>Thé vert d'origine</v>
          </cell>
          <cell r="M626" t="str">
            <v>Inde - Darjeeling</v>
          </cell>
          <cell r="N626" t="str">
            <v>AB</v>
          </cell>
          <cell r="O626" t="str">
            <v>WFTO</v>
          </cell>
          <cell r="P626" t="str">
            <v>D</v>
          </cell>
          <cell r="Q626" t="str">
            <v>/</v>
          </cell>
          <cell r="R626" t="str">
            <v>IGP</v>
          </cell>
          <cell r="S626" t="str">
            <v>/</v>
          </cell>
          <cell r="T626" t="str">
            <v>Agriculture Inde</v>
          </cell>
          <cell r="U626"/>
          <cell r="V626" t="str">
            <v>Belle récolte de thé vert produite par un fameux jardin situé au pied de l’Himalaya. Thé à l’infusion dorée et limpide, caractérisée par son doux parfum frais et son goût délicat, légèrement sucrée. À savourer pendant ou après les repas.</v>
          </cell>
          <cell r="W626"/>
          <cell r="X626" t="str">
            <v>Ce thé vert d’Inde né au cœur de Selimbong, l’un des plus anciens jardins de thé du Darjeeling, a bénéficié de l’expertise en agriculture biodynamique et de la biodiversité exceptionnelle du lieu. Sa liqueur dorée et limpide offre des saveurs fraîches et sucrées particulièrement agréables.</v>
          </cell>
          <cell r="Y626"/>
          <cell r="Z626" t="str">
            <v xml:space="preserve">Ingrédient : thé vert**. **Issu de l'agriculture biologique et biodynamique. demeter est la marque des produits issus de l'agriculture biodynamique certifiée. </v>
          </cell>
          <cell r="AA626" t="str">
            <v>/</v>
          </cell>
          <cell r="AB626" t="str">
            <v>Membre certifié World Fair Trade Organization, Les Jardins de Gaïa s’engagent pour un commerce plus juste et répondent aux exigences du commerce équitable. Pour en savoir plus : www.wfto.com.</v>
          </cell>
          <cell r="AC626">
            <v>100</v>
          </cell>
          <cell r="AD626" t="str">
            <v>3</v>
          </cell>
          <cell r="AE626">
            <v>80</v>
          </cell>
          <cell r="AF626">
            <v>2</v>
          </cell>
          <cell r="AG626">
            <v>50</v>
          </cell>
          <cell r="AH626">
            <v>3582810333020</v>
          </cell>
          <cell r="AI626" t="str">
            <v>/</v>
          </cell>
          <cell r="AJ626" t="str">
            <v>ETVN330</v>
          </cell>
          <cell r="AK626" t="str">
            <v>ETVN330V5</v>
          </cell>
          <cell r="AL626" t="str">
            <v>ETCVN3302V5</v>
          </cell>
          <cell r="AM626" t="str">
            <v>Selimbong Tea Estate</v>
          </cell>
        </row>
        <row r="627">
          <cell r="A627" t="str">
            <v>TR2451</v>
          </cell>
          <cell r="B627"/>
          <cell r="C627"/>
          <cell r="D627"/>
          <cell r="E627"/>
          <cell r="F627"/>
          <cell r="G627"/>
          <cell r="H627" t="str">
            <v>LES ENGAGÉS</v>
          </cell>
          <cell r="I627"/>
          <cell r="J627" t="str">
            <v>Semeuses d'avenir</v>
          </cell>
          <cell r="K627" t="str">
            <v>Ananas - Mandarine</v>
          </cell>
          <cell r="L627" t="str">
            <v>Rooibos aromatisé</v>
          </cell>
          <cell r="M627" t="str">
            <v>Afrique du Sud - Cap Occidental</v>
          </cell>
          <cell r="N627" t="str">
            <v>AB</v>
          </cell>
          <cell r="O627" t="str">
            <v>WFTO</v>
          </cell>
          <cell r="P627" t="str">
            <v>/</v>
          </cell>
          <cell r="Q627" t="str">
            <v>/</v>
          </cell>
          <cell r="R627" t="str">
            <v>/</v>
          </cell>
          <cell r="S627" t="str">
            <v>/</v>
          </cell>
          <cell r="T627" t="str">
            <v>Agriculture UE/non UE</v>
          </cell>
          <cell r="U627"/>
          <cell r="V627" t="str">
            <v>Généreuse et empreinte de féminité, cette recette à base de rooibos réunit la douceur de l’ananas aux arômes uniques et suaves de la mandarine. Soulignée par de discrètes notes de réglisse, elle allie chaleur et lumière à l’image des ingrédients qui la composent.</v>
          </cell>
          <cell r="W627" t="str">
            <v>S17</v>
          </cell>
          <cell r="X627" t="str">
            <v>Généreuse et empreinte de féminité, cette recette à base de rooibos réunit la douceur de l’ananas aux arômes uniques et suaves de la mandarine. Soulignée par de discrètes notes de réglisse, elle allie chaleur et lumière à l’image des ingrédients qui la composent.</v>
          </cell>
          <cell r="Y627" t="str">
            <v>L’ONG Indigo agit en Afrique du Sud pour une plus grande justice sociale auprès des communautés rurales et pour la préservation de la biodiversité. indigo-dc.org</v>
          </cell>
          <cell r="Z627" t="str">
            <v>Ingrédients : rooibos*, fruits (écorces de mandarine*, morceaux d'ananas*) 10%, arôme naturel d'ananas* 4,5%, baies de sureau*, réglisse*, huile essentielle de mandarine* 0,5%. *Issu de l'agriculture biologique. Contient de la réglisse, les personnes souffrant d'hypertension doivent éviter toute consommation excessive.</v>
          </cell>
          <cell r="AA627" t="str">
            <v>/</v>
          </cell>
          <cell r="AB627" t="str">
            <v>Membre certifié World Fair Trade Organization, Les Jardins de Gaïa s’engagent pour un commerce plus juste et répondent aux exigences du commerce équitable. Pour en savoir plus : www.wfto.com.</v>
          </cell>
          <cell r="AC627">
            <v>1.5</v>
          </cell>
          <cell r="AD627" t="str">
            <v>5-10</v>
          </cell>
          <cell r="AE627">
            <v>95</v>
          </cell>
          <cell r="AF627">
            <v>2</v>
          </cell>
          <cell r="AG627">
            <v>750</v>
          </cell>
          <cell r="AH627">
            <v>3582810924518</v>
          </cell>
          <cell r="AI627" t="str">
            <v>/</v>
          </cell>
          <cell r="AJ627" t="str">
            <v>INTERNE</v>
          </cell>
          <cell r="AK627" t="str">
            <v>INTERNE</v>
          </cell>
          <cell r="AL627" t="str">
            <v>/</v>
          </cell>
          <cell r="AM627" t="str">
            <v>Création maison</v>
          </cell>
        </row>
        <row r="628">
          <cell r="A628" t="str">
            <v>TR2452</v>
          </cell>
          <cell r="B628"/>
          <cell r="C628" t="str">
            <v>X</v>
          </cell>
          <cell r="D628"/>
          <cell r="E628"/>
          <cell r="F628" t="str">
            <v>BRODART</v>
          </cell>
          <cell r="G628"/>
          <cell r="H628" t="str">
            <v>LES ENGAGÉS</v>
          </cell>
          <cell r="I628"/>
          <cell r="J628" t="str">
            <v>Semeuses d'avenir</v>
          </cell>
          <cell r="K628" t="str">
            <v>Ananas - Mandarine</v>
          </cell>
          <cell r="L628" t="str">
            <v>Rooibos aromatisé</v>
          </cell>
          <cell r="M628" t="str">
            <v>Afrique du Sud - Cap Occidental</v>
          </cell>
          <cell r="N628" t="str">
            <v>AB</v>
          </cell>
          <cell r="O628" t="str">
            <v>WFTO</v>
          </cell>
          <cell r="P628" t="str">
            <v>/</v>
          </cell>
          <cell r="Q628" t="str">
            <v>/</v>
          </cell>
          <cell r="R628" t="str">
            <v>/</v>
          </cell>
          <cell r="S628" t="str">
            <v>/</v>
          </cell>
          <cell r="T628" t="str">
            <v>Agriculture UE/non UE</v>
          </cell>
          <cell r="U628"/>
          <cell r="V628" t="str">
            <v>Généreuse et empreinte de féminité, cette recette à base de rooibos réunit la douceur de l’ananas aux arômes uniques et suaves de la mandarine. Soulignée par de discrètes notes de réglisse, elle allie chaleur et lumière à l’image des ingrédients qui la composent.</v>
          </cell>
          <cell r="W628" t="str">
            <v>S17</v>
          </cell>
          <cell r="X628" t="str">
            <v>Généreuse et empreinte de féminité, cette recette à base de rooibos réunit la douceur de l’ananas aux arômes uniques et suaves de la mandarine. Soulignée par de discrètes notes de réglisse, elle allie chaleur et lumière à l’image des ingrédients qui la composent.</v>
          </cell>
          <cell r="Y628" t="str">
            <v>L’ONG Indigo agit en Afrique du Sud pour une plus grande justice sociale auprès des communautés rurales et pour la préservation de la biodiversité. indigo-dc.org</v>
          </cell>
          <cell r="Z628" t="str">
            <v>Ingrédients : rooibos*, fruits (écorces de mandarine*, morceaux d'ananas*) 10%, arôme naturel d'ananas* 4,5%, baies de sureau*, réglisse*, huile essentielle de mandarine* 0,5%. *Issu de l'agriculture biologique. Contient de la réglisse, les personnes souffrant d'hypertension doivent éviter toute consommation excessive.</v>
          </cell>
          <cell r="AA628" t="str">
            <v>/</v>
          </cell>
          <cell r="AB628" t="str">
            <v>Membre certifié World Fair Trade Organization, Les Jardins de Gaïa s’engagent pour un commerce plus juste et répondent aux exigences du commerce équitable. Pour en savoir plus : www.wfto.com.</v>
          </cell>
          <cell r="AC628">
            <v>100</v>
          </cell>
          <cell r="AD628" t="str">
            <v>5-10</v>
          </cell>
          <cell r="AE628">
            <v>95</v>
          </cell>
          <cell r="AF628">
            <v>2</v>
          </cell>
          <cell r="AG628">
            <v>50</v>
          </cell>
          <cell r="AH628">
            <v>3582810924525</v>
          </cell>
          <cell r="AI628" t="str">
            <v>/</v>
          </cell>
          <cell r="AJ628" t="str">
            <v>ETRA245V5</v>
          </cell>
          <cell r="AK628" t="str">
            <v>ETRA245V5</v>
          </cell>
          <cell r="AL628" t="str">
            <v>ETCRA2452V5MI</v>
          </cell>
          <cell r="AM628" t="str">
            <v>Création maison</v>
          </cell>
        </row>
        <row r="629">
          <cell r="A629" t="str">
            <v>TJ1034</v>
          </cell>
          <cell r="B629"/>
          <cell r="C629"/>
          <cell r="D629"/>
          <cell r="E629"/>
          <cell r="F629"/>
          <cell r="G629"/>
          <cell r="H629" t="str">
            <v>KEIKO</v>
          </cell>
          <cell r="I629"/>
          <cell r="J629" t="str">
            <v>Sencha</v>
          </cell>
          <cell r="K629" t="str">
            <v>Thé vert</v>
          </cell>
          <cell r="L629" t="str">
            <v>Thé vert d'origine</v>
          </cell>
          <cell r="M629" t="str">
            <v>Japon - Kagoshima</v>
          </cell>
          <cell r="N629" t="str">
            <v>AB</v>
          </cell>
          <cell r="O629" t="str">
            <v>/</v>
          </cell>
          <cell r="P629" t="str">
            <v>/</v>
          </cell>
          <cell r="Q629" t="str">
            <v>/</v>
          </cell>
          <cell r="R629" t="str">
            <v>/</v>
          </cell>
          <cell r="S629" t="str">
            <v>/</v>
          </cell>
          <cell r="T629" t="str">
            <v>Agriculture Japon</v>
          </cell>
          <cell r="U629"/>
          <cell r="V629" t="str">
            <v>Thé vert japonais non ombragé. Un Sencha récolté en été à la saveur agréable et douce, légèrement astringente. Infusion rafraîchissante de couleur vert clair.</v>
          </cell>
          <cell r="W629" t="str">
            <v>S26</v>
          </cell>
          <cell r="X629" t="str">
            <v>Fruit d’une récolte estivale, ce sencha se caractérise par des tanins ronds et souples qui donnent du corps à la liqueur aux notes végétales, légèrement astringentes. Un thé vert japonais dont on apprécie particulièrement la fraîcheur.</v>
          </cell>
          <cell r="Y629"/>
          <cell r="Z629" t="str">
            <v>Ingrédient : thé vert*. *Issu de l'agriculture biologique.</v>
          </cell>
          <cell r="AA629" t="str">
            <v>/</v>
          </cell>
          <cell r="AB629" t="str">
            <v>/</v>
          </cell>
          <cell r="AC629">
            <v>50</v>
          </cell>
          <cell r="AD629" t="str">
            <v>40/15/30 sec</v>
          </cell>
          <cell r="AE629" t="str">
            <v>65-70</v>
          </cell>
          <cell r="AF629">
            <v>2</v>
          </cell>
          <cell r="AG629">
            <v>25</v>
          </cell>
          <cell r="AH629">
            <v>4031322000054</v>
          </cell>
          <cell r="AI629" t="str">
            <v>Plusieurs infusions</v>
          </cell>
          <cell r="AJ629" t="str">
            <v>/</v>
          </cell>
          <cell r="AK629" t="str">
            <v>/</v>
          </cell>
          <cell r="AL629" t="str">
            <v>/</v>
          </cell>
          <cell r="AM629" t="str">
            <v>Keiko</v>
          </cell>
        </row>
        <row r="630">
          <cell r="A630" t="str">
            <v>TUTJ0716</v>
          </cell>
          <cell r="B630"/>
          <cell r="C630"/>
          <cell r="D630"/>
          <cell r="E630"/>
          <cell r="F630"/>
          <cell r="G630"/>
          <cell r="H630" t="str">
            <v>LES PRECIEUX DU JAPON ET DE TAIWAN</v>
          </cell>
          <cell r="I630"/>
          <cell r="J630" t="str">
            <v>Sencha</v>
          </cell>
          <cell r="K630" t="str">
            <v>Le songe de Bashō 煎茶</v>
          </cell>
          <cell r="L630" t="str">
            <v>Thé vert d'origine</v>
          </cell>
          <cell r="M630" t="str">
            <v>Japon - Ujitawara</v>
          </cell>
          <cell r="N630" t="str">
            <v>AB</v>
          </cell>
          <cell r="O630" t="str">
            <v>/</v>
          </cell>
          <cell r="P630" t="str">
            <v>/</v>
          </cell>
          <cell r="Q630" t="str">
            <v>/</v>
          </cell>
          <cell r="R630" t="str">
            <v>/</v>
          </cell>
          <cell r="S630" t="str">
            <v>/</v>
          </cell>
          <cell r="T630" t="str">
            <v>Agriculture Japon</v>
          </cell>
          <cell r="U630"/>
          <cell r="V630" t="str">
            <v>Ses jolies aiguilles émeraude délivrent une infusion dont les délicieuses fragrances de cassis surprennent même les nez les plus avertis. En bouche, ses arômes sucrés et vanillés enchantent le palais. Un magnifique sencha à déguster au rythme des vers d’un haïku.</v>
          </cell>
          <cell r="W630" t="str">
            <v>S26</v>
          </cell>
          <cell r="X630" t="str">
            <v>Les jolies aiguilles émeraude de ce grand sencha délivrent une infusion dont les fragrances sont surprenantes d’intensité. En bouche, ses arômes sucrés et vanillés tapissent agréablement le palais dans la durée. Un thé vert généreux à déguster au rythme des vers d’un haïku.</v>
          </cell>
          <cell r="Y630"/>
          <cell r="Z630" t="str">
            <v>Ingrédient : thé vert*. *Issu de l'agriculture biologique.</v>
          </cell>
          <cell r="AA630" t="str">
            <v>/</v>
          </cell>
          <cell r="AB630" t="str">
            <v>/</v>
          </cell>
          <cell r="AC630">
            <v>50</v>
          </cell>
          <cell r="AD630" t="str">
            <v>90 sec</v>
          </cell>
          <cell r="AE630">
            <v>80</v>
          </cell>
          <cell r="AF630">
            <v>2</v>
          </cell>
          <cell r="AG630">
            <v>25</v>
          </cell>
          <cell r="AH630">
            <v>3582815707161</v>
          </cell>
          <cell r="AI630" t="str">
            <v>Plusieurs infusions</v>
          </cell>
          <cell r="AJ630" t="str">
            <v>ETTUTJ0716</v>
          </cell>
          <cell r="AK630" t="str">
            <v>ETTUTJ0716V5</v>
          </cell>
          <cell r="AL630" t="str">
            <v>/</v>
          </cell>
          <cell r="AM630" t="str">
            <v>Japon - Kyūshū</v>
          </cell>
        </row>
        <row r="631">
          <cell r="A631" t="str">
            <v>TV4211</v>
          </cell>
          <cell r="B631"/>
          <cell r="C631"/>
          <cell r="D631"/>
          <cell r="E631"/>
          <cell r="F631"/>
          <cell r="G631"/>
          <cell r="H631" t="str">
            <v>LES GRANDS CLASSIQUES</v>
          </cell>
          <cell r="I631"/>
          <cell r="J631" t="str">
            <v>Sencha Chine</v>
          </cell>
          <cell r="K631" t="str">
            <v>/</v>
          </cell>
          <cell r="L631" t="str">
            <v>Thé vert d'origine</v>
          </cell>
          <cell r="M631" t="str">
            <v>Chine</v>
          </cell>
          <cell r="N631" t="str">
            <v>AB</v>
          </cell>
          <cell r="O631" t="str">
            <v>WFTO</v>
          </cell>
          <cell r="P631" t="str">
            <v>/</v>
          </cell>
          <cell r="Q631" t="str">
            <v>/</v>
          </cell>
          <cell r="R631" t="str">
            <v>/</v>
          </cell>
          <cell r="S631" t="str">
            <v>/</v>
          </cell>
          <cell r="T631" t="str">
            <v>Agriculture Chine</v>
          </cell>
          <cell r="U631"/>
          <cell r="V631" t="str">
            <v>Succulent thé vert préparé selon la méthode japonaise. Son infusion limpide d’une teinte vert doré exhale un parfum frais au goût savoureux, suave et léger. Excellent thé de la détente.</v>
          </cell>
          <cell r="W631"/>
          <cell r="X631" t="str">
            <v xml:space="preserve">Ce thé vert né dans la très réputée province théicole du Zhejiang a été élaboré à la manière d’un sencha japonais. Sa liqueur à la fois souple et légère met en valeur d’agréables notes végétales et délicatement sucrées. </v>
          </cell>
          <cell r="Y631"/>
          <cell r="Z631" t="str">
            <v>Ingrédient : thé vert*. *Issu de l'agriculture biologique.</v>
          </cell>
          <cell r="AA631" t="str">
            <v>/</v>
          </cell>
          <cell r="AB631" t="str">
            <v>Membre certifié World Fair Trade Organization, Les Jardins de Gaïa s’engagent pour un commerce plus juste et répondent aux exigences du commerce équitable. Pour en savoir plus : www.wfto.com.</v>
          </cell>
          <cell r="AC631">
            <v>1.5</v>
          </cell>
          <cell r="AD631" t="str">
            <v>3</v>
          </cell>
          <cell r="AE631">
            <v>75</v>
          </cell>
          <cell r="AF631">
            <v>2</v>
          </cell>
          <cell r="AG631">
            <v>750</v>
          </cell>
          <cell r="AH631">
            <v>3582810342114</v>
          </cell>
          <cell r="AI631" t="str">
            <v>/</v>
          </cell>
          <cell r="AJ631" t="str">
            <v>INTERNE</v>
          </cell>
          <cell r="AK631" t="str">
            <v>INTERNE</v>
          </cell>
          <cell r="AL631" t="str">
            <v>/</v>
          </cell>
          <cell r="AM631" t="str">
            <v>Dazhangshan Organic Tea Farmer Association</v>
          </cell>
        </row>
        <row r="632">
          <cell r="A632" t="str">
            <v>TV4212</v>
          </cell>
          <cell r="B632"/>
          <cell r="C632" t="str">
            <v>X</v>
          </cell>
          <cell r="D632" t="str">
            <v>X</v>
          </cell>
          <cell r="E632" t="str">
            <v>X</v>
          </cell>
          <cell r="F632" t="str">
            <v>GRAI</v>
          </cell>
          <cell r="G632">
            <v>45383</v>
          </cell>
          <cell r="H632" t="str">
            <v>LES GRANDS CLASSIQUES</v>
          </cell>
          <cell r="I632"/>
          <cell r="J632" t="str">
            <v>Sencha Chine</v>
          </cell>
          <cell r="K632" t="str">
            <v>/</v>
          </cell>
          <cell r="L632" t="str">
            <v>Thé vert d'origine</v>
          </cell>
          <cell r="M632" t="str">
            <v>Chine</v>
          </cell>
          <cell r="N632" t="str">
            <v>AB</v>
          </cell>
          <cell r="O632" t="str">
            <v>WFTO</v>
          </cell>
          <cell r="P632" t="str">
            <v>/</v>
          </cell>
          <cell r="Q632" t="str">
            <v>/</v>
          </cell>
          <cell r="R632" t="str">
            <v>/</v>
          </cell>
          <cell r="S632" t="str">
            <v>/</v>
          </cell>
          <cell r="T632" t="str">
            <v>Agriculture Chine</v>
          </cell>
          <cell r="U632"/>
          <cell r="V632" t="str">
            <v>Succulent thé vert préparé selon la méthode japonaise. Son infusion limpide d’une teinte vert doré exhale un parfum frais au goût savoureux, suave et léger. Excellent thé de la détente.</v>
          </cell>
          <cell r="W632"/>
          <cell r="X632" t="str">
            <v xml:space="preserve">Ce thé vert né dans la très réputée province théicole du Zhejiang a été élaboré à la manière d’un sencha japonais. Sa liqueur à la fois souple et légère met en valeur d’agréables notes végétales et délicatement sucrées. </v>
          </cell>
          <cell r="Y632"/>
          <cell r="Z632" t="str">
            <v>Ingrédient : thé vert*. *Issu de l'agriculture biologique.</v>
          </cell>
          <cell r="AA632" t="str">
            <v>/</v>
          </cell>
          <cell r="AB632" t="str">
            <v>Membre certifié World Fair Trade Organization, Les Jardins de Gaïa s’engagent pour un commerce plus juste et répondent aux exigences du commerce équitable. Pour en savoir plus : www.wfto.com.</v>
          </cell>
          <cell r="AC632">
            <v>100</v>
          </cell>
          <cell r="AD632" t="str">
            <v>3</v>
          </cell>
          <cell r="AE632">
            <v>75</v>
          </cell>
          <cell r="AF632">
            <v>2</v>
          </cell>
          <cell r="AG632">
            <v>50</v>
          </cell>
          <cell r="AH632">
            <v>3582810342121</v>
          </cell>
          <cell r="AI632" t="str">
            <v>/</v>
          </cell>
          <cell r="AJ632" t="str">
            <v>ETVN421</v>
          </cell>
          <cell r="AK632" t="str">
            <v>ETVN421V5</v>
          </cell>
          <cell r="AL632" t="str">
            <v>ETCVN4212V5</v>
          </cell>
          <cell r="AM632" t="str">
            <v>Dazhangshan Organic Tea Farmer Association</v>
          </cell>
        </row>
        <row r="633">
          <cell r="A633" t="str">
            <v>TJ2141</v>
          </cell>
          <cell r="B633"/>
          <cell r="C633"/>
          <cell r="D633"/>
          <cell r="E633"/>
          <cell r="F633"/>
          <cell r="G633"/>
          <cell r="H633" t="str">
            <v>LES GRANDS CLASSIQUES</v>
          </cell>
          <cell r="I633"/>
          <cell r="J633" t="str">
            <v>Sencha Fukamushi</v>
          </cell>
          <cell r="K633" t="str">
            <v>/</v>
          </cell>
          <cell r="L633" t="str">
            <v>Thé vert d'origine</v>
          </cell>
          <cell r="M633" t="str">
            <v>Japon - Kagoshima</v>
          </cell>
          <cell r="N633" t="str">
            <v>AB</v>
          </cell>
          <cell r="O633" t="str">
            <v>/</v>
          </cell>
          <cell r="P633" t="str">
            <v>/</v>
          </cell>
          <cell r="Q633" t="str">
            <v>/</v>
          </cell>
          <cell r="R633" t="str">
            <v>/</v>
          </cell>
          <cell r="S633" t="str">
            <v>/</v>
          </cell>
          <cell r="T633" t="str">
            <v>Agriculture Japon</v>
          </cell>
          <cell r="U633"/>
          <cell r="V633" t="str">
            <v>Passé à la vapeur plus longuement qu'un thé vert japonais classique, ce sencha fukamushi génère une liqueur caractéristique, à la fois douce et souple. Ce type d'étuvage de plus en plus apprécié au Japon permet d'obtenir des infusions aux arômes intenses et à l'astringence modérée. Les saveurs de fruits à coques alliées à une belle complexité de notes végétales sont agréablement mises en avant. Un sencha particulièrement séduisant, dont le bel équilibre s’adapte à tous types de palais.</v>
          </cell>
          <cell r="W633" t="str">
            <v>S17</v>
          </cell>
          <cell r="X633" t="str">
            <v xml:space="preserve">Passé à la vapeur plus longuement qu’un thé vert japonais classique, ce sencha fukamushi génère une liqueur d’une texture épaisse et très souple en bouche, à l'astringence modérée. Les saveurs de fruits à coque alliées à une belle complexité de notes végétales sont agréablement mises en avant. </v>
          </cell>
          <cell r="Y633"/>
          <cell r="Z633" t="str">
            <v>Ingrédient : thé vert*. *Issu de l'agriculture biologique.</v>
          </cell>
          <cell r="AA633" t="str">
            <v>/</v>
          </cell>
          <cell r="AB633" t="str">
            <v>/</v>
          </cell>
          <cell r="AC633">
            <v>1.5</v>
          </cell>
          <cell r="AD633" t="str">
            <v>1-2</v>
          </cell>
          <cell r="AE633" t="str">
            <v>75-80</v>
          </cell>
          <cell r="AF633">
            <v>2</v>
          </cell>
          <cell r="AG633">
            <v>750</v>
          </cell>
          <cell r="AH633">
            <v>3582814121418</v>
          </cell>
          <cell r="AI633" t="str">
            <v>Plusieurs infusions</v>
          </cell>
          <cell r="AJ633" t="str">
            <v>INTERNE</v>
          </cell>
          <cell r="AK633" t="str">
            <v>INTERNE</v>
          </cell>
          <cell r="AL633" t="str">
            <v>/</v>
          </cell>
          <cell r="AM633" t="str">
            <v>Japon - Kagoshima</v>
          </cell>
        </row>
        <row r="634">
          <cell r="A634" t="str">
            <v>TJ2142</v>
          </cell>
          <cell r="B634"/>
          <cell r="C634" t="str">
            <v>X</v>
          </cell>
          <cell r="D634" t="str">
            <v>X</v>
          </cell>
          <cell r="E634" t="str">
            <v>X</v>
          </cell>
          <cell r="F634" t="str">
            <v>BRODART</v>
          </cell>
          <cell r="G634"/>
          <cell r="H634" t="str">
            <v>LES GRANDS CLASSIQUES</v>
          </cell>
          <cell r="I634"/>
          <cell r="J634" t="str">
            <v>Sencha Fukamushi</v>
          </cell>
          <cell r="K634" t="str">
            <v>/</v>
          </cell>
          <cell r="L634" t="str">
            <v>Thé vert d'origine</v>
          </cell>
          <cell r="M634" t="str">
            <v>Japon - Kagoshima</v>
          </cell>
          <cell r="N634" t="str">
            <v>AB</v>
          </cell>
          <cell r="O634" t="str">
            <v>/</v>
          </cell>
          <cell r="P634" t="str">
            <v>/</v>
          </cell>
          <cell r="Q634" t="str">
            <v>/</v>
          </cell>
          <cell r="R634" t="str">
            <v>/</v>
          </cell>
          <cell r="S634" t="str">
            <v>/</v>
          </cell>
          <cell r="T634" t="str">
            <v>Agriculture Japon</v>
          </cell>
          <cell r="U634"/>
          <cell r="V634" t="str">
            <v>Passé à la vapeur plus longuement qu'un thé vert japonais classique, ce sencha fukamushi génère une liqueur caractéristique, à la fois douce et souple. Ce type d'étuvage de plus en plus apprécié au Japon permet d'obtenir des infusions aux arômes intenses et à l'astringence modérée. Les saveurs de fruits à coques alliées à une belle complexité de notes végétales sont agréablement mises en avant. Un sencha particulièrement séduisant, dont le bel équilibre s’adapte à tous types de palais.</v>
          </cell>
          <cell r="W634" t="str">
            <v>S17</v>
          </cell>
          <cell r="X634" t="str">
            <v xml:space="preserve">Passé à la vapeur plus longuement qu’un thé vert japonais classique, ce sencha fukamushi génère une liqueur d’une texture épaisse et très souple en bouche, à l'astringence modérée. Les saveurs de fruits à coque alliées à une belle complexité de notes végétales sont agréablement mises en avant. </v>
          </cell>
          <cell r="Y634"/>
          <cell r="Z634" t="str">
            <v>Ingrédient : thé vert*. *Issu de l'agriculture biologique.</v>
          </cell>
          <cell r="AA634" t="str">
            <v>/</v>
          </cell>
          <cell r="AB634" t="str">
            <v>/</v>
          </cell>
          <cell r="AC634">
            <v>100</v>
          </cell>
          <cell r="AD634" t="str">
            <v>1-2</v>
          </cell>
          <cell r="AE634" t="str">
            <v>75-80</v>
          </cell>
          <cell r="AF634">
            <v>2</v>
          </cell>
          <cell r="AG634">
            <v>50</v>
          </cell>
          <cell r="AH634">
            <v>3582814121425</v>
          </cell>
          <cell r="AI634" t="str">
            <v>Plusieurs infusions</v>
          </cell>
          <cell r="AJ634" t="str">
            <v>ETVJ214</v>
          </cell>
          <cell r="AK634" t="str">
            <v>ETVJ214V5</v>
          </cell>
          <cell r="AL634" t="str">
            <v>ETCVJ2142V5</v>
          </cell>
          <cell r="AM634" t="str">
            <v>Japon - Kagoshima</v>
          </cell>
        </row>
        <row r="635">
          <cell r="A635" t="str">
            <v>TV6587</v>
          </cell>
          <cell r="B635"/>
          <cell r="C635"/>
          <cell r="D635"/>
          <cell r="E635"/>
          <cell r="F635"/>
          <cell r="G635"/>
          <cell r="H635" t="str">
            <v>LES GRANDS CLASSIQUES</v>
          </cell>
          <cell r="I635"/>
          <cell r="J635" t="str">
            <v>Sencha Premium</v>
          </cell>
          <cell r="K635" t="str">
            <v>Eau cristalline 煎茶</v>
          </cell>
          <cell r="L635" t="str">
            <v>Thé vert d'origine</v>
          </cell>
          <cell r="M635" t="str">
            <v>Japon - Kagoshima</v>
          </cell>
          <cell r="N635" t="str">
            <v>AB</v>
          </cell>
          <cell r="O635" t="str">
            <v>/</v>
          </cell>
          <cell r="P635" t="str">
            <v>/</v>
          </cell>
          <cell r="Q635" t="str">
            <v>/</v>
          </cell>
          <cell r="R635" t="str">
            <v>/</v>
          </cell>
          <cell r="S635" t="str">
            <v>/</v>
          </cell>
          <cell r="T635" t="str">
            <v>Agriculture Japon</v>
          </cell>
          <cell r="U635"/>
          <cell r="V635" t="str">
            <v>Cette cueillette des premières feuilles de printemps travaillées en de petites aiguilles vert foncé libère une liqueur jaune d'or aux reflets verdoyants. Son parfum exquis aux notes végétales et florales et sa saveur suave et moelleuse, sans aucune astringence, enveloppent le palais d’un luxueux velouté. Extrêmement populaire au Japon, ce sencha d’une rare finesse est d'une qualité tout à fait exceptionnelle.</v>
          </cell>
          <cell r="W635" t="str">
            <v>S17</v>
          </cell>
          <cell r="X635" t="str">
            <v>Fruit d’une récolte printanière, ce sencha offre une tasse lumineuse à la texture douce et moelleuse. Son parfum frais, typique des premières récoltes de l’année, laisse place en bouche à des saveurs végétales et fruitées à la hauteur de ce que l’on attend du plus populaire des thés verts japonais.</v>
          </cell>
          <cell r="Y635"/>
          <cell r="Z635" t="str">
            <v>Ingrédient : thé vert*. *Issu de l'agriculture biologique.</v>
          </cell>
          <cell r="AA635" t="str">
            <v>/</v>
          </cell>
          <cell r="AB635" t="str">
            <v>/</v>
          </cell>
          <cell r="AC635">
            <v>1</v>
          </cell>
          <cell r="AD635" t="str">
            <v>1-2</v>
          </cell>
          <cell r="AE635" t="str">
            <v>60-70</v>
          </cell>
          <cell r="AF635">
            <v>2</v>
          </cell>
          <cell r="AG635">
            <v>500</v>
          </cell>
          <cell r="AH635">
            <v>3582810365878</v>
          </cell>
          <cell r="AI635" t="str">
            <v>/</v>
          </cell>
          <cell r="AJ635" t="str">
            <v>INTERNE</v>
          </cell>
          <cell r="AK635" t="str">
            <v>INTERNE</v>
          </cell>
          <cell r="AL635" t="str">
            <v>/</v>
          </cell>
          <cell r="AM635" t="str">
            <v>Japon - Kagoshima</v>
          </cell>
        </row>
        <row r="636">
          <cell r="A636" t="str">
            <v>TV6582</v>
          </cell>
          <cell r="B636"/>
          <cell r="C636" t="str">
            <v>X</v>
          </cell>
          <cell r="D636"/>
          <cell r="E636"/>
          <cell r="F636" t="str">
            <v>BRODART</v>
          </cell>
          <cell r="G636"/>
          <cell r="H636" t="str">
            <v>LES GRANDS CLASSIQUES</v>
          </cell>
          <cell r="I636"/>
          <cell r="J636" t="str">
            <v>Sencha Premium</v>
          </cell>
          <cell r="K636" t="str">
            <v>Eau cristalline 煎茶</v>
          </cell>
          <cell r="L636" t="str">
            <v>Thé vert d'origine</v>
          </cell>
          <cell r="M636" t="str">
            <v>Japon - Kagoshima</v>
          </cell>
          <cell r="N636" t="str">
            <v>AB</v>
          </cell>
          <cell r="O636" t="str">
            <v>/</v>
          </cell>
          <cell r="P636" t="str">
            <v>/</v>
          </cell>
          <cell r="Q636" t="str">
            <v>/</v>
          </cell>
          <cell r="R636" t="str">
            <v>/</v>
          </cell>
          <cell r="S636" t="str">
            <v>/</v>
          </cell>
          <cell r="T636" t="str">
            <v>Agriculture Japon</v>
          </cell>
          <cell r="U636"/>
          <cell r="V636" t="str">
            <v>Cette cueillette des premières feuilles de printemps travaillées en de petites aiguilles vert foncé libère une liqueur jaune d'or aux reflets verdoyants. Son parfum exquis aux notes végétales et florales et sa saveur suave et moelleuse, sans aucune astringence, enveloppent le palais d’un luxueux velouté. Extrêmement populaire au Japon, ce sencha d’une rare finesse est d'une qualité tout à fait exceptionnelle.</v>
          </cell>
          <cell r="W636" t="str">
            <v>S17</v>
          </cell>
          <cell r="X636" t="str">
            <v>Fruit d’une récolte printanière, ce sencha offre une tasse lumineuse à la texture douce et moelleuse. Son parfum frais, typique des premières récoltes de l’année, laisse place en bouche à des saveurs végétales et fruitées à la hauteur de ce que l’on attend du plus populaire des thés verts japonais.</v>
          </cell>
          <cell r="Y636"/>
          <cell r="Z636" t="str">
            <v>Ingrédient : thé vert*. *Issu de l'agriculture biologique.</v>
          </cell>
          <cell r="AA636" t="str">
            <v>/</v>
          </cell>
          <cell r="AB636" t="str">
            <v>/</v>
          </cell>
          <cell r="AC636">
            <v>100</v>
          </cell>
          <cell r="AD636" t="str">
            <v>1-2</v>
          </cell>
          <cell r="AE636" t="str">
            <v>60-70</v>
          </cell>
          <cell r="AF636">
            <v>2</v>
          </cell>
          <cell r="AG636">
            <v>50</v>
          </cell>
          <cell r="AH636">
            <v>3582810365823</v>
          </cell>
          <cell r="AI636" t="str">
            <v>/</v>
          </cell>
          <cell r="AJ636" t="str">
            <v>ETVN658V5</v>
          </cell>
          <cell r="AK636" t="str">
            <v>ETVN658V5</v>
          </cell>
          <cell r="AL636" t="str">
            <v>ETCVN6582V5</v>
          </cell>
          <cell r="AM636" t="str">
            <v>Japon - Kagoshima</v>
          </cell>
        </row>
        <row r="637">
          <cell r="A637" t="str">
            <v>TV6586</v>
          </cell>
          <cell r="B637"/>
          <cell r="C637" t="str">
            <v>X</v>
          </cell>
          <cell r="D637"/>
          <cell r="E637"/>
          <cell r="F637" t="str">
            <v>BRODART</v>
          </cell>
          <cell r="G637"/>
          <cell r="H637" t="str">
            <v>LES GRANDS CLASSIQUES</v>
          </cell>
          <cell r="I637"/>
          <cell r="J637" t="str">
            <v>Sencha Premium</v>
          </cell>
          <cell r="K637" t="str">
            <v>Eau cristalline 煎茶</v>
          </cell>
          <cell r="L637" t="str">
            <v>Thé vert d'origine</v>
          </cell>
          <cell r="M637" t="str">
            <v>Japon - Kagoshima</v>
          </cell>
          <cell r="N637" t="str">
            <v>AB</v>
          </cell>
          <cell r="O637" t="str">
            <v>/</v>
          </cell>
          <cell r="P637" t="str">
            <v>/</v>
          </cell>
          <cell r="Q637" t="str">
            <v>/</v>
          </cell>
          <cell r="R637" t="str">
            <v>/</v>
          </cell>
          <cell r="S637" t="str">
            <v>/</v>
          </cell>
          <cell r="T637" t="str">
            <v>Agriculture Japon</v>
          </cell>
          <cell r="U637"/>
          <cell r="V637" t="str">
            <v>Cette cueillette des premières feuilles de printemps travaillées en de petites aiguilles vert foncé libère une liqueur jaune d'or aux reflets verdoyants. Son parfum exquis aux notes végétales et florales et sa saveur suave et moelleuse, sans aucune astringence, enveloppent le palais d’un luxueux velouté. Extrêmement populaire au Japon, ce sencha d’une rare finesse est d'une qualité tout à fait exceptionnelle.</v>
          </cell>
          <cell r="W637" t="str">
            <v>S17</v>
          </cell>
          <cell r="X637" t="str">
            <v>Fruit d’une récolte printanière, ce sencha offre une tasse lumineuse à la texture douce et moelleuse. Son parfum frais, typique des premières récoltes de l’année, laisse place en bouche à des saveurs végétales et fruitées à la hauteur de ce que l’on attend du plus populaire des thés verts japonais.</v>
          </cell>
          <cell r="Y637"/>
          <cell r="Z637" t="str">
            <v>Ingrédient : thé vert*. *Issu de l'agriculture biologique.</v>
          </cell>
          <cell r="AA637" t="str">
            <v>/</v>
          </cell>
          <cell r="AB637" t="str">
            <v>/</v>
          </cell>
          <cell r="AC637">
            <v>50</v>
          </cell>
          <cell r="AD637" t="str">
            <v>1-2</v>
          </cell>
          <cell r="AE637" t="str">
            <v>60-70</v>
          </cell>
          <cell r="AF637">
            <v>2</v>
          </cell>
          <cell r="AG637">
            <v>25</v>
          </cell>
          <cell r="AH637">
            <v>3582810365861</v>
          </cell>
          <cell r="AI637" t="str">
            <v>/</v>
          </cell>
          <cell r="AJ637" t="str">
            <v>ETVN658V5</v>
          </cell>
          <cell r="AK637" t="str">
            <v>ETVN658V5</v>
          </cell>
          <cell r="AL637" t="str">
            <v>ETCVN6586V5</v>
          </cell>
          <cell r="AM637" t="str">
            <v>Japon - Kagoshima</v>
          </cell>
        </row>
        <row r="638">
          <cell r="A638" t="str">
            <v>TV6471</v>
          </cell>
          <cell r="B638"/>
          <cell r="C638"/>
          <cell r="D638"/>
          <cell r="E638"/>
          <cell r="F638"/>
          <cell r="G638"/>
          <cell r="H638" t="str">
            <v>LES GRANDS CLASSIQUES</v>
          </cell>
          <cell r="I638"/>
          <cell r="J638" t="str">
            <v>Sencha Top Quality</v>
          </cell>
          <cell r="K638" t="str">
            <v>/</v>
          </cell>
          <cell r="L638" t="str">
            <v>Thé vert d'origine</v>
          </cell>
          <cell r="M638" t="str">
            <v>Japon - Kagoshima</v>
          </cell>
          <cell r="N638" t="str">
            <v>AB</v>
          </cell>
          <cell r="O638" t="str">
            <v>/</v>
          </cell>
          <cell r="P638" t="str">
            <v>/</v>
          </cell>
          <cell r="Q638" t="str">
            <v>/</v>
          </cell>
          <cell r="R638" t="str">
            <v>/</v>
          </cell>
          <cell r="S638" t="str">
            <v>/</v>
          </cell>
          <cell r="T638" t="str">
            <v>Agriculture Japon</v>
          </cell>
          <cell r="U638"/>
          <cell r="V638" t="str">
            <v>Ce sencha aux feuilles élégantes d'une belle couleur émeraude se classe parmi les plus grands. Caractéristique des excellents thés verts du Japon, son arôme intense, son parfum fleuri et sa saveur délicieuse et sucrée imprègnent le palais. Se déguste pendant les moments de détente et de paix.</v>
          </cell>
          <cell r="W638"/>
          <cell r="X638" t="str">
            <v>Ce sencha de qualité supérieure offre tous les charmes que l’on attend du thé vert emblématique du Japon. Ses jolies feuilles roulées en fines aiguilles, d'une belle couleur émeraude, offrent une infusion souple dont on apprécie les saveurs fraîches, herbacées et légèrement sucrées.</v>
          </cell>
          <cell r="Y638"/>
          <cell r="Z638" t="str">
            <v>Ingrédient : thé vert*. *Issu de l'agriculture biologique.</v>
          </cell>
          <cell r="AA638" t="str">
            <v>/</v>
          </cell>
          <cell r="AB638" t="str">
            <v>/</v>
          </cell>
          <cell r="AC638">
            <v>1.5</v>
          </cell>
          <cell r="AD638" t="str">
            <v>2</v>
          </cell>
          <cell r="AE638">
            <v>65</v>
          </cell>
          <cell r="AF638">
            <v>2</v>
          </cell>
          <cell r="AG638">
            <v>750</v>
          </cell>
          <cell r="AH638">
            <v>3582810364710</v>
          </cell>
          <cell r="AI638" t="str">
            <v>/</v>
          </cell>
          <cell r="AJ638" t="str">
            <v>INTERNE</v>
          </cell>
          <cell r="AK638" t="str">
            <v>INTERNE</v>
          </cell>
          <cell r="AL638" t="str">
            <v>/</v>
          </cell>
          <cell r="AM638" t="str">
            <v>Japon - Miyazaki</v>
          </cell>
        </row>
        <row r="639">
          <cell r="A639" t="str">
            <v>TV6472</v>
          </cell>
          <cell r="B639"/>
          <cell r="C639" t="str">
            <v>X</v>
          </cell>
          <cell r="D639" t="str">
            <v>x</v>
          </cell>
          <cell r="E639" t="str">
            <v>x</v>
          </cell>
          <cell r="F639" t="str">
            <v>GRAI</v>
          </cell>
          <cell r="G639">
            <v>45383</v>
          </cell>
          <cell r="H639" t="str">
            <v>LES GRANDS CLASSIQUES</v>
          </cell>
          <cell r="I639"/>
          <cell r="J639" t="str">
            <v>Sencha Top Quality</v>
          </cell>
          <cell r="K639" t="str">
            <v>/</v>
          </cell>
          <cell r="L639" t="str">
            <v>Thé vert d'origine</v>
          </cell>
          <cell r="M639" t="str">
            <v>Japon - Kagoshima</v>
          </cell>
          <cell r="N639" t="str">
            <v>AB</v>
          </cell>
          <cell r="O639" t="str">
            <v>/</v>
          </cell>
          <cell r="P639" t="str">
            <v>/</v>
          </cell>
          <cell r="Q639" t="str">
            <v>/</v>
          </cell>
          <cell r="R639" t="str">
            <v>/</v>
          </cell>
          <cell r="S639" t="str">
            <v>/</v>
          </cell>
          <cell r="T639" t="str">
            <v>Agriculture Japon</v>
          </cell>
          <cell r="U639"/>
          <cell r="V639" t="str">
            <v>Ce sencha aux feuilles élégantes d'une belle couleur émeraude se classe parmi les plus grands. Caractéristique des excellents thés verts du Japon, son arôme intense, son parfum fleuri et sa saveur délicieuse et sucrée imprègnent le palais. Se déguste pendant les moments de détente et de paix.</v>
          </cell>
          <cell r="W639"/>
          <cell r="X639" t="str">
            <v>Ce sencha de qualité supérieure offre tous les charmes que l’on attend du thé vert emblématique du Japon. Ses jolies feuilles roulées en fines aiguilles, d'une belle couleur émeraude, offrent une infusion souple dont on apprécie les saveurs fraîches, herbacées et légèrement sucrées.</v>
          </cell>
          <cell r="Y639"/>
          <cell r="Z639" t="str">
            <v>Ingrédient : thé vert*. *Issu de l'agriculture biologique.</v>
          </cell>
          <cell r="AA639" t="str">
            <v>/</v>
          </cell>
          <cell r="AB639" t="str">
            <v>/</v>
          </cell>
          <cell r="AC639">
            <v>100</v>
          </cell>
          <cell r="AD639" t="str">
            <v>2</v>
          </cell>
          <cell r="AE639">
            <v>65</v>
          </cell>
          <cell r="AF639">
            <v>2</v>
          </cell>
          <cell r="AG639">
            <v>50</v>
          </cell>
          <cell r="AH639">
            <v>3582810364727</v>
          </cell>
          <cell r="AI639" t="str">
            <v>/</v>
          </cell>
          <cell r="AJ639" t="str">
            <v>ETVN647</v>
          </cell>
          <cell r="AK639" t="str">
            <v>ETVN647V5</v>
          </cell>
          <cell r="AL639" t="str">
            <v>ETCVN6472V5</v>
          </cell>
          <cell r="AM639" t="str">
            <v>Japon - Miyazaki</v>
          </cell>
        </row>
        <row r="640">
          <cell r="A640" t="str">
            <v>TUTJ0756</v>
          </cell>
          <cell r="B640"/>
          <cell r="C640"/>
          <cell r="D640"/>
          <cell r="E640"/>
          <cell r="F640"/>
          <cell r="G640"/>
          <cell r="H640" t="str">
            <v>LES PRECIEUX DU JAPON ET DE TAIWAN</v>
          </cell>
          <cell r="I640"/>
          <cell r="J640" t="str">
            <v>Sencha Yamacha</v>
          </cell>
          <cell r="K640" t="str">
            <v>Rock garden 煎茶</v>
          </cell>
          <cell r="L640" t="str">
            <v>Thé vert d'origine</v>
          </cell>
          <cell r="M640" t="str">
            <v>Japon - Shizuoka</v>
          </cell>
          <cell r="N640" t="str">
            <v>/</v>
          </cell>
          <cell r="O640" t="str">
            <v>/</v>
          </cell>
          <cell r="P640" t="str">
            <v>/</v>
          </cell>
          <cell r="Q640" t="str">
            <v>/</v>
          </cell>
          <cell r="R640" t="str">
            <v>/</v>
          </cell>
          <cell r="S640" t="str">
            <v>/</v>
          </cell>
          <cell r="T640" t="str">
            <v>/</v>
          </cell>
          <cell r="U640"/>
          <cell r="V640" t="str">
            <v>C’est à flanc de montagne, sur un magnifique jardin en terrasse que des mains expertes récoltent minutieusement ce sencha produit en très petite quantité. Un thé de terroir qui bénéficie de conditions de culture exceptionnelles depuis trois générations. Au nez les fraîches fragrances herbacées et lactées sont soulignées par de délicats effluves de céréales et d’arachide légèrement torréfiés. La liqueur à la riche saveur umami tapisse la bouche tout en douceur. Un sencha aussi délicieux que précieux !</v>
          </cell>
          <cell r="W640" t="str">
            <v>S26</v>
          </cell>
          <cell r="X640" t="str">
            <v>C’est à flanc de montagne que des mains expertes récoltent minutieusement ce sencha unique produit en très petite quantité. Son nez est particulièrement frais et herbacé et sa liqueur à la riche saveur umami tapisse la bouche tout en douceur. Un thé vert aussi délicieux que précieux !</v>
          </cell>
          <cell r="Y640"/>
          <cell r="Z640" t="str">
            <v>Ingrédient : thé vert. Garanti sans résidus de pesticides.</v>
          </cell>
          <cell r="AA640" t="str">
            <v>/</v>
          </cell>
          <cell r="AB640" t="str">
            <v>/</v>
          </cell>
          <cell r="AC640">
            <v>50</v>
          </cell>
          <cell r="AD640" t="str">
            <v>2</v>
          </cell>
          <cell r="AE640">
            <v>75</v>
          </cell>
          <cell r="AF640">
            <v>2</v>
          </cell>
          <cell r="AG640">
            <v>25</v>
          </cell>
          <cell r="AH640">
            <v>3582810307564</v>
          </cell>
          <cell r="AI640" t="str">
            <v>Plusieurs infusions</v>
          </cell>
          <cell r="AJ640" t="str">
            <v>ETTUTJ0756</v>
          </cell>
          <cell r="AK640" t="str">
            <v>ETTUTJ0756V5</v>
          </cell>
          <cell r="AL640" t="str">
            <v>/</v>
          </cell>
          <cell r="AM640" t="str">
            <v>Japon - Umegashima</v>
          </cell>
        </row>
        <row r="641">
          <cell r="A641" t="str">
            <v>TV4327</v>
          </cell>
          <cell r="B641"/>
          <cell r="C641"/>
          <cell r="D641"/>
          <cell r="E641"/>
          <cell r="F641"/>
          <cell r="G641"/>
          <cell r="H641" t="str">
            <v>LES GRANDS CLASSIQUES</v>
          </cell>
          <cell r="I641"/>
          <cell r="J641" t="str">
            <v>Seogwang Sencha Spring</v>
          </cell>
          <cell r="K641" t="str">
            <v>봄의센차</v>
          </cell>
          <cell r="L641" t="str">
            <v>Thé vert d'origine</v>
          </cell>
          <cell r="M641" t="str">
            <v>Corée du Sud - Jeju-do</v>
          </cell>
          <cell r="N641" t="str">
            <v>AB</v>
          </cell>
          <cell r="O641" t="str">
            <v>/</v>
          </cell>
          <cell r="P641" t="str">
            <v>/</v>
          </cell>
          <cell r="Q641" t="str">
            <v>/</v>
          </cell>
          <cell r="R641" t="str">
            <v>/</v>
          </cell>
          <cell r="S641" t="str">
            <v>/</v>
          </cell>
          <cell r="T641" t="str">
            <v>Agriculture Corée du Sud</v>
          </cell>
          <cell r="U641"/>
          <cell r="V641" t="str">
            <v>Issue d’un petit paradis situé non loin de la péninsule sud-coréenne, cette récolte bénéficie d’un terroir et de conditions climatiques exceptionnelles. Sa saveur aux accents complexes dominée par des notes herbacées et fruitées, soulignées de nuances de fruits à coque, enveloppe délicatement le palais. Liqueur jaune vif, brillante, fraîche, pour un moment unique et original !</v>
          </cell>
          <cell r="W641" t="str">
            <v>S17</v>
          </cell>
          <cell r="X641" t="str">
            <v>Récolté au printemps sur l’île de Jeju, ce thé vert a bénéficié du sol riche et des conditions climatiques idéales de ce petit paradis sud-coréen. La tasse tout en nuances est dominée par des saveurs herbacées, minérales et fruitées qu’accompagnent avec gourmandise des notes de fruits à coque.</v>
          </cell>
          <cell r="Y641"/>
          <cell r="Z641" t="str">
            <v>Ingrédient : thé vert*. *Issu de l'agriculture biologique.</v>
          </cell>
          <cell r="AA641" t="str">
            <v>/</v>
          </cell>
          <cell r="AB641" t="str">
            <v>/</v>
          </cell>
          <cell r="AC641">
            <v>1</v>
          </cell>
          <cell r="AD641" t="str">
            <v>3-4</v>
          </cell>
          <cell r="AE641" t="str">
            <v>80-85</v>
          </cell>
          <cell r="AF641">
            <v>2</v>
          </cell>
          <cell r="AG641">
            <v>500</v>
          </cell>
          <cell r="AH641">
            <v>3582810343272</v>
          </cell>
          <cell r="AI641" t="str">
            <v>/</v>
          </cell>
          <cell r="AJ641" t="str">
            <v>INTERNE</v>
          </cell>
          <cell r="AK641" t="str">
            <v>INTERNE</v>
          </cell>
          <cell r="AL641" t="str">
            <v>/</v>
          </cell>
          <cell r="AM641" t="str">
            <v>Seogwang tea garden </v>
          </cell>
        </row>
        <row r="642">
          <cell r="A642" t="str">
            <v>TV4322</v>
          </cell>
          <cell r="B642"/>
          <cell r="C642" t="str">
            <v>X</v>
          </cell>
          <cell r="D642" t="str">
            <v>X</v>
          </cell>
          <cell r="E642" t="str">
            <v>X</v>
          </cell>
          <cell r="F642" t="str">
            <v>BRODART</v>
          </cell>
          <cell r="G642"/>
          <cell r="H642" t="str">
            <v>LES GRANDS CLASSIQUES</v>
          </cell>
          <cell r="I642"/>
          <cell r="J642" t="str">
            <v>Seogwang Sencha Spring</v>
          </cell>
          <cell r="K642" t="str">
            <v>봄의센차</v>
          </cell>
          <cell r="L642" t="str">
            <v>Thé vert d'origine</v>
          </cell>
          <cell r="M642" t="str">
            <v>Corée du Sud - Jeju-do</v>
          </cell>
          <cell r="N642" t="str">
            <v>AB</v>
          </cell>
          <cell r="O642" t="str">
            <v>/</v>
          </cell>
          <cell r="P642" t="str">
            <v>/</v>
          </cell>
          <cell r="Q642" t="str">
            <v>/</v>
          </cell>
          <cell r="R642" t="str">
            <v>/</v>
          </cell>
          <cell r="S642" t="str">
            <v>/</v>
          </cell>
          <cell r="T642" t="str">
            <v>Agriculture Corée du Sud</v>
          </cell>
          <cell r="U642"/>
          <cell r="V642" t="str">
            <v>Issue d’un petit paradis situé non loin de la péninsule sud-coréenne, cette récolte bénéficie d’un terroir et de conditions climatiques exceptionnelles. Sa saveur aux accents complexes dominée par des notes herbacées et fruitées, soulignées de nuances de fruits à coque, enveloppe délicatement le palais. Liqueur jaune vif, brillante, fraîche, pour un moment unique et original !</v>
          </cell>
          <cell r="W642" t="str">
            <v>S17</v>
          </cell>
          <cell r="X642" t="str">
            <v>Récolté au printemps sur l’île de Jeju, ce thé vert a bénéficié du sol riche et des conditions climatiques idéales de ce petit paradis sud-coréen. La tasse tout en nuances est dominée par des saveurs herbacées, minérales et fruitées qu’accompagnent avec gourmandise des notes de fruits à coque.</v>
          </cell>
          <cell r="Y642"/>
          <cell r="Z642" t="str">
            <v>Ingrédient : thé vert*. *Issu de l'agriculture biologique.</v>
          </cell>
          <cell r="AA642" t="str">
            <v>/</v>
          </cell>
          <cell r="AB642" t="str">
            <v>/</v>
          </cell>
          <cell r="AC642">
            <v>100</v>
          </cell>
          <cell r="AD642" t="str">
            <v>3-4</v>
          </cell>
          <cell r="AE642" t="str">
            <v>80-85</v>
          </cell>
          <cell r="AF642">
            <v>2</v>
          </cell>
          <cell r="AG642">
            <v>50</v>
          </cell>
          <cell r="AH642">
            <v>3582810343227</v>
          </cell>
          <cell r="AI642" t="str">
            <v>/</v>
          </cell>
          <cell r="AJ642" t="str">
            <v>ETVN432V5</v>
          </cell>
          <cell r="AK642" t="str">
            <v>ETVN432V5</v>
          </cell>
          <cell r="AL642" t="str">
            <v>ETCVN4322V5</v>
          </cell>
          <cell r="AM642" t="str">
            <v>Seogwang tea garden </v>
          </cell>
        </row>
        <row r="643">
          <cell r="A643" t="str">
            <v>TV4341</v>
          </cell>
          <cell r="B643"/>
          <cell r="C643"/>
          <cell r="D643"/>
          <cell r="E643"/>
          <cell r="F643"/>
          <cell r="G643"/>
          <cell r="H643" t="str">
            <v>LES GRANDS CLASSIQUES</v>
          </cell>
          <cell r="I643"/>
          <cell r="J643" t="str">
            <v>Seogwang Summer Green</v>
          </cell>
          <cell r="K643" t="str">
            <v>/</v>
          </cell>
          <cell r="L643" t="str">
            <v>Thé vert d'origine</v>
          </cell>
          <cell r="M643" t="str">
            <v>Corée du Sud - Jeju-do</v>
          </cell>
          <cell r="N643" t="str">
            <v>AB</v>
          </cell>
          <cell r="O643" t="str">
            <v>/</v>
          </cell>
          <cell r="P643" t="str">
            <v>/</v>
          </cell>
          <cell r="Q643" t="str">
            <v>/</v>
          </cell>
          <cell r="R643" t="str">
            <v>/</v>
          </cell>
          <cell r="S643" t="str">
            <v>/</v>
          </cell>
          <cell r="T643" t="str">
            <v>Agriculture Corée du Sud</v>
          </cell>
          <cell r="U643"/>
          <cell r="V643" t="str">
            <v>Cultivé à la manière des crus du Japon, ce thé aux feuilles estivales et matures, d’un beau vert brillant, libère un bouquet fruité, ponctué de notes marines et minérales rappelant son terroir. Colorée et lumineuse, sa tasse d’un bel équilibre est apaisante et enveloppante.</v>
          </cell>
          <cell r="W643" t="str">
            <v>S17</v>
          </cell>
          <cell r="X643" t="str">
            <v>Ce thé vert fruit d’une récolte estivale sur l’île volcanique de Jeju reflète toute la richesse de son terroir et en particulier la richesse en minéraux de son sol. Sa tasse lumineuse et d’un bel équilibre offre des arômes frais et fruités, ponctués de jolies de notes minérales et marines.</v>
          </cell>
          <cell r="Y643"/>
          <cell r="Z643" t="str">
            <v xml:space="preserve">Ingrédient : thé vert*. *Issu de l'agriculture biologique. </v>
          </cell>
          <cell r="AA643" t="str">
            <v>/</v>
          </cell>
          <cell r="AB643" t="str">
            <v>/</v>
          </cell>
          <cell r="AC643">
            <v>1.5</v>
          </cell>
          <cell r="AD643" t="str">
            <v>3</v>
          </cell>
          <cell r="AE643">
            <v>85</v>
          </cell>
          <cell r="AF643">
            <v>2</v>
          </cell>
          <cell r="AG643">
            <v>750</v>
          </cell>
          <cell r="AH643">
            <v>3582810343418</v>
          </cell>
          <cell r="AI643" t="str">
            <v>/</v>
          </cell>
          <cell r="AJ643" t="str">
            <v>INTERNE</v>
          </cell>
          <cell r="AK643" t="str">
            <v>INTERNE</v>
          </cell>
          <cell r="AL643" t="str">
            <v>/</v>
          </cell>
          <cell r="AM643" t="str">
            <v>Jangwon Ltd Seogwang</v>
          </cell>
        </row>
        <row r="644">
          <cell r="A644" t="str">
            <v>TV4342</v>
          </cell>
          <cell r="B644"/>
          <cell r="C644" t="str">
            <v>X</v>
          </cell>
          <cell r="D644" t="str">
            <v>X</v>
          </cell>
          <cell r="E644" t="str">
            <v>X</v>
          </cell>
          <cell r="F644" t="str">
            <v>BRODART</v>
          </cell>
          <cell r="G644"/>
          <cell r="H644" t="str">
            <v>LES GRANDS CLASSIQUES</v>
          </cell>
          <cell r="I644"/>
          <cell r="J644" t="str">
            <v>Seogwang Summer Green</v>
          </cell>
          <cell r="K644" t="str">
            <v>/</v>
          </cell>
          <cell r="L644" t="str">
            <v>Thé vert d'origine</v>
          </cell>
          <cell r="M644" t="str">
            <v>Corée du Sud - Jeju-do</v>
          </cell>
          <cell r="N644" t="str">
            <v>AB</v>
          </cell>
          <cell r="O644" t="str">
            <v>/</v>
          </cell>
          <cell r="P644" t="str">
            <v>/</v>
          </cell>
          <cell r="Q644" t="str">
            <v>/</v>
          </cell>
          <cell r="R644" t="str">
            <v>/</v>
          </cell>
          <cell r="S644" t="str">
            <v>/</v>
          </cell>
          <cell r="T644" t="str">
            <v>Agriculture Corée du Sud</v>
          </cell>
          <cell r="U644"/>
          <cell r="V644" t="str">
            <v>Cultivé à la manière des crus du Japon, ce thé aux feuilles estivales et matures, d’un beau vert brillant, libère un bouquet fruité, ponctué de notes marines et minérales rappelant son terroir. Colorée et lumineuse, sa tasse d’un bel équilibre est apaisante et enveloppante.</v>
          </cell>
          <cell r="W644" t="str">
            <v>S17</v>
          </cell>
          <cell r="X644" t="str">
            <v>Ce thé vert fruit d’une récolte estivale sur l’île volcanique de Jeju reflète toute la richesse de son terroir et en particulier la richesse en minéraux de son sol. Sa tasse lumineuse et d’un bel équilibre offre des arômes frais et fruités, ponctués de jolies de notes minérales et marines.</v>
          </cell>
          <cell r="Y644"/>
          <cell r="Z644" t="str">
            <v xml:space="preserve">Ingrédient : thé vert*. *Issu de l'agriculture biologique. </v>
          </cell>
          <cell r="AA644" t="str">
            <v>/</v>
          </cell>
          <cell r="AB644" t="str">
            <v>/</v>
          </cell>
          <cell r="AC644">
            <v>100</v>
          </cell>
          <cell r="AD644" t="str">
            <v>3</v>
          </cell>
          <cell r="AE644">
            <v>85</v>
          </cell>
          <cell r="AF644">
            <v>2</v>
          </cell>
          <cell r="AG644">
            <v>50</v>
          </cell>
          <cell r="AH644">
            <v>3582810343425</v>
          </cell>
          <cell r="AI644" t="str">
            <v>/</v>
          </cell>
          <cell r="AJ644" t="str">
            <v>ETVN434</v>
          </cell>
          <cell r="AK644" t="str">
            <v>ETVN434V5</v>
          </cell>
          <cell r="AL644" t="str">
            <v>ETCVN4342V5</v>
          </cell>
          <cell r="AM644" t="str">
            <v>Jangwon Ltd Seogwang</v>
          </cell>
        </row>
        <row r="645">
          <cell r="A645" t="str">
            <v>TJ0795</v>
          </cell>
          <cell r="B645"/>
          <cell r="C645"/>
          <cell r="D645"/>
          <cell r="E645"/>
          <cell r="F645"/>
          <cell r="G645"/>
          <cell r="H645" t="str">
            <v>LES GRAND CRUS</v>
          </cell>
          <cell r="I645"/>
          <cell r="J645" t="str">
            <v>Shincha Kagoshima</v>
          </cell>
          <cell r="K645" t="str">
            <v>5 May picking
cultivar Saemidori</v>
          </cell>
          <cell r="L645" t="str">
            <v>Thé vert du Japon</v>
          </cell>
          <cell r="M645" t="str">
            <v>Japon</v>
          </cell>
          <cell r="N645" t="str">
            <v>sans résidu de pesticides</v>
          </cell>
          <cell r="O645" t="str">
            <v>/</v>
          </cell>
          <cell r="P645" t="str">
            <v>/</v>
          </cell>
          <cell r="Q645" t="str">
            <v>/</v>
          </cell>
          <cell r="R645" t="str">
            <v>/</v>
          </cell>
          <cell r="S645" t="str">
            <v>/</v>
          </cell>
          <cell r="T645" t="str">
            <v>Agriculture Japon</v>
          </cell>
          <cell r="U645"/>
          <cell r="V645" t="str">
            <v>Superbe grand cru de printemps du Sud de l’île de Kyūshū au climat chaud et humide, qui se distingue par des saveurs végétales et iodées intenses accompagnées de notes de fruitées.</v>
          </cell>
          <cell r="W645" t="str">
            <v>S26</v>
          </cell>
          <cell r="X645" t="str">
            <v>Ce superbe sencha de printemps produit dans la préfecture de Kagoshima au sud de l’île de Kyūshū a bénéficié du climat chaud et humide de cette grande région productrice. Il se distingue par l’intensité de ses saveurs végétales et iodées agréablement accompagnées de notes fruitées.</v>
          </cell>
          <cell r="Y645"/>
          <cell r="Z645" t="str">
            <v>Ingrédient : thé vert. Garanti sans résidus de pesticides.</v>
          </cell>
          <cell r="AA645" t="str">
            <v>/</v>
          </cell>
          <cell r="AB645"/>
          <cell r="AC645">
            <v>50</v>
          </cell>
          <cell r="AD645" t="str">
            <v>2</v>
          </cell>
          <cell r="AE645">
            <v>70</v>
          </cell>
          <cell r="AF645">
            <v>2</v>
          </cell>
          <cell r="AG645">
            <v>25</v>
          </cell>
          <cell r="AH645" t="str">
            <v>358281570795X</v>
          </cell>
          <cell r="AI645"/>
          <cell r="AJ645"/>
          <cell r="AK645" t="str">
            <v>/</v>
          </cell>
          <cell r="AL645" t="str">
            <v>/</v>
          </cell>
          <cell r="AM645"/>
        </row>
        <row r="646">
          <cell r="A646" t="str">
            <v>TJ0885</v>
          </cell>
          <cell r="B646"/>
          <cell r="C646"/>
          <cell r="D646"/>
          <cell r="E646"/>
          <cell r="F646"/>
          <cell r="G646"/>
          <cell r="H646" t="str">
            <v>LES GRAND CRUS</v>
          </cell>
          <cell r="I646"/>
          <cell r="J646" t="str">
            <v>Shincha Miyasaki</v>
          </cell>
          <cell r="K646"/>
          <cell r="L646" t="str">
            <v>Thé vert du Japon</v>
          </cell>
          <cell r="M646" t="str">
            <v>Japon</v>
          </cell>
          <cell r="N646" t="str">
            <v>AB</v>
          </cell>
          <cell r="O646" t="str">
            <v>/</v>
          </cell>
          <cell r="P646" t="str">
            <v>/</v>
          </cell>
          <cell r="Q646" t="str">
            <v>/</v>
          </cell>
          <cell r="R646" t="str">
            <v>/</v>
          </cell>
          <cell r="S646" t="str">
            <v>/</v>
          </cell>
          <cell r="T646" t="str">
            <v>Agriculture Japon</v>
          </cell>
          <cell r="U646"/>
          <cell r="V646" t="str">
            <v>Né entre mer et montagne dans la préfecture de Miyazaki réputée pour la qualité de ses productions agricoles, ce sencha de printemps séduit par sa liqueur dense, très parfumée, d’un parfait équilibre entre des notes végétales légèrement astringentes et un caractère résolument fruité et gourmand.</v>
          </cell>
          <cell r="W646" t="str">
            <v>S26</v>
          </cell>
          <cell r="X646" t="str">
            <v>Né entre mer et montagne dans la préfecture de Miyazaki réputée pour la qualité de ses productions agricoles, ce sencha de printemps séduit par sa liqueur dense, très parfumée, d’un parfait équilibre entre des notes végétales légèrement astringentes et un caractère résolument fruité et gourmand.</v>
          </cell>
          <cell r="Y646"/>
          <cell r="Z646" t="str">
            <v>Ingrédient : thé vert*. *Issu de l’agriculture biologique.</v>
          </cell>
          <cell r="AA646" t="str">
            <v>/</v>
          </cell>
          <cell r="AB646"/>
          <cell r="AC646">
            <v>50</v>
          </cell>
          <cell r="AD646" t="str">
            <v>2</v>
          </cell>
          <cell r="AE646">
            <v>70</v>
          </cell>
          <cell r="AF646">
            <v>2</v>
          </cell>
          <cell r="AG646">
            <v>25</v>
          </cell>
          <cell r="AH646">
            <v>3582815708854</v>
          </cell>
          <cell r="AI646"/>
          <cell r="AJ646"/>
          <cell r="AK646" t="str">
            <v>/</v>
          </cell>
          <cell r="AL646" t="str">
            <v>/</v>
          </cell>
          <cell r="AM646"/>
        </row>
        <row r="647">
          <cell r="A647" t="str">
            <v>TJ0895</v>
          </cell>
          <cell r="B647"/>
          <cell r="C647"/>
          <cell r="D647"/>
          <cell r="E647"/>
          <cell r="F647"/>
          <cell r="G647"/>
          <cell r="H647" t="str">
            <v>LES GRAND CRUS</v>
          </cell>
          <cell r="I647"/>
          <cell r="J647" t="str">
            <v>Kamairicha Shincha Kabota</v>
          </cell>
          <cell r="K647"/>
          <cell r="L647" t="str">
            <v>Thé vert du Japon</v>
          </cell>
          <cell r="M647" t="str">
            <v>Japon</v>
          </cell>
          <cell r="N647" t="str">
            <v>AB</v>
          </cell>
          <cell r="O647" t="str">
            <v>/</v>
          </cell>
          <cell r="P647" t="str">
            <v>/</v>
          </cell>
          <cell r="Q647" t="str">
            <v>/</v>
          </cell>
          <cell r="R647" t="str">
            <v>/</v>
          </cell>
          <cell r="S647" t="str">
            <v>/</v>
          </cell>
          <cell r="T647" t="str">
            <v>Agriculture Japon</v>
          </cell>
          <cell r="U647"/>
          <cell r="V647" t="str">
            <v xml:space="preserve">Produit en très petite quantité, ce Kama-Iri Cha de printemps est issu d’une cuisson traditionnelle sur plaque chaude devenue très rare au Japon. 
La liqueur de ce thé vert précieux offre un superbe contraste entre des saveurs végétales et fruitées et de subtiles notes torréfiées. </v>
          </cell>
          <cell r="W647" t="str">
            <v>S26</v>
          </cell>
          <cell r="X647" t="str">
            <v xml:space="preserve">Produit en très petite quantité dans la région de Miyasaki, ce thé vert Kamairicha de printemps est issu d’une cuisson traditionnelle en cuves métalliques chaudes devenues très rares au Japon. Sa liqueur offre un superbe contraste entre des saveurs végétales et fruitées et de subtiles notes torréfiées. </v>
          </cell>
          <cell r="Y647"/>
          <cell r="Z647" t="str">
            <v>Ingrédient : thé vert*. *Issu de l’agriculture biologique.</v>
          </cell>
          <cell r="AA647" t="str">
            <v>/</v>
          </cell>
          <cell r="AB647"/>
          <cell r="AC647">
            <v>50</v>
          </cell>
          <cell r="AD647" t="str">
            <v>2</v>
          </cell>
          <cell r="AE647">
            <v>70</v>
          </cell>
          <cell r="AF647">
            <v>2</v>
          </cell>
          <cell r="AG647">
            <v>25</v>
          </cell>
          <cell r="AH647">
            <v>3582815708953</v>
          </cell>
          <cell r="AI647"/>
          <cell r="AJ647"/>
          <cell r="AK647" t="str">
            <v>/</v>
          </cell>
          <cell r="AL647" t="str">
            <v>/</v>
          </cell>
          <cell r="AM647"/>
        </row>
        <row r="648">
          <cell r="A648" t="str">
            <v>TJ0805</v>
          </cell>
          <cell r="B648"/>
          <cell r="C648"/>
          <cell r="D648"/>
          <cell r="E648"/>
          <cell r="F648"/>
          <cell r="G648"/>
          <cell r="H648" t="str">
            <v>LES GRAND CRUS</v>
          </cell>
          <cell r="I648"/>
          <cell r="J648" t="str">
            <v>Shincha Shizuoka</v>
          </cell>
          <cell r="K648" t="str">
            <v>6 May picking
cultivar Yabukita</v>
          </cell>
          <cell r="L648" t="str">
            <v>Thé vert du Japon</v>
          </cell>
          <cell r="M648" t="str">
            <v>Japon</v>
          </cell>
          <cell r="N648" t="str">
            <v>sans résidu de pesticides</v>
          </cell>
          <cell r="O648" t="str">
            <v>/</v>
          </cell>
          <cell r="P648" t="str">
            <v>/</v>
          </cell>
          <cell r="Q648" t="str">
            <v>/</v>
          </cell>
          <cell r="R648" t="str">
            <v>/</v>
          </cell>
          <cell r="S648" t="str">
            <v>/</v>
          </cell>
          <cell r="T648" t="str">
            <v>Agriculture Japon</v>
          </cell>
          <cell r="U648"/>
          <cell r="V648" t="str">
            <v>Thé vert primeur récolté dans la première région productrice du Japon. Sa liqueur grasse et particulièrement longue en bouche se caractérise par de jolies notes lactées et de fruits à coque.</v>
          </cell>
          <cell r="W648" t="str">
            <v>S26</v>
          </cell>
          <cell r="X648" t="str">
            <v>Ce thé vert primeur a été récolté dans la préfecture montagneuse de Shizuoka, pionnière du thé biologique au Japon. Sa liqueur grasse et particulièrement longue en bouche se caractérise par de jolies notes lactées et de fruits à coque d’une grande douceur.</v>
          </cell>
          <cell r="Y648"/>
          <cell r="Z648" t="str">
            <v>Ingrédient : thé vert. Garanti sans résidus de pesticides.</v>
          </cell>
          <cell r="AA648" t="str">
            <v>/</v>
          </cell>
          <cell r="AB648"/>
          <cell r="AC648">
            <v>50</v>
          </cell>
          <cell r="AD648" t="str">
            <v>2</v>
          </cell>
          <cell r="AE648">
            <v>70</v>
          </cell>
          <cell r="AF648">
            <v>2</v>
          </cell>
          <cell r="AG648">
            <v>25</v>
          </cell>
          <cell r="AH648" t="str">
            <v>358281570805X</v>
          </cell>
          <cell r="AI648"/>
          <cell r="AJ648"/>
          <cell r="AK648" t="str">
            <v>/</v>
          </cell>
          <cell r="AL648" t="str">
            <v>/</v>
          </cell>
          <cell r="AM648"/>
        </row>
        <row r="649">
          <cell r="A649" t="str">
            <v>TJ0825</v>
          </cell>
          <cell r="B649"/>
          <cell r="C649"/>
          <cell r="D649"/>
          <cell r="E649"/>
          <cell r="F649"/>
          <cell r="G649"/>
          <cell r="H649" t="str">
            <v>LES GRAND CRUS</v>
          </cell>
          <cell r="I649"/>
          <cell r="J649" t="str">
            <v>Shincha Uji</v>
          </cell>
          <cell r="K649" t="str">
            <v>10 May picking
cultivar Yabukita</v>
          </cell>
          <cell r="L649" t="str">
            <v>Thé vert du Japon</v>
          </cell>
          <cell r="M649" t="str">
            <v>Japon</v>
          </cell>
          <cell r="N649" t="str">
            <v>sans résidu de pesticides</v>
          </cell>
          <cell r="O649" t="str">
            <v>/</v>
          </cell>
          <cell r="P649" t="str">
            <v>/</v>
          </cell>
          <cell r="Q649" t="str">
            <v>/</v>
          </cell>
          <cell r="R649" t="str">
            <v>/</v>
          </cell>
          <cell r="S649" t="str">
            <v>/</v>
          </cell>
          <cell r="T649" t="str">
            <v>Agriculture Japon</v>
          </cell>
          <cell r="U649"/>
          <cell r="V649" t="str">
            <v>Belle récolte primeur à la saveur umami caractéristique des thés d’Uji. En bouche la liqueur dense et grasse développe de succulentes notes végétales et sucrées.</v>
          </cell>
          <cell r="W649" t="str">
            <v>S26</v>
          </cell>
          <cell r="X649" t="str">
            <v>Cette belle récolte primeur offre des saveurs « umami » caractéristiques des thés verts de la région d’Uji, le berceau des thés ombrés et du sencha au Japon. Sa liqueur dense et grasse développe de succulentes notes végétales et sucrées particulièrement longues en bouche.</v>
          </cell>
          <cell r="Y649"/>
          <cell r="Z649" t="str">
            <v>Ingrédient : thé vert. Garanti sans résidus de pesticides.</v>
          </cell>
          <cell r="AA649" t="str">
            <v>/</v>
          </cell>
          <cell r="AB649"/>
          <cell r="AC649">
            <v>50</v>
          </cell>
          <cell r="AD649" t="str">
            <v>2</v>
          </cell>
          <cell r="AE649">
            <v>70</v>
          </cell>
          <cell r="AF649">
            <v>2</v>
          </cell>
          <cell r="AG649">
            <v>25</v>
          </cell>
          <cell r="AH649" t="str">
            <v>358281570825X</v>
          </cell>
          <cell r="AI649"/>
          <cell r="AJ649"/>
          <cell r="AK649" t="str">
            <v>/</v>
          </cell>
          <cell r="AL649" t="str">
            <v>/</v>
          </cell>
          <cell r="AM649"/>
        </row>
        <row r="650">
          <cell r="A650" t="str">
            <v>TO4161</v>
          </cell>
          <cell r="B650"/>
          <cell r="C650"/>
          <cell r="D650"/>
          <cell r="E650"/>
          <cell r="F650"/>
          <cell r="G650"/>
          <cell r="H650" t="str">
            <v>LES GRANDS CLASSIQUES</v>
          </cell>
          <cell r="I650"/>
          <cell r="J650" t="str">
            <v>Shui Hsien Supérieur</v>
          </cell>
          <cell r="K650" t="str">
            <v>Fée des eaux</v>
          </cell>
          <cell r="L650" t="str">
            <v>Thé wulong d'origine</v>
          </cell>
          <cell r="M650" t="str">
            <v>Chine - Zhejiang</v>
          </cell>
          <cell r="N650" t="str">
            <v>AB</v>
          </cell>
          <cell r="O650" t="str">
            <v>WFTO</v>
          </cell>
          <cell r="P650" t="str">
            <v>/</v>
          </cell>
          <cell r="Q650" t="str">
            <v>/</v>
          </cell>
          <cell r="R650" t="str">
            <v>/</v>
          </cell>
          <cell r="S650" t="str">
            <v>/</v>
          </cell>
          <cell r="T650" t="str">
            <v>Agriculture Chine</v>
          </cell>
          <cell r="U650"/>
          <cell r="V650" t="str">
            <v>Comme sorti d’un livre de mythologie, ce thé de roche aux belles feuilles torsadées nous emporte au cœur de la tradition chinoise. Son goût unique, mélange de musc et de miel, naviguant dans les notes grillées, un peu fleuries, laisse en bouche une sensation de douceur. Beau thé à déguster !</v>
          </cell>
          <cell r="W650" t="str">
            <v>S17</v>
          </cell>
          <cell r="X650" t="str">
            <v>Comme sorti d’un livre de mythologie, ce thé wulong aux belles feuilles torsadées nous emporte au cœur de la tradition chinoise. Son goût unique, mélange de musc et de miel, sur un fond de notes florales et torréfiées laisse en bouche une belle sensation de douceur. Un grand cru à savourer !</v>
          </cell>
          <cell r="Y650"/>
          <cell r="Z650" t="str">
            <v>Ingrédient : thé wulong*. *Issu de l'agriculture biologique.</v>
          </cell>
          <cell r="AA650" t="str">
            <v>/</v>
          </cell>
          <cell r="AB650" t="str">
            <v>Membre certifié World Fair Trade Organization, Les Jardins de Gaïa s’engagent pour un commerce plus juste et répondent aux exigences du commerce équitable. Pour en savoir plus : www.wfto.com.</v>
          </cell>
          <cell r="AC650">
            <v>1.5</v>
          </cell>
          <cell r="AD650" t="str">
            <v>3-4</v>
          </cell>
          <cell r="AE650">
            <v>95</v>
          </cell>
          <cell r="AF650">
            <v>2</v>
          </cell>
          <cell r="AG650">
            <v>750</v>
          </cell>
          <cell r="AH650">
            <v>3582810741610</v>
          </cell>
          <cell r="AI650" t="str">
            <v>/</v>
          </cell>
          <cell r="AJ650" t="str">
            <v>INTERNE</v>
          </cell>
          <cell r="AK650" t="str">
            <v>INTERNE</v>
          </cell>
          <cell r="AL650" t="str">
            <v>/</v>
          </cell>
          <cell r="AM650" t="str">
            <v>Dazhangshan Organic Tea Farmer Association</v>
          </cell>
        </row>
        <row r="651">
          <cell r="A651" t="str">
            <v>TO4162</v>
          </cell>
          <cell r="B651"/>
          <cell r="C651" t="str">
            <v>X</v>
          </cell>
          <cell r="D651" t="str">
            <v>X</v>
          </cell>
          <cell r="E651" t="str">
            <v>X</v>
          </cell>
          <cell r="F651" t="str">
            <v>BRODART</v>
          </cell>
          <cell r="G651"/>
          <cell r="H651" t="str">
            <v>LES GRANDS CLASSIQUES</v>
          </cell>
          <cell r="I651"/>
          <cell r="J651" t="str">
            <v>Shui Hsien Supérieur</v>
          </cell>
          <cell r="K651" t="str">
            <v>Fée des eaux</v>
          </cell>
          <cell r="L651" t="str">
            <v>Thé wulong d'origine</v>
          </cell>
          <cell r="M651" t="str">
            <v>Chine - Zhejiang</v>
          </cell>
          <cell r="N651" t="str">
            <v>AB</v>
          </cell>
          <cell r="O651" t="str">
            <v>WFTO</v>
          </cell>
          <cell r="P651" t="str">
            <v>/</v>
          </cell>
          <cell r="Q651" t="str">
            <v>/</v>
          </cell>
          <cell r="R651" t="str">
            <v>/</v>
          </cell>
          <cell r="S651" t="str">
            <v>/</v>
          </cell>
          <cell r="T651" t="str">
            <v>Agriculture Chine</v>
          </cell>
          <cell r="U651"/>
          <cell r="V651" t="str">
            <v>Comme sorti d’un livre de mythologie, ce thé de roche aux belles feuilles torsadées nous emporte au cœur de la tradition chinoise. Son goût unique, mélange de musc et de miel, naviguant dans les notes grillées, un peu fleuries, laisse en bouche une sensation de douceur. Beau thé à déguster !</v>
          </cell>
          <cell r="W651" t="str">
            <v>S17</v>
          </cell>
          <cell r="X651" t="str">
            <v>Comme sorti d’un livre de mythologie, ce thé wulong aux belles feuilles torsadées nous emporte au cœur de la tradition chinoise. Son goût unique, mélange de musc et de miel, sur un fond de notes florales et torréfiées laisse en bouche une belle sensation de douceur. Un grand cru à savourer !</v>
          </cell>
          <cell r="Y651"/>
          <cell r="Z651" t="str">
            <v>Ingrédient : thé wulong*. *Issu de l'agriculture biologique.</v>
          </cell>
          <cell r="AA651" t="str">
            <v>/</v>
          </cell>
          <cell r="AB651" t="str">
            <v>Membre certifié World Fair Trade Organization, Les Jardins de Gaïa s’engagent pour un commerce plus juste et répondent aux exigences du commerce équitable. Pour en savoir plus : www.wfto.com.</v>
          </cell>
          <cell r="AC651">
            <v>100</v>
          </cell>
          <cell r="AD651" t="str">
            <v>3-4</v>
          </cell>
          <cell r="AE651">
            <v>95</v>
          </cell>
          <cell r="AF651">
            <v>2</v>
          </cell>
          <cell r="AG651">
            <v>50</v>
          </cell>
          <cell r="AH651">
            <v>3582810741627</v>
          </cell>
          <cell r="AI651" t="str">
            <v>/</v>
          </cell>
          <cell r="AJ651" t="str">
            <v>ETON4162</v>
          </cell>
          <cell r="AK651" t="str">
            <v>ETON4162V5</v>
          </cell>
          <cell r="AL651" t="str">
            <v>ETCON4162V5</v>
          </cell>
          <cell r="AM651" t="str">
            <v>Dazhangshan Organic Tea Farmer Association</v>
          </cell>
        </row>
        <row r="652">
          <cell r="A652" t="str">
            <v>TJ0766</v>
          </cell>
          <cell r="B652"/>
          <cell r="C652"/>
          <cell r="D652"/>
          <cell r="E652"/>
          <cell r="F652"/>
          <cell r="G652"/>
          <cell r="H652" t="str">
            <v>LES PRECIEUX DU JAPON ET DE TAIWAN</v>
          </cell>
          <cell r="I652" t="str">
            <v>Matcha</v>
          </cell>
          <cell r="J652" t="str">
            <v>Silver Matcha</v>
          </cell>
          <cell r="K652" t="str">
            <v>抹茶</v>
          </cell>
          <cell r="L652" t="str">
            <v>Matcha</v>
          </cell>
          <cell r="M652" t="str">
            <v>Japon - Ujitawara</v>
          </cell>
          <cell r="N652" t="str">
            <v>AB</v>
          </cell>
          <cell r="O652" t="str">
            <v>/</v>
          </cell>
          <cell r="P652" t="str">
            <v>/</v>
          </cell>
          <cell r="Q652" t="str">
            <v>/</v>
          </cell>
          <cell r="R652" t="str">
            <v>/</v>
          </cell>
          <cell r="S652" t="str">
            <v>/</v>
          </cell>
          <cell r="T652" t="str">
            <v>Agriculture Japon</v>
          </cell>
          <cell r="U652"/>
          <cell r="V652" t="str">
            <v>Ce superbe matcha de dégustation d’un beau vert intense ravira les amateurs de thé doux et subtil. Sa liqueur onctueuse et aérienne, d’une grande richesse aromatique, est d’un équilibre parfait. Avec ses délicieux arômes de beurre salé, de fruits à coque, suivi d’une note à la fois lactée et chocolatée, il laisse en bouche une impression particulièrement gourmande et intense. Un grand matcha !</v>
          </cell>
          <cell r="W652" t="str">
            <v>S26</v>
          </cell>
          <cell r="X652" t="str">
            <v>Ce thé matcha de dégustation d’un vert intense est fait pour les amateurs d’équilibre, de douceur et de subtilité. Sa liqueur onctueuse et aérienne se caractérise par de délicieux arômes de beurre salé et de fruits à coque, suivis d’une note à la fois lactée et chocolatée. Une superbe expérience gustative !</v>
          </cell>
          <cell r="Y652"/>
          <cell r="Z652" t="str">
            <v xml:space="preserve">Ingrédient : thé vert*. *Issu de l’agriculture biologique. </v>
          </cell>
          <cell r="AA652" t="str">
            <v>/</v>
          </cell>
          <cell r="AB652" t="str">
            <v>/</v>
          </cell>
          <cell r="AC652">
            <v>20</v>
          </cell>
          <cell r="AD652" t="str">
            <v>60 sec</v>
          </cell>
          <cell r="AE652">
            <v>75</v>
          </cell>
          <cell r="AF652">
            <v>2</v>
          </cell>
          <cell r="AG652">
            <v>10</v>
          </cell>
          <cell r="AH652">
            <v>3582810307663</v>
          </cell>
          <cell r="AI652" t="str">
            <v>Thé battu</v>
          </cell>
          <cell r="AJ652" t="str">
            <v>ETTJ0766</v>
          </cell>
          <cell r="AK652" t="str">
            <v>ETTJ0766V5</v>
          </cell>
          <cell r="AL652" t="str">
            <v>/</v>
          </cell>
          <cell r="AM652" t="str">
            <v>Japon - Kagoshima</v>
          </cell>
        </row>
        <row r="653">
          <cell r="A653" t="str">
            <v>TB7155</v>
          </cell>
          <cell r="B653"/>
          <cell r="C653"/>
          <cell r="D653"/>
          <cell r="E653"/>
          <cell r="F653"/>
          <cell r="G653"/>
          <cell r="H653" t="str">
            <v>LES GRAND CRUS</v>
          </cell>
          <cell r="I653"/>
          <cell r="J653" t="str">
            <v>Silver Needle</v>
          </cell>
          <cell r="K653" t="str">
            <v>Aiguilles d'argent
Yin Zhen 银针</v>
          </cell>
          <cell r="L653" t="str">
            <v>Thé blanc Mingqian</v>
          </cell>
          <cell r="M653" t="str">
            <v>Chine - Hunan</v>
          </cell>
          <cell r="N653" t="str">
            <v>AB</v>
          </cell>
          <cell r="O653" t="str">
            <v>WFTO</v>
          </cell>
          <cell r="P653" t="str">
            <v>/</v>
          </cell>
          <cell r="Q653" t="str">
            <v>/</v>
          </cell>
          <cell r="R653" t="str">
            <v>/</v>
          </cell>
          <cell r="S653" t="str">
            <v>/</v>
          </cell>
          <cell r="T653" t="str">
            <v>Agriculture Chine</v>
          </cell>
          <cell r="U653"/>
          <cell r="V653" t="str">
            <v>Thé blanc prestigieux. Récolte sélective des premiers jours de printemps. Notes : sucrées, lactées, boisées.</v>
          </cell>
          <cell r="W653" t="str">
            <v>x</v>
          </cell>
          <cell r="X653"/>
          <cell r="Y653"/>
          <cell r="Z653" t="str">
            <v xml:space="preserve">Ingrédient : thé blanc*. *Issu de l'agriculture biologique. </v>
          </cell>
          <cell r="AA653" t="str">
            <v>/</v>
          </cell>
          <cell r="AB653" t="str">
            <v>Membre certifié World Fair Trade Organization, Les Jardins de Gaïa s’engagent pour un commerce plus juste et répondent aux exigences du commerce équitable. Pour en savoir plus : www.wfto.com.</v>
          </cell>
          <cell r="AC653">
            <v>500</v>
          </cell>
          <cell r="AD653" t="str">
            <v>3-4</v>
          </cell>
          <cell r="AE653">
            <v>85</v>
          </cell>
          <cell r="AF653">
            <v>2</v>
          </cell>
          <cell r="AG653">
            <v>250</v>
          </cell>
          <cell r="AH653">
            <v>3582810671559</v>
          </cell>
          <cell r="AI653" t="str">
            <v>Plusieurs infusions</v>
          </cell>
          <cell r="AJ653" t="str">
            <v>INTERNE</v>
          </cell>
          <cell r="AK653" t="str">
            <v>INTERNE</v>
          </cell>
          <cell r="AL653" t="str">
            <v>/</v>
          </cell>
          <cell r="AM653" t="str">
            <v>Cangyuan Yisheng Organic Tea Specialized Cooperative</v>
          </cell>
        </row>
        <row r="654">
          <cell r="A654" t="str">
            <v>TB7156</v>
          </cell>
          <cell r="B654"/>
          <cell r="C654"/>
          <cell r="D654"/>
          <cell r="E654"/>
          <cell r="F654"/>
          <cell r="G654"/>
          <cell r="H654" t="str">
            <v>LES GRAND CRUS</v>
          </cell>
          <cell r="I654"/>
          <cell r="J654" t="str">
            <v>Silver Needle</v>
          </cell>
          <cell r="K654" t="str">
            <v>Aiguilles d'argent
Yin Zhen 银针</v>
          </cell>
          <cell r="L654" t="str">
            <v>Thé blanc Mingqian</v>
          </cell>
          <cell r="M654" t="str">
            <v>Chine - Hunan</v>
          </cell>
          <cell r="N654" t="str">
            <v>AB</v>
          </cell>
          <cell r="O654" t="str">
            <v>WFTO</v>
          </cell>
          <cell r="P654" t="str">
            <v>/</v>
          </cell>
          <cell r="Q654" t="str">
            <v>/</v>
          </cell>
          <cell r="R654" t="str">
            <v>/</v>
          </cell>
          <cell r="S654" t="str">
            <v>/</v>
          </cell>
          <cell r="T654" t="str">
            <v>Agriculture Chine</v>
          </cell>
          <cell r="U654"/>
          <cell r="V654" t="str">
            <v>Thé blanc prestigieux. Récolte sélective des premiers jours de printemps. Notes : sucrées, lactées, boisées.</v>
          </cell>
          <cell r="W654" t="str">
            <v>x</v>
          </cell>
          <cell r="X654"/>
          <cell r="Y654"/>
          <cell r="Z654" t="str">
            <v xml:space="preserve">Ingrédient : thé blanc*. *Issu de l'agriculture biologique. </v>
          </cell>
          <cell r="AA654" t="str">
            <v>/</v>
          </cell>
          <cell r="AB654" t="str">
            <v>Membre certifié World Fair Trade Organization, Les Jardins de Gaïa s’engagent pour un commerce plus juste et répondent aux exigences du commerce équitable. Pour en savoir plus : www.wfto.com.</v>
          </cell>
          <cell r="AC654">
            <v>50</v>
          </cell>
          <cell r="AD654" t="str">
            <v>3-4</v>
          </cell>
          <cell r="AE654">
            <v>85</v>
          </cell>
          <cell r="AF654">
            <v>2</v>
          </cell>
          <cell r="AG654">
            <v>25</v>
          </cell>
          <cell r="AH654">
            <v>3582810671566</v>
          </cell>
          <cell r="AI654" t="str">
            <v>Plusieurs infusions</v>
          </cell>
          <cell r="AJ654" t="str">
            <v>ETBN715FF22</v>
          </cell>
          <cell r="AK654" t="str">
            <v>ETBN715FF22V5</v>
          </cell>
          <cell r="AL654" t="str">
            <v>Q de tube</v>
          </cell>
          <cell r="AM654" t="str">
            <v>Cangyuan Yisheng Organic Tea Specialized Cooperative</v>
          </cell>
        </row>
        <row r="655">
          <cell r="A655" t="str">
            <v>TN2235</v>
          </cell>
          <cell r="B655"/>
          <cell r="C655"/>
          <cell r="D655"/>
          <cell r="E655"/>
          <cell r="F655"/>
          <cell r="G655"/>
          <cell r="H655" t="str">
            <v>LES GRAND CRUS</v>
          </cell>
          <cell r="I655"/>
          <cell r="J655" t="str">
            <v>Singell Heritage</v>
          </cell>
          <cell r="K655" t="str">
            <v>FTGFOP1 FF 
Jardin de Singell - Ex. 12.04.2023
cultivar China</v>
          </cell>
          <cell r="L655" t="str">
            <v>Thé noir primeur</v>
          </cell>
          <cell r="M655" t="str">
            <v>Inde - Darjeeling - Singell garden</v>
          </cell>
          <cell r="N655" t="str">
            <v>AB</v>
          </cell>
          <cell r="O655" t="str">
            <v>WFTO</v>
          </cell>
          <cell r="P655" t="str">
            <v>/</v>
          </cell>
          <cell r="Q655" t="str">
            <v>/</v>
          </cell>
          <cell r="R655" t="str">
            <v>IGP</v>
          </cell>
          <cell r="S655" t="str">
            <v>/</v>
          </cell>
          <cell r="T655" t="str">
            <v>Agriculture Inde</v>
          </cell>
          <cell r="U655"/>
          <cell r="V655" t="str">
            <v>Primeur rare issu des plus anciens théiers du jardin de Singell. Notes : Notes printanières intenses, légumes verts cuits (haricots verts), notes fruitées et sucrées en fin de bouche.</v>
          </cell>
          <cell r="W655" t="str">
            <v>S22</v>
          </cell>
          <cell r="X655" t="str">
            <v>Fruit d'une cueillette printanière sur les théiers les plus anciens du jardin de Singell, ce thé noir représente la noblesse de son lieu de naissance. Il séduit par le contraste entre ses saveurs fraîches évoquant des légumes verts primeurs et ses notes finales fruitées et sucrées tout en rondeur.
Texte court : Primeur rare issu des plus anciens théiers du jardin de Singell. Notes : légumes verts printaniers cuits (haricots verts), notes fruitées et sucrées en fin de bouche.</v>
          </cell>
          <cell r="Y655"/>
          <cell r="Z655" t="str">
            <v>Ingrédient : thé noir*. *Issu de l'agriculture biologique.</v>
          </cell>
          <cell r="AA655" t="str">
            <v>/</v>
          </cell>
          <cell r="AB655" t="str">
            <v>Membre certifié World Fair Trade Organization, Les Jardins de Gaïa s’engagent pour un commerce plus juste et répondent aux exigences du commerce équitable. Pour en savoir plus : www.wfto.com.</v>
          </cell>
          <cell r="AC655">
            <v>500</v>
          </cell>
          <cell r="AD655" t="str">
            <v>3</v>
          </cell>
          <cell r="AE655">
            <v>90</v>
          </cell>
          <cell r="AF655">
            <v>2</v>
          </cell>
          <cell r="AG655">
            <v>250</v>
          </cell>
          <cell r="AH655">
            <v>3582810222355</v>
          </cell>
          <cell r="AI655" t="str">
            <v>/</v>
          </cell>
          <cell r="AJ655" t="str">
            <v>INTERNE</v>
          </cell>
          <cell r="AK655" t="str">
            <v>INTERNE</v>
          </cell>
          <cell r="AL655" t="str">
            <v>/</v>
          </cell>
          <cell r="AM655" t="str">
            <v>Singell Tea Estate</v>
          </cell>
        </row>
        <row r="656">
          <cell r="A656" t="str">
            <v>TN2236</v>
          </cell>
          <cell r="B656"/>
          <cell r="C656"/>
          <cell r="D656"/>
          <cell r="E656"/>
          <cell r="F656"/>
          <cell r="G656"/>
          <cell r="H656" t="str">
            <v>LES GRAND CRUS</v>
          </cell>
          <cell r="I656"/>
          <cell r="J656" t="str">
            <v>Singell Heritage</v>
          </cell>
          <cell r="K656" t="str">
            <v>FTGFOP1 FF 
Jardin de Singell - Ex. 12.04.2023
cultivar China</v>
          </cell>
          <cell r="L656" t="str">
            <v>Thé noir primeur</v>
          </cell>
          <cell r="M656" t="str">
            <v>Inde - Darjeeling - Singell garden</v>
          </cell>
          <cell r="N656" t="str">
            <v>AB</v>
          </cell>
          <cell r="O656" t="str">
            <v>WFTO</v>
          </cell>
          <cell r="P656" t="str">
            <v>/</v>
          </cell>
          <cell r="Q656" t="str">
            <v>/</v>
          </cell>
          <cell r="R656" t="str">
            <v>IGP</v>
          </cell>
          <cell r="S656" t="str">
            <v>/</v>
          </cell>
          <cell r="T656" t="str">
            <v>Agriculture Inde</v>
          </cell>
          <cell r="U656"/>
          <cell r="V656" t="str">
            <v>Primeur rare issu des plus anciens théiers du jardin de Singell. Notes : Notes printanières intenses, légumes verts cuits (haricots verts), notes fruitées et sucrées en fin de bouche.</v>
          </cell>
          <cell r="W656" t="str">
            <v>S22</v>
          </cell>
          <cell r="X656" t="str">
            <v>Fruit d'une cueillette printanière sur les théiers les plus anciens du jardin de Singell, ce thé noir représente la noblesse de son lieu de naissance. Il séduit par le contraste entre ses saveurs fraîches évoquant des légumes verts primeurs et ses notes finales fruitées et sucrées tout en rondeur.
Texte court : Primeur rare issu des plus anciens théiers du jardin de Singell. Notes : légumes verts printaniers cuits (haricots verts), notes fruitées et sucrées en fin de bouche.</v>
          </cell>
          <cell r="Y656"/>
          <cell r="Z656" t="str">
            <v>Ingrédient : thé noir*. *Issu de l'agriculture biologique.</v>
          </cell>
          <cell r="AA656" t="str">
            <v>/</v>
          </cell>
          <cell r="AB656" t="str">
            <v>Membre certifié World Fair Trade Organization, Les Jardins de Gaïa s’engagent pour un commerce plus juste et répondent aux exigences du commerce équitable. Pour en savoir plus : www.wfto.com.</v>
          </cell>
          <cell r="AC656">
            <v>50</v>
          </cell>
          <cell r="AD656" t="str">
            <v>3</v>
          </cell>
          <cell r="AE656">
            <v>90</v>
          </cell>
          <cell r="AF656">
            <v>2</v>
          </cell>
          <cell r="AG656">
            <v>25</v>
          </cell>
          <cell r="AH656">
            <v>3582810222362</v>
          </cell>
          <cell r="AI656" t="str">
            <v>/</v>
          </cell>
          <cell r="AJ656" t="str">
            <v>ETNN223FF22</v>
          </cell>
          <cell r="AK656" t="str">
            <v>ETNN223FF22V5</v>
          </cell>
          <cell r="AL656" t="str">
            <v>Q de tube</v>
          </cell>
          <cell r="AM656" t="str">
            <v>Singell Tea Estate</v>
          </cell>
        </row>
        <row r="657">
          <cell r="A657" t="str">
            <v>TN5215</v>
          </cell>
          <cell r="B657"/>
          <cell r="C657"/>
          <cell r="D657"/>
          <cell r="E657"/>
          <cell r="F657"/>
          <cell r="G657"/>
          <cell r="H657" t="str">
            <v>LES GRAND CRUS</v>
          </cell>
          <cell r="I657"/>
          <cell r="J657" t="str">
            <v>Singell Malt</v>
          </cell>
          <cell r="K657" t="str">
            <v>FTGFOP1 SF</v>
          </cell>
          <cell r="L657" t="str">
            <v>Thé noir</v>
          </cell>
          <cell r="M657" t="str">
            <v>Inde - Darjeeling</v>
          </cell>
          <cell r="N657" t="str">
            <v>AB</v>
          </cell>
          <cell r="O657" t="str">
            <v>WFTO</v>
          </cell>
          <cell r="P657" t="str">
            <v>/</v>
          </cell>
          <cell r="Q657" t="str">
            <v>/</v>
          </cell>
          <cell r="R657" t="str">
            <v>IGP</v>
          </cell>
          <cell r="S657" t="str">
            <v>/</v>
          </cell>
          <cell r="T657" t="str">
            <v>Agriculture Inde</v>
          </cell>
          <cell r="U657"/>
          <cell r="V657" t="str">
            <v>Édition limitée célébrant les 150 ans du jardin de Singell. Récolte sur les théiers historiques du jardin. Notes fruitées, vanillées et maltées intenses. Long en bouche.</v>
          </cell>
          <cell r="W657" t="str">
            <v>S22</v>
          </cell>
          <cell r="X657" t="str">
            <v>Issu d’une récolte estivale, ce noble thé noir produit en édition limitée célèbre les 150 ans du jardin de Singell qui fut l’un des premiers à naître dans le Darjeeling en 1871. Il se caractérise par sa liqueur dense aux saveurs de malt et de raisin de Corinthe et sa finale vanillée intense.
Texte court : Édition limitée célébrant les 150 ans du jardin de Singell. Récolte sur les théiers historique. Notes de raisin de Corinthe, de malt et de vanille intenses. Long en bouche.</v>
          </cell>
          <cell r="Y657"/>
          <cell r="Z657" t="str">
            <v>Ingrédient : thé noir*. *Issu de l'agriculture biologique.</v>
          </cell>
          <cell r="AA657" t="str">
            <v>/</v>
          </cell>
          <cell r="AB657" t="str">
            <v>/</v>
          </cell>
          <cell r="AC657">
            <v>500</v>
          </cell>
          <cell r="AD657" t="str">
            <v>3-4</v>
          </cell>
          <cell r="AE657">
            <v>95</v>
          </cell>
          <cell r="AF657">
            <v>2</v>
          </cell>
          <cell r="AG657">
            <v>250</v>
          </cell>
          <cell r="AH657">
            <v>3582810252154</v>
          </cell>
          <cell r="AI657" t="str">
            <v>/</v>
          </cell>
          <cell r="AJ657" t="str">
            <v>INTERNE</v>
          </cell>
          <cell r="AK657" t="str">
            <v>INTERNE</v>
          </cell>
          <cell r="AL657" t="str">
            <v>/</v>
          </cell>
          <cell r="AM657" t="str">
            <v>Singell Tea Estate</v>
          </cell>
        </row>
        <row r="658">
          <cell r="A658" t="str">
            <v>TN5212</v>
          </cell>
          <cell r="B658"/>
          <cell r="C658"/>
          <cell r="D658"/>
          <cell r="E658"/>
          <cell r="F658"/>
          <cell r="G658"/>
          <cell r="H658" t="str">
            <v>LES GRAND CRUS</v>
          </cell>
          <cell r="I658"/>
          <cell r="J658" t="str">
            <v>Singell Malt</v>
          </cell>
          <cell r="K658" t="str">
            <v>FTGFOP1 SF</v>
          </cell>
          <cell r="L658" t="str">
            <v>Thé noir</v>
          </cell>
          <cell r="M658" t="str">
            <v>Inde - Darjeeling</v>
          </cell>
          <cell r="N658" t="str">
            <v>AB</v>
          </cell>
          <cell r="O658" t="str">
            <v>WFTO</v>
          </cell>
          <cell r="P658" t="str">
            <v>/</v>
          </cell>
          <cell r="Q658" t="str">
            <v>/</v>
          </cell>
          <cell r="R658" t="str">
            <v>IGP</v>
          </cell>
          <cell r="S658" t="str">
            <v>/</v>
          </cell>
          <cell r="T658" t="str">
            <v>Agriculture Inde</v>
          </cell>
          <cell r="U658"/>
          <cell r="V658" t="str">
            <v>Récolte exceptionnelle en gelées hivernales. Notes : bois exotique, miel, caramel, fruits jaunes.</v>
          </cell>
          <cell r="W658" t="str">
            <v>S22</v>
          </cell>
          <cell r="X658" t="str">
            <v>Issu d’une récolte estivale, ce noble thé noir produit en édition limitée célèbre les 150 ans du jardin de Singell qui fut l’un des premiers à naître dans le Darjeeling en 1871. Il se caractérise par sa liqueur dense aux saveurs de malt et de raisin de Corinthe et sa finale vanillée intense.
Texte court : Édition limitée célébrant les 150 ans du jardin de Singell. Récolte sur les théiers historique. Notes de raisin de Corinthe, de malt et de vanille intenses. Long en bouche.</v>
          </cell>
          <cell r="Y658"/>
          <cell r="Z658" t="str">
            <v>Ingrédient : thé noir*. *Issu de l'agriculture biologique.</v>
          </cell>
          <cell r="AA658" t="str">
            <v>/</v>
          </cell>
          <cell r="AB658" t="str">
            <v>/</v>
          </cell>
          <cell r="AC658">
            <v>80</v>
          </cell>
          <cell r="AD658" t="str">
            <v>3-4</v>
          </cell>
          <cell r="AE658">
            <v>95</v>
          </cell>
          <cell r="AF658">
            <v>2</v>
          </cell>
          <cell r="AG658">
            <v>40</v>
          </cell>
          <cell r="AH658">
            <v>3582810252123</v>
          </cell>
          <cell r="AI658" t="str">
            <v>/</v>
          </cell>
          <cell r="AJ658" t="str">
            <v>ETNN521V5</v>
          </cell>
          <cell r="AK658" t="str">
            <v>ETNN521V5</v>
          </cell>
          <cell r="AL658" t="str">
            <v>Q de tube</v>
          </cell>
          <cell r="AM658" t="str">
            <v>Singell Tea Estate</v>
          </cell>
        </row>
        <row r="659">
          <cell r="A659" t="str">
            <v>TV1115</v>
          </cell>
          <cell r="B659"/>
          <cell r="C659"/>
          <cell r="D659"/>
          <cell r="E659"/>
          <cell r="F659"/>
          <cell r="G659"/>
          <cell r="H659" t="str">
            <v>LES GRAND CRUS</v>
          </cell>
          <cell r="I659"/>
          <cell r="J659" t="str">
            <v>Snow Dragon</v>
          </cell>
          <cell r="K659" t="str">
            <v>Xue Long 雪龙</v>
          </cell>
          <cell r="L659" t="str">
            <v>Thé vert d'origine</v>
          </cell>
          <cell r="M659" t="str">
            <v>Chine - Yunnan</v>
          </cell>
          <cell r="N659" t="str">
            <v>AB</v>
          </cell>
          <cell r="O659" t="str">
            <v>WFTO</v>
          </cell>
          <cell r="P659" t="str">
            <v>/</v>
          </cell>
          <cell r="Q659" t="str">
            <v>WT</v>
          </cell>
          <cell r="R659" t="str">
            <v>/</v>
          </cell>
          <cell r="S659" t="str">
            <v>/</v>
          </cell>
          <cell r="T659" t="str">
            <v>Agriculture Chine</v>
          </cell>
          <cell r="U659"/>
          <cell r="V659" t="str">
            <v>Récolte printanière de bourgeons juste saisis au wok. Liqueur fraîche et vive aux notes de fleurs sauvages.</v>
          </cell>
          <cell r="W659" t="str">
            <v>S22</v>
          </cell>
          <cell r="X659" t="str">
            <v>Ce thé vert réjouissant originaire des hauteurs du Yunnan séduit au premier regard avec ses grandes feuilles torsadées recouvertes d’un joli duvet blanc. Ces dernières libèrent une liqueur fraîche d’une texture soyeuse aux notes de fleurs sauvages d’une grande délicatesse. Exquis !
Texte court : Thé vert fruit d’une récolte printanière de bourgeons juste saisis au wok. Liqueur fraîche et vive aux notes de fleurs sauvages</v>
          </cell>
          <cell r="Y659"/>
          <cell r="Z659" t="str">
            <v>Ingrédient : thé vert*. *Issu de l'agriculture biologique.</v>
          </cell>
          <cell r="AA659" t="str">
            <v>/</v>
          </cell>
          <cell r="AB659" t="str">
            <v>Membre certifié World Fair Trade Organization, Les Jardins de Gaïa s’engagent pour un commerce plus juste et répondent aux exigences du commerce équitable. Pour en savoir plus : www.wfto.com.</v>
          </cell>
          <cell r="AC659">
            <v>500</v>
          </cell>
          <cell r="AD659" t="str">
            <v>3</v>
          </cell>
          <cell r="AE659">
            <v>80</v>
          </cell>
          <cell r="AF659">
            <v>2</v>
          </cell>
          <cell r="AG659">
            <v>250</v>
          </cell>
          <cell r="AH659">
            <v>3582810311158</v>
          </cell>
          <cell r="AI659" t="str">
            <v>/</v>
          </cell>
          <cell r="AJ659" t="str">
            <v>INTERNE</v>
          </cell>
          <cell r="AK659" t="str">
            <v>INTERNE</v>
          </cell>
          <cell r="AL659" t="str">
            <v>/</v>
          </cell>
          <cell r="AM659" t="str">
            <v>Cangyuan Yisheng Organic Tea Specialized Cooperative</v>
          </cell>
        </row>
        <row r="660">
          <cell r="A660" t="str">
            <v>TV1116</v>
          </cell>
          <cell r="B660"/>
          <cell r="C660"/>
          <cell r="D660"/>
          <cell r="E660"/>
          <cell r="F660"/>
          <cell r="G660"/>
          <cell r="H660" t="str">
            <v>LES GRAND CRUS</v>
          </cell>
          <cell r="I660"/>
          <cell r="J660" t="str">
            <v>Snow Dragon</v>
          </cell>
          <cell r="K660" t="str">
            <v>Xue Long 雪龙</v>
          </cell>
          <cell r="L660" t="str">
            <v>Thé vert d'origine</v>
          </cell>
          <cell r="M660" t="str">
            <v>Chine - Yunnan</v>
          </cell>
          <cell r="N660" t="str">
            <v>AB</v>
          </cell>
          <cell r="O660" t="str">
            <v>WFTO</v>
          </cell>
          <cell r="P660" t="str">
            <v>/</v>
          </cell>
          <cell r="Q660" t="str">
            <v>WT</v>
          </cell>
          <cell r="R660" t="str">
            <v>/</v>
          </cell>
          <cell r="S660" t="str">
            <v>/</v>
          </cell>
          <cell r="T660" t="str">
            <v>Agriculture Chine</v>
          </cell>
          <cell r="U660"/>
          <cell r="V660" t="str">
            <v>Récolte printanière de bourgeons juste saisis au wok. Liqueur fraîche et vive aux notes de fleurs sauvages.</v>
          </cell>
          <cell r="W660" t="str">
            <v>S22</v>
          </cell>
          <cell r="X660" t="str">
            <v>Ce thé vert réjouissant originaire des hauteurs du Yunnan séduit au premier regard avec ses grandes feuilles torsadées recouvertes d’un joli duvet blanc. Ces dernières libèrent une liqueur fraîche d’une texture soyeuse aux notes de fleurs sauvages d’une grande délicatesse. Exquis !
Texte court : Thé vert fruit d’une récolte printanière de bourgeons juste saisis au wok. Liqueur fraîche et vive aux notes de fleurs sauvages</v>
          </cell>
          <cell r="Y660"/>
          <cell r="Z660" t="str">
            <v>Ingrédient : thé vert*. *Issu de l'agriculture biologique.</v>
          </cell>
          <cell r="AA660" t="str">
            <v>/</v>
          </cell>
          <cell r="AB660" t="str">
            <v>Membre certifié World Fair Trade Organization, Les Jardins de Gaïa s’engagent pour un commerce plus juste et répondent aux exigences du commerce équitable. Pour en savoir plus : www.wfto.com.</v>
          </cell>
          <cell r="AC660">
            <v>50</v>
          </cell>
          <cell r="AD660" t="str">
            <v>3</v>
          </cell>
          <cell r="AE660">
            <v>80</v>
          </cell>
          <cell r="AF660">
            <v>2</v>
          </cell>
          <cell r="AG660">
            <v>25</v>
          </cell>
          <cell r="AH660">
            <v>3582810311165</v>
          </cell>
          <cell r="AI660" t="str">
            <v>/</v>
          </cell>
          <cell r="AJ660" t="str">
            <v>ETVN111V5</v>
          </cell>
          <cell r="AK660" t="str">
            <v>ETVN111V5</v>
          </cell>
          <cell r="AL660" t="str">
            <v>Q de tube</v>
          </cell>
          <cell r="AM660" t="str">
            <v>Cangyuan Yisheng Organic Tea Specialized Cooperative</v>
          </cell>
        </row>
        <row r="661">
          <cell r="A661" t="str">
            <v>TH2411</v>
          </cell>
          <cell r="B661"/>
          <cell r="C661"/>
          <cell r="D661"/>
          <cell r="E661"/>
          <cell r="F661"/>
          <cell r="G661"/>
          <cell r="H661" t="str">
            <v>LES GRANDS CLASSIQUES</v>
          </cell>
          <cell r="I661" t="str">
            <v>LES INFUSIONS DE PLANTES</v>
          </cell>
          <cell r="J661" t="str">
            <v>Sobacha</v>
          </cell>
          <cell r="K661" t="str">
            <v>Graines de sarrasin grillées</v>
          </cell>
          <cell r="L661" t="str">
            <v>Infusion de graines</v>
          </cell>
          <cell r="M661" t="str">
            <v>France</v>
          </cell>
          <cell r="N661" t="str">
            <v>AB</v>
          </cell>
          <cell r="O661" t="str">
            <v>/</v>
          </cell>
          <cell r="P661" t="str">
            <v>/</v>
          </cell>
          <cell r="Q661" t="str">
            <v>/</v>
          </cell>
          <cell r="R661" t="str">
            <v>/</v>
          </cell>
          <cell r="S661" t="str">
            <v>/</v>
          </cell>
          <cell r="T661" t="str">
            <v>Agriculture France</v>
          </cell>
          <cell r="U661"/>
          <cell r="V661" t="str">
            <v>Les graines de sarrasin lorsqu’elles sont torréfiées développent des arômes très gourmands qui font le charme du sobacha, littéralement « thé de sarrasin ». Dépourvue de théine et sans gluten, cette boisson très populaire au Japon est appréciée pour sa texture douce et ses saveurs de noisette et de pain grillé. L’infusion se déguste aussi bien chaude que froide et les graines peuvent être consommées après leur infusion.</v>
          </cell>
          <cell r="W661" t="str">
            <v>S12</v>
          </cell>
          <cell r="X661" t="str">
            <v xml:space="preserve">Les graines de sarrasin lorsqu’elles sont torréfiées produisent une infusion très gourmande qui font le charme du sobacha, littéralement « thé de sarrasin » en japonais. Dépourvue de théine et sans gluten, cette boisson s’apprécie pour sa texture douce et ses saveurs de noisette et de pain grillé. </v>
          </cell>
          <cell r="Y661"/>
          <cell r="Z661" t="str">
            <v>Ingrédient : graines de sarrasin* (Fagopyrum esculentum). *Issu de l'agriculture biologique.</v>
          </cell>
          <cell r="AA661" t="str">
            <v>/</v>
          </cell>
          <cell r="AB661" t="str">
            <v>/</v>
          </cell>
          <cell r="AC661">
            <v>1.5</v>
          </cell>
          <cell r="AD661" t="str">
            <v>5-10</v>
          </cell>
          <cell r="AE661">
            <v>95</v>
          </cell>
          <cell r="AF661">
            <v>2</v>
          </cell>
          <cell r="AG661">
            <v>750</v>
          </cell>
          <cell r="AH661">
            <v>3582811024118</v>
          </cell>
          <cell r="AI661" t="str">
            <v>/</v>
          </cell>
          <cell r="AJ661" t="str">
            <v>INTERNE</v>
          </cell>
          <cell r="AK661" t="str">
            <v>INTERNE</v>
          </cell>
          <cell r="AL661" t="str">
            <v>/</v>
          </cell>
          <cell r="AM661" t="str">
            <v>Olivier Campardou</v>
          </cell>
        </row>
        <row r="662">
          <cell r="A662" t="str">
            <v>TH2412</v>
          </cell>
          <cell r="B662"/>
          <cell r="C662" t="str">
            <v>X PETITE ETIQUETTE GRAND CLASSIQUE + CONTRE</v>
          </cell>
          <cell r="D662" t="str">
            <v>X</v>
          </cell>
          <cell r="E662" t="str">
            <v>X</v>
          </cell>
          <cell r="F662" t="str">
            <v>GRAI</v>
          </cell>
          <cell r="G662">
            <v>45408</v>
          </cell>
          <cell r="H662" t="str">
            <v>LES GRANDS CLASSIQUES</v>
          </cell>
          <cell r="I662" t="str">
            <v>LES INFUSIONS DE PLANTES</v>
          </cell>
          <cell r="J662" t="str">
            <v>Sobacha</v>
          </cell>
          <cell r="K662" t="str">
            <v>Graines de sarrasin grillées</v>
          </cell>
          <cell r="L662" t="str">
            <v>Infusion de graines</v>
          </cell>
          <cell r="M662" t="str">
            <v>France</v>
          </cell>
          <cell r="N662" t="str">
            <v>AB</v>
          </cell>
          <cell r="O662" t="str">
            <v>/</v>
          </cell>
          <cell r="P662" t="str">
            <v>/</v>
          </cell>
          <cell r="Q662" t="str">
            <v>/</v>
          </cell>
          <cell r="R662" t="str">
            <v>/</v>
          </cell>
          <cell r="S662" t="str">
            <v>/</v>
          </cell>
          <cell r="T662" t="str">
            <v>Agriculture France</v>
          </cell>
          <cell r="U662"/>
          <cell r="V662" t="str">
            <v>Les graines de sarrasin lorsqu’elles sont torréfiées développent des arômes très gourmands qui font le charme du sobacha, littéralement « thé de sarrasin ». Dépourvue de théine et sans gluten, cette boisson très populaire au Japon est appréciée pour sa texture douce et ses saveurs de noisette et de pain grillé. L’infusion se déguste aussi bien chaude que froide et les graines peuvent être consommées après leur infusion.</v>
          </cell>
          <cell r="W662" t="str">
            <v>S12</v>
          </cell>
          <cell r="X662" t="str">
            <v xml:space="preserve">Les graines de sarrasin lorsqu’elles sont torréfiées produisent une infusion très gourmande qui font le charme du sobacha, littéralement « thé de sarrasin » en japonais. Dépourvue de théine et sans gluten, cette boisson s’apprécie pour sa texture douce et ses saveurs de noisette et de pain grillé. </v>
          </cell>
          <cell r="Y662"/>
          <cell r="Z662" t="str">
            <v>Ingrédient : graines de sarrasin* (Fagopyrum esculentum). *Issu de l'agriculture biologique.</v>
          </cell>
          <cell r="AA662" t="str">
            <v>/</v>
          </cell>
          <cell r="AB662" t="str">
            <v>/</v>
          </cell>
          <cell r="AC662">
            <v>150</v>
          </cell>
          <cell r="AD662" t="str">
            <v>5-10</v>
          </cell>
          <cell r="AE662">
            <v>95</v>
          </cell>
          <cell r="AF662">
            <v>2</v>
          </cell>
          <cell r="AG662">
            <v>75</v>
          </cell>
          <cell r="AH662">
            <v>3582811024125</v>
          </cell>
          <cell r="AI662" t="str">
            <v>/</v>
          </cell>
          <cell r="AJ662" t="str">
            <v>ETHN241</v>
          </cell>
          <cell r="AK662" t="str">
            <v>ETHN241V5</v>
          </cell>
          <cell r="AL662" t="str">
            <v>ETCHN2412V5</v>
          </cell>
          <cell r="AM662" t="str">
            <v>Olivier Campardou</v>
          </cell>
        </row>
        <row r="663">
          <cell r="A663" t="str">
            <v>TH214</v>
          </cell>
          <cell r="B663"/>
          <cell r="C663" t="str">
            <v>X</v>
          </cell>
          <cell r="D663" t="str">
            <v>X</v>
          </cell>
          <cell r="E663"/>
          <cell r="F663" t="str">
            <v>GRAI</v>
          </cell>
          <cell r="G663">
            <v>45408</v>
          </cell>
          <cell r="H663" t="str">
            <v>LES BIENFAITRICES</v>
          </cell>
          <cell r="I663" t="str">
            <v>LES INFUSIONS DE PLANTES</v>
          </cell>
          <cell r="J663" t="str">
            <v>Souci</v>
          </cell>
          <cell r="K663" t="str">
            <v>Apaisante</v>
          </cell>
          <cell r="L663" t="str">
            <v>Infusion de plante</v>
          </cell>
          <cell r="M663" t="str">
            <v>Portugal, Maroc</v>
          </cell>
          <cell r="N663" t="str">
            <v>AB</v>
          </cell>
          <cell r="O663" t="str">
            <v>/</v>
          </cell>
          <cell r="P663" t="str">
            <v>/</v>
          </cell>
          <cell r="Q663" t="str">
            <v>/</v>
          </cell>
          <cell r="R663" t="str">
            <v>/</v>
          </cell>
          <cell r="S663" t="str">
            <v>/</v>
          </cell>
          <cell r="T663" t="str">
            <v>Agriculture UE/non UE</v>
          </cell>
          <cell r="U663"/>
          <cell r="V663" t="str">
            <v>Quand le souci, aussi appelé calendula, laisse apparaître ses jolies fleurs jaunes et jaune-orangé, comme autant de petits soleils éparpillés, les beaux jours sont enfin là… Sa liqueur douce est appréciée pour son effet apaisant sur les voies respiratoires, son action bénéfique sur le transit intestinal et le fonctionnement du foie. Une plante aussi généreuse que resplendissante !</v>
          </cell>
          <cell r="W663" t="str">
            <v>S12</v>
          </cell>
          <cell r="X663" t="str">
            <v>Les jolies fleurs jaunes de souci qui annoncent les beaux jours produisent une tisane savoureuse… Elle s’apprécie pour son effet apaisant sur les voies respiratoires, son action bénéfique sur le transit intestinal et le fonctionnement du foie. Une plante aussi généreuse que resplendissante !</v>
          </cell>
          <cell r="Y663"/>
          <cell r="Z663" t="str">
            <v>Ingrédient : souci* (Calendula officinalis). *Issu de l'agriculture biologique.</v>
          </cell>
          <cell r="AA663"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663" t="str">
            <v>/</v>
          </cell>
          <cell r="AC663">
            <v>50</v>
          </cell>
          <cell r="AD663" t="str">
            <v>5-10</v>
          </cell>
          <cell r="AE663">
            <v>95</v>
          </cell>
          <cell r="AF663">
            <v>2</v>
          </cell>
          <cell r="AG663">
            <v>25</v>
          </cell>
          <cell r="AH663">
            <v>3582811002147</v>
          </cell>
          <cell r="AI663" t="str">
            <v>/</v>
          </cell>
          <cell r="AJ663" t="str">
            <v>ETHN2140V5</v>
          </cell>
          <cell r="AK663" t="str">
            <v>ETHN2140V5</v>
          </cell>
          <cell r="AL663" t="str">
            <v>/</v>
          </cell>
          <cell r="AM663" t="str">
            <v>Carlos</v>
          </cell>
        </row>
        <row r="664">
          <cell r="A664" t="str">
            <v>TA7211</v>
          </cell>
          <cell r="B664"/>
          <cell r="C664"/>
          <cell r="D664"/>
          <cell r="E664"/>
          <cell r="F664"/>
          <cell r="G664"/>
          <cell r="H664" t="str">
            <v>LES GRANDS CLASSIQUES</v>
          </cell>
          <cell r="I664"/>
          <cell r="J664" t="str">
            <v>Souvenir d'enfance</v>
          </cell>
          <cell r="K664" t="str">
            <v>Fraise - Saveur vanille</v>
          </cell>
          <cell r="L664" t="str">
            <v>Thé noir aromatisé</v>
          </cell>
          <cell r="M664" t="str">
            <v>Vietnam - Chine - Inde</v>
          </cell>
          <cell r="N664" t="str">
            <v>AB</v>
          </cell>
          <cell r="O664" t="str">
            <v>WFTO</v>
          </cell>
          <cell r="P664" t="str">
            <v>/</v>
          </cell>
          <cell r="Q664" t="str">
            <v>/</v>
          </cell>
          <cell r="R664" t="str">
            <v>/</v>
          </cell>
          <cell r="S664" t="str">
            <v>/</v>
          </cell>
          <cell r="T664" t="str">
            <v>Agriculture UE/non UE</v>
          </cell>
          <cell r="U664"/>
          <cell r="V664" t="str">
            <v>Mariage heureux du thé noir à l’arôme sucré et délicat de la fraise, arrondi par la saveur veloutée et magique de la vanille Bourbon. Féerique et merveilleux…</v>
          </cell>
          <cell r="W664" t="str">
            <v>S27</v>
          </cell>
          <cell r="X664" t="str">
            <v>Comme un souvenir d’enfance, ce thé noir évoque l’émoi gustatif que provoque la première rencontre avec les saveurs gourmandes de la fraise ici arrondies par une note veloutée et magique de vanille Bourbon. Un petit plaisir délicieusement régressif à partager !</v>
          </cell>
          <cell r="Y664"/>
          <cell r="Z664" t="str">
            <v>Ingrédients : thé noir*, arômes naturels de (fraise* 3%, framboise*), extrait de vanille* 2%, pétales de fleurs (bleuet*, rose*, souci*), morceaux de fraise* 1%, feuilles et fleurs de mauve*. *Issu de l'agriculture biologique.</v>
          </cell>
          <cell r="AA664" t="str">
            <v>/</v>
          </cell>
          <cell r="AB664" t="str">
            <v>Membre certifié World Fair Trade Organization, Les Jardins de Gaïa s’engagent pour un commerce plus juste et répondent aux exigences du commerce équitable. Pour en savoir plus : www.wfto.com.</v>
          </cell>
          <cell r="AC664">
            <v>1.5</v>
          </cell>
          <cell r="AD664" t="str">
            <v>3-4</v>
          </cell>
          <cell r="AE664">
            <v>90</v>
          </cell>
          <cell r="AF664">
            <v>2</v>
          </cell>
          <cell r="AG664">
            <v>750</v>
          </cell>
          <cell r="AH664">
            <v>3582810472118</v>
          </cell>
          <cell r="AI664" t="str">
            <v>/</v>
          </cell>
          <cell r="AJ664" t="str">
            <v>INTERNE</v>
          </cell>
          <cell r="AK664" t="str">
            <v>INTERNE</v>
          </cell>
          <cell r="AL664" t="str">
            <v>/</v>
          </cell>
          <cell r="AM664" t="str">
            <v>Création maison</v>
          </cell>
        </row>
        <row r="665">
          <cell r="A665" t="str">
            <v>TA7212</v>
          </cell>
          <cell r="B665"/>
          <cell r="C665"/>
          <cell r="D665"/>
          <cell r="E665"/>
          <cell r="F665"/>
          <cell r="G665"/>
          <cell r="H665" t="str">
            <v>LES GRANDS CLASSIQUES</v>
          </cell>
          <cell r="I665"/>
          <cell r="J665" t="str">
            <v>Souvenir d'enfance</v>
          </cell>
          <cell r="K665" t="str">
            <v>Fraise - Saveur vanille</v>
          </cell>
          <cell r="L665" t="str">
            <v>Thé noir aromatisé</v>
          </cell>
          <cell r="M665" t="str">
            <v>Vietnam - Chine - Inde</v>
          </cell>
          <cell r="N665" t="str">
            <v>AB</v>
          </cell>
          <cell r="O665" t="str">
            <v>WFTO</v>
          </cell>
          <cell r="P665" t="str">
            <v>/</v>
          </cell>
          <cell r="Q665" t="str">
            <v>/</v>
          </cell>
          <cell r="R665" t="str">
            <v>/</v>
          </cell>
          <cell r="S665" t="str">
            <v>/</v>
          </cell>
          <cell r="T665" t="str">
            <v>Agriculture UE/non UE</v>
          </cell>
          <cell r="U665"/>
          <cell r="V665" t="str">
            <v>Mariage heureux du thé noir à l’arôme sucré et délicat de la fraise, arrondi par la saveur veloutée et magique de la vanille Bourbon. Féerique et merveilleux…</v>
          </cell>
          <cell r="W665" t="str">
            <v>S24</v>
          </cell>
          <cell r="X665" t="str">
            <v>Comme un souvenir d’enfance, ce thé noir évoque l’émoi gustatif que provoque la première rencontre avec les saveurs gourmandes de la fraise ici arrondies par une note veloutée et magique de vanille Bourbon. Un petit plaisir délicieusement régressif à partager !</v>
          </cell>
          <cell r="Y665"/>
          <cell r="Z665" t="str">
            <v>Ingrédients : thé noir*, arômes naturels de (fraise* 3%, framboise*), extrait de vanille* 2%, pétales de fleurs (bleuet*, rose*, souci*), morceaux de fraise* 1%, feuilles et fleurs de mauve*. *Issu de l'agriculture biologique.</v>
          </cell>
          <cell r="AA665" t="str">
            <v>/</v>
          </cell>
          <cell r="AB665" t="str">
            <v>Membre certifié World Fair Trade Organization, Les Jardins de Gaïa s’engagent pour un commerce plus juste et répondent aux exigences du commerce équitable. Pour en savoir plus : www.wfto.com.</v>
          </cell>
          <cell r="AC665">
            <v>100</v>
          </cell>
          <cell r="AD665" t="str">
            <v>3-4</v>
          </cell>
          <cell r="AE665">
            <v>90</v>
          </cell>
          <cell r="AF665">
            <v>2</v>
          </cell>
          <cell r="AG665">
            <v>50</v>
          </cell>
          <cell r="AH665">
            <v>3582810472125</v>
          </cell>
          <cell r="AI665" t="str">
            <v>/</v>
          </cell>
          <cell r="AJ665" t="str">
            <v>ETNA721V5</v>
          </cell>
          <cell r="AK665" t="str">
            <v>ETNA721V5</v>
          </cell>
          <cell r="AL665" t="str">
            <v>ETCNA7212V5</v>
          </cell>
          <cell r="AM665" t="str">
            <v>Création maison</v>
          </cell>
        </row>
        <row r="666">
          <cell r="A666" t="str">
            <v>TV1145</v>
          </cell>
          <cell r="B666"/>
          <cell r="C666"/>
          <cell r="D666"/>
          <cell r="E666"/>
          <cell r="F666"/>
          <cell r="G666"/>
          <cell r="H666" t="str">
            <v>LES GRAND CRUS</v>
          </cell>
          <cell r="I666"/>
          <cell r="J666" t="str">
            <v>Spring Needle</v>
          </cell>
          <cell r="K666" t="str">
            <v>Aiguilles de pin
Song Zhen 松针</v>
          </cell>
          <cell r="L666" t="str">
            <v>Thé vert d'origine</v>
          </cell>
          <cell r="M666" t="str">
            <v>Chine - Hubei</v>
          </cell>
          <cell r="N666" t="str">
            <v>AB</v>
          </cell>
          <cell r="O666" t="str">
            <v>WFTO</v>
          </cell>
          <cell r="P666" t="str">
            <v>/</v>
          </cell>
          <cell r="Q666" t="str">
            <v>/</v>
          </cell>
          <cell r="R666" t="str">
            <v>/</v>
          </cell>
          <cell r="S666" t="str">
            <v>/</v>
          </cell>
          <cell r="T666" t="str">
            <v>Agriculture Chine</v>
          </cell>
          <cell r="U666"/>
          <cell r="V666" t="str">
            <v>Cueillette printanière en forme d'aiguilles de pin. Liqueur intense, notes de noix fraîche, melon et artichaut.</v>
          </cell>
          <cell r="W666" t="str">
            <v>x</v>
          </cell>
          <cell r="X666"/>
          <cell r="Y666"/>
          <cell r="Z666" t="str">
            <v>Ingrédient : thé vert*. *Issu de l'agriculture biologique.</v>
          </cell>
          <cell r="AA666" t="str">
            <v>/</v>
          </cell>
          <cell r="AB666" t="str">
            <v>Membre certifié World Fair Trade Organization, Les Jardins de Gaïa s’engagent pour un commerce plus juste et répondent aux exigences du commerce équitable. Pour en savoir plus : www.wfto.com.</v>
          </cell>
          <cell r="AC666">
            <v>500</v>
          </cell>
          <cell r="AD666" t="str">
            <v>3</v>
          </cell>
          <cell r="AE666">
            <v>80</v>
          </cell>
          <cell r="AF666">
            <v>2</v>
          </cell>
          <cell r="AG666">
            <v>250</v>
          </cell>
          <cell r="AH666">
            <v>3582810311455</v>
          </cell>
          <cell r="AI666" t="str">
            <v>/</v>
          </cell>
          <cell r="AJ666" t="str">
            <v>INTERNE</v>
          </cell>
          <cell r="AK666" t="str">
            <v>INTERNE</v>
          </cell>
          <cell r="AL666" t="str">
            <v>/</v>
          </cell>
          <cell r="AM666" t="str">
            <v>Cangyuan Yisheng Organic Tea Specialized Cooperative</v>
          </cell>
        </row>
        <row r="667">
          <cell r="A667" t="str">
            <v>TV1142</v>
          </cell>
          <cell r="B667"/>
          <cell r="C667"/>
          <cell r="D667"/>
          <cell r="E667"/>
          <cell r="F667"/>
          <cell r="G667"/>
          <cell r="H667" t="str">
            <v>LES GRAND CRUS</v>
          </cell>
          <cell r="I667"/>
          <cell r="J667" t="str">
            <v>Spring Needle</v>
          </cell>
          <cell r="K667" t="str">
            <v>Aiguilles de pin
Song Zhen 松针</v>
          </cell>
          <cell r="L667" t="str">
            <v>Thé vert d'origine</v>
          </cell>
          <cell r="M667" t="str">
            <v>Chine - Hubei</v>
          </cell>
          <cell r="N667" t="str">
            <v>AB</v>
          </cell>
          <cell r="O667" t="str">
            <v>WFTO</v>
          </cell>
          <cell r="P667" t="str">
            <v>/</v>
          </cell>
          <cell r="Q667" t="str">
            <v>/</v>
          </cell>
          <cell r="R667" t="str">
            <v>/</v>
          </cell>
          <cell r="S667" t="str">
            <v>/</v>
          </cell>
          <cell r="T667" t="str">
            <v>Agriculture Chine</v>
          </cell>
          <cell r="U667"/>
          <cell r="V667" t="str">
            <v>Cueillette printanière en forme d'aiguilles de pin. Liqueur intense, notes de noix fraîche, melon et artichaut.</v>
          </cell>
          <cell r="W667" t="str">
            <v>x</v>
          </cell>
          <cell r="X667"/>
          <cell r="Y667"/>
          <cell r="Z667" t="str">
            <v>Ingrédient : thé vert*. *Issu de l'agriculture biologique.</v>
          </cell>
          <cell r="AA667" t="str">
            <v>/</v>
          </cell>
          <cell r="AB667" t="str">
            <v>Membre certifié World Fair Trade Organization, Les Jardins de Gaïa s’engagent pour un commerce plus juste et répondent aux exigences du commerce équitable. Pour en savoir plus : www.wfto.com.</v>
          </cell>
          <cell r="AC667">
            <v>80</v>
          </cell>
          <cell r="AD667" t="str">
            <v>3</v>
          </cell>
          <cell r="AE667">
            <v>80</v>
          </cell>
          <cell r="AF667">
            <v>2</v>
          </cell>
          <cell r="AG667">
            <v>40</v>
          </cell>
          <cell r="AH667">
            <v>3582810311424</v>
          </cell>
          <cell r="AI667" t="str">
            <v>/</v>
          </cell>
          <cell r="AJ667" t="str">
            <v>ETVN114V5</v>
          </cell>
          <cell r="AK667" t="str">
            <v>ETVN114V5</v>
          </cell>
          <cell r="AL667" t="str">
            <v>Q de tube</v>
          </cell>
          <cell r="AM667" t="str">
            <v>Cangyuan Yisheng Organic Tea Specialized Cooperative</v>
          </cell>
        </row>
        <row r="668">
          <cell r="A668" t="str">
            <v>TN2365</v>
          </cell>
          <cell r="B668"/>
          <cell r="C668"/>
          <cell r="D668"/>
          <cell r="E668"/>
          <cell r="F668"/>
          <cell r="G668"/>
          <cell r="H668" t="str">
            <v>LES GRAND CRUS</v>
          </cell>
          <cell r="I668"/>
          <cell r="J668" t="str">
            <v xml:space="preserve">Spring secret </v>
          </cell>
          <cell r="K668" t="str">
            <v xml:space="preserve">jardin de Samabeong Ex.10.04.2023
cultivar samabeong 312 
</v>
          </cell>
          <cell r="L668" t="str">
            <v>Thé noir primeur</v>
          </cell>
          <cell r="M668" t="str">
            <v>Inde - Darjeeling - Samabeong garden</v>
          </cell>
          <cell r="N668" t="str">
            <v>AB</v>
          </cell>
          <cell r="O668" t="str">
            <v>WFTO</v>
          </cell>
          <cell r="P668" t="str">
            <v>/</v>
          </cell>
          <cell r="Q668" t="str">
            <v>/</v>
          </cell>
          <cell r="R668" t="str">
            <v>IGP</v>
          </cell>
          <cell r="S668" t="str">
            <v>/</v>
          </cell>
          <cell r="T668" t="str">
            <v>Agriculture Inde</v>
          </cell>
          <cell r="U668"/>
          <cell r="V668" t="str">
            <v xml:space="preserve">Superbe récolte printanière à la liqueur enveloppante, légère et aromatique. Notes : florales, fruitées (fruits frais), minérales (pierres chaudes), avec une touche boisée (bois de santal) en finale. </v>
          </cell>
          <cell r="W668" t="str">
            <v>S23</v>
          </cell>
          <cell r="X668" t="str">
            <v>Produit dans le jardin de Selimbong, ce thé noir dévoile lors de sa dégustation tout le charme secret qui rend les thés de printemps de cette région du nord de l’Inde si séduisants et attachants. Sa liqueur enveloppante libère des saveurs florales, fruitées, boisées et minérales incomparables.
Texte court : Superbe récolte printanière à la liqueur enveloppante, légère et aromatique. Notes : florales, fruitées, boisées et minérales.</v>
          </cell>
          <cell r="Y668"/>
          <cell r="Z668" t="str">
            <v xml:space="preserve">Ingrédient : thé noir*. *Issu de l'agriculture biologique. </v>
          </cell>
          <cell r="AA668" t="str">
            <v>/</v>
          </cell>
          <cell r="AB668" t="str">
            <v>Membre certifié World Fair Trade Organization, Les Jardins de Gaïa s’engagent pour un commerce plus juste et répondent aux exigences du commerce équitable. Pour en savoir plus : www.wfto.com.</v>
          </cell>
          <cell r="AC668">
            <v>500</v>
          </cell>
          <cell r="AD668" t="str">
            <v>3-4</v>
          </cell>
          <cell r="AE668" t="str">
            <v>85-90</v>
          </cell>
          <cell r="AF668">
            <v>2</v>
          </cell>
          <cell r="AG668">
            <v>250</v>
          </cell>
          <cell r="AH668">
            <v>3582810223659</v>
          </cell>
          <cell r="AI668" t="str">
            <v>/</v>
          </cell>
          <cell r="AJ668" t="str">
            <v>INTERNE</v>
          </cell>
          <cell r="AK668" t="str">
            <v>INTERNE</v>
          </cell>
          <cell r="AL668" t="str">
            <v>/</v>
          </cell>
          <cell r="AM668" t="str">
            <v>Selimbong Tea Estate</v>
          </cell>
        </row>
        <row r="669">
          <cell r="A669" t="str">
            <v>TN2366</v>
          </cell>
          <cell r="B669"/>
          <cell r="C669"/>
          <cell r="D669"/>
          <cell r="E669"/>
          <cell r="F669"/>
          <cell r="G669"/>
          <cell r="H669" t="str">
            <v>LES GRAND CRUS</v>
          </cell>
          <cell r="I669"/>
          <cell r="J669" t="str">
            <v xml:space="preserve">Spring secret </v>
          </cell>
          <cell r="K669" t="str">
            <v xml:space="preserve">jardin de Samabeong Ex.10.04.2023
cultivar samabeong 312 
</v>
          </cell>
          <cell r="L669" t="str">
            <v>Thé noir primeur</v>
          </cell>
          <cell r="M669" t="str">
            <v>Inde - Darjeeling - Samabeong garden</v>
          </cell>
          <cell r="N669" t="str">
            <v>AB</v>
          </cell>
          <cell r="O669" t="str">
            <v>WFTO</v>
          </cell>
          <cell r="P669" t="str">
            <v>/</v>
          </cell>
          <cell r="Q669" t="str">
            <v>/</v>
          </cell>
          <cell r="R669" t="str">
            <v>IGP</v>
          </cell>
          <cell r="S669" t="str">
            <v>/</v>
          </cell>
          <cell r="T669" t="str">
            <v>Agriculture Inde</v>
          </cell>
          <cell r="U669"/>
          <cell r="V669" t="str">
            <v xml:space="preserve">Superbe récolte printanière à la liqueur enveloppante, légère et aromatique. Notes : florales, fruitées (fruits frais), minérales (pierres chaudes), avec une touche boisée (bois de santal) en finale. </v>
          </cell>
          <cell r="W669" t="str">
            <v>S23</v>
          </cell>
          <cell r="X669" t="str">
            <v>Produit dans le jardin de Selimbong, ce thé noir dévoile lors de sa dégustation tout le charme secret qui rend les thés de printemps de cette région du nord de l’Inde si séduisants et attachants. Sa liqueur enveloppante libère des saveurs florales, fruitées, boisées et minérales incomparables.
Texte court : Superbe récolte printanière à la liqueur enveloppante, légère et aromatique. Notes : florales, fruitées, boisées et minérales.</v>
          </cell>
          <cell r="Y669"/>
          <cell r="Z669" t="str">
            <v xml:space="preserve">Ingrédient : thé noir*. *Issu de l'agriculture biologique. </v>
          </cell>
          <cell r="AA669" t="str">
            <v>/</v>
          </cell>
          <cell r="AB669" t="str">
            <v>Membre certifié World Fair Trade Organization, Les Jardins de Gaïa s’engagent pour un commerce plus juste et répondent aux exigences du commerce équitable. Pour en savoir plus : www.wfto.com.</v>
          </cell>
          <cell r="AC669">
            <v>70</v>
          </cell>
          <cell r="AD669" t="str">
            <v>3-4</v>
          </cell>
          <cell r="AE669" t="str">
            <v>85-90</v>
          </cell>
          <cell r="AF669">
            <v>2</v>
          </cell>
          <cell r="AG669">
            <v>35</v>
          </cell>
          <cell r="AH669">
            <v>3582810223666</v>
          </cell>
          <cell r="AI669" t="str">
            <v>/</v>
          </cell>
          <cell r="AJ669" t="str">
            <v>ETNN236FF22</v>
          </cell>
          <cell r="AK669" t="str">
            <v>ETNN236FF22V5</v>
          </cell>
          <cell r="AL669" t="str">
            <v>Q de tube</v>
          </cell>
          <cell r="AM669" t="str">
            <v>Selimbong Tea Estate</v>
          </cell>
        </row>
        <row r="670">
          <cell r="A670" t="str">
            <v>TV1055</v>
          </cell>
          <cell r="B670"/>
          <cell r="C670"/>
          <cell r="D670"/>
          <cell r="E670"/>
          <cell r="F670"/>
          <cell r="G670"/>
          <cell r="H670" t="str">
            <v>LES GRAND CRUS</v>
          </cell>
          <cell r="I670"/>
          <cell r="J670" t="str">
            <v xml:space="preserve">Spring Sprout </v>
          </cell>
          <cell r="K670" t="str">
            <v>Jeune pousse de printemps
Chun Ya 春芽</v>
          </cell>
          <cell r="L670" t="str">
            <v>Thé vert Mingqian</v>
          </cell>
          <cell r="M670" t="str">
            <v>Chine - Hubei</v>
          </cell>
          <cell r="N670" t="str">
            <v>AB</v>
          </cell>
          <cell r="O670" t="str">
            <v>WFTO</v>
          </cell>
          <cell r="P670" t="str">
            <v>/</v>
          </cell>
          <cell r="Q670" t="str">
            <v>/</v>
          </cell>
          <cell r="R670" t="str">
            <v>/</v>
          </cell>
          <cell r="S670" t="str">
            <v>/</v>
          </cell>
          <cell r="T670" t="str">
            <v>Agriculture Chine</v>
          </cell>
          <cell r="U670"/>
          <cell r="V670" t="str">
            <v>Grand cru de printemps délicatement transformé à la vapeur. Notes : lactées, bouquet d'herbes aromatiques, minérales.</v>
          </cell>
          <cell r="W670" t="str">
            <v>S23</v>
          </cell>
          <cell r="X670" t="str">
            <v>Délicatement transformés à la vapeur, les bourgeons émeraude de ce thé vert de la région d’Enshi distillent d’agréables fragrances printanières. Il offre une infusion soyeuse aux saveurs complexes d’herbes aromatiques accompagnées de notes beurrées et minérales. Un splendide thé de terroir…
Texte court : Grand cru de printemps délicatement transformé à la vapeur. Notes : beurrées, minérales, bouquet d’herbes aromatiques.</v>
          </cell>
          <cell r="Y670"/>
          <cell r="Z670" t="str">
            <v>Ingrédient : thé vert*. *Issu de l'agriculture biologique.</v>
          </cell>
          <cell r="AA670" t="str">
            <v>/</v>
          </cell>
          <cell r="AB670" t="str">
            <v>Membre certifié World Fair Trade Organization, Les Jardins de Gaïa s’engagent pour un commerce plus juste et répondent aux exigences du commerce équitable. Pour en savoir plus : www.wfto.com.</v>
          </cell>
          <cell r="AC670">
            <v>500</v>
          </cell>
          <cell r="AD670" t="str">
            <v>3</v>
          </cell>
          <cell r="AE670">
            <v>75</v>
          </cell>
          <cell r="AF670">
            <v>2</v>
          </cell>
          <cell r="AG670">
            <v>250</v>
          </cell>
          <cell r="AH670">
            <v>3582810310557</v>
          </cell>
          <cell r="AI670" t="str">
            <v>Plusieurs infusions</v>
          </cell>
          <cell r="AJ670" t="str">
            <v>INTERNE</v>
          </cell>
          <cell r="AK670" t="str">
            <v>INTERNE</v>
          </cell>
          <cell r="AL670" t="str">
            <v>/</v>
          </cell>
          <cell r="AM670" t="str">
            <v>Xuan En Yisheng Tea Cooperative</v>
          </cell>
        </row>
        <row r="671">
          <cell r="A671" t="str">
            <v>TV1056</v>
          </cell>
          <cell r="B671"/>
          <cell r="C671"/>
          <cell r="D671"/>
          <cell r="E671"/>
          <cell r="F671"/>
          <cell r="G671"/>
          <cell r="H671" t="str">
            <v>LES GRAND CRUS</v>
          </cell>
          <cell r="I671"/>
          <cell r="J671" t="str">
            <v xml:space="preserve">Spring Sprout </v>
          </cell>
          <cell r="K671" t="str">
            <v>Jeune pousse de printemps
Chun Ya 春芽</v>
          </cell>
          <cell r="L671" t="str">
            <v>Thé vert Mingqian</v>
          </cell>
          <cell r="M671" t="str">
            <v>Chine - Hubei</v>
          </cell>
          <cell r="N671" t="str">
            <v>AB</v>
          </cell>
          <cell r="O671" t="str">
            <v>WFTO</v>
          </cell>
          <cell r="P671" t="str">
            <v>/</v>
          </cell>
          <cell r="Q671" t="str">
            <v>/</v>
          </cell>
          <cell r="R671" t="str">
            <v>/</v>
          </cell>
          <cell r="S671" t="str">
            <v>/</v>
          </cell>
          <cell r="T671" t="str">
            <v>Agriculture Chine</v>
          </cell>
          <cell r="U671"/>
          <cell r="V671" t="str">
            <v>Grand cru de printemps délicatement transformé à la vapeur. Notes : lactées, bouquet d'herbes aromatiques, minérales.</v>
          </cell>
          <cell r="W671" t="str">
            <v>S23</v>
          </cell>
          <cell r="X671" t="str">
            <v>Délicatement transformés à la vapeur, les bourgeons émeraude de ce thé vert de la région d’Enshi distillent d’agréables fragrances printanières. Il offre une infusion soyeuse aux saveurs complexes d’herbes aromatiques accompagnées de notes beurrées et minérales. Un splendide thé de terroir…
Texte court : Grand cru de printemps délicatement transformé à la vapeur. Notes : beurrées, minérales, bouquet d’herbes aromatiques.</v>
          </cell>
          <cell r="Y671"/>
          <cell r="Z671" t="str">
            <v>Ingrédient : thé vert*. *Issu de l'agriculture biologique.</v>
          </cell>
          <cell r="AA671" t="str">
            <v>/</v>
          </cell>
          <cell r="AB671" t="str">
            <v>Membre certifié World Fair Trade Organization, Les Jardins de Gaïa s’engagent pour un commerce plus juste et répondent aux exigences du commerce équitable. Pour en savoir plus : www.wfto.com.</v>
          </cell>
          <cell r="AC671">
            <v>50</v>
          </cell>
          <cell r="AD671" t="str">
            <v>3</v>
          </cell>
          <cell r="AE671">
            <v>75</v>
          </cell>
          <cell r="AF671">
            <v>2</v>
          </cell>
          <cell r="AG671">
            <v>25</v>
          </cell>
          <cell r="AH671">
            <v>3582810310564</v>
          </cell>
          <cell r="AI671" t="str">
            <v>Plusieurs infusions</v>
          </cell>
          <cell r="AJ671" t="str">
            <v>ETVN105FF22</v>
          </cell>
          <cell r="AK671" t="str">
            <v>ETVN105FF22V5</v>
          </cell>
          <cell r="AL671" t="str">
            <v>Q de tube</v>
          </cell>
          <cell r="AM671" t="str">
            <v>Xuan En Yisheng Tea Cooperative</v>
          </cell>
        </row>
        <row r="672">
          <cell r="A672" t="str">
            <v>TN2357</v>
          </cell>
          <cell r="B672"/>
          <cell r="C672" t="str">
            <v>X</v>
          </cell>
          <cell r="D672"/>
          <cell r="E672"/>
          <cell r="F672" t="str">
            <v>BRODART</v>
          </cell>
          <cell r="G672"/>
          <cell r="H672" t="str">
            <v>LES PRIMEURS</v>
          </cell>
          <cell r="I672"/>
          <cell r="J672" t="str">
            <v>Spring Thunder</v>
          </cell>
          <cell r="K672" t="str">
            <v>FTGFOP1 FF 
Jardin de Putharjhora - Top Quality 
cultivar RR-114</v>
          </cell>
          <cell r="L672" t="str">
            <v>Thé noir primeur</v>
          </cell>
          <cell r="M672" t="str">
            <v>Inde - Dooars</v>
          </cell>
          <cell r="N672" t="str">
            <v>AB</v>
          </cell>
          <cell r="O672" t="str">
            <v>WFTO</v>
          </cell>
          <cell r="P672" t="str">
            <v>D</v>
          </cell>
          <cell r="Q672" t="str">
            <v>/</v>
          </cell>
          <cell r="R672" t="str">
            <v>/</v>
          </cell>
          <cell r="S672" t="str">
            <v>EF</v>
          </cell>
          <cell r="T672" t="str">
            <v>Agriculture Inde</v>
          </cell>
          <cell r="U672"/>
          <cell r="V672" t="str">
            <v>Thé primeur produit en biodynamie. Notes : malt, caramel au beurre salé, cassonade, châtaigne.</v>
          </cell>
          <cell r="W672" t="str">
            <v>S14</v>
          </cell>
          <cell r="X672" t="str">
            <v>primeurs 2024</v>
          </cell>
          <cell r="Y672"/>
          <cell r="Z672" t="str">
            <v xml:space="preserve">Ingrédient : thé noir**. **Issu de l’agriculture biologique et biodynamique. demeter est la marque des produits issus de l’agriculture biodynamique certifiée. </v>
          </cell>
          <cell r="AA672" t="str">
            <v>/</v>
          </cell>
          <cell r="AB672" t="str">
            <v>Membre certifié World Fair Trade Organization, Les Jardins de Gaïa s’engagent pour un commerce plus juste et répondent aux exigences du commerce équitable. Pour en savoir plus : www.wfto.com.</v>
          </cell>
          <cell r="AC672">
            <v>1</v>
          </cell>
          <cell r="AD672" t="str">
            <v>3-4</v>
          </cell>
          <cell r="AE672" t="str">
            <v>85-90</v>
          </cell>
          <cell r="AF672">
            <v>2</v>
          </cell>
          <cell r="AG672">
            <v>500</v>
          </cell>
          <cell r="AH672">
            <v>3582810223574</v>
          </cell>
          <cell r="AI672" t="str">
            <v>/</v>
          </cell>
          <cell r="AJ672" t="str">
            <v>INTERNE</v>
          </cell>
          <cell r="AK672" t="str">
            <v>INTERNE</v>
          </cell>
          <cell r="AL672" t="str">
            <v>/</v>
          </cell>
          <cell r="AM672" t="str">
            <v>Putharjhora Tea Estate</v>
          </cell>
        </row>
        <row r="673">
          <cell r="A673" t="str">
            <v>TN2352</v>
          </cell>
          <cell r="B673"/>
          <cell r="C673"/>
          <cell r="D673"/>
          <cell r="E673"/>
          <cell r="F673"/>
          <cell r="G673"/>
          <cell r="H673" t="str">
            <v>LES PRIMEURS</v>
          </cell>
          <cell r="I673"/>
          <cell r="J673" t="str">
            <v>Spring Thunder</v>
          </cell>
          <cell r="K673" t="str">
            <v>FTGFOP1 FF 
Jardin de Putharjhora - Top Quality 
cultivar RR-114</v>
          </cell>
          <cell r="L673" t="str">
            <v>Thé noir primeur</v>
          </cell>
          <cell r="M673" t="str">
            <v>Inde - Dooars</v>
          </cell>
          <cell r="N673" t="str">
            <v>AB</v>
          </cell>
          <cell r="O673" t="str">
            <v>WFTO</v>
          </cell>
          <cell r="P673" t="str">
            <v>D</v>
          </cell>
          <cell r="Q673" t="str">
            <v>/</v>
          </cell>
          <cell r="R673" t="str">
            <v>/</v>
          </cell>
          <cell r="S673" t="str">
            <v>EF</v>
          </cell>
          <cell r="T673" t="str">
            <v>Agriculture Inde</v>
          </cell>
          <cell r="U673"/>
          <cell r="V673" t="str">
            <v>Thé primeur produit en biodynamie. Notes : malt, caramel au beurre salé, cassonade, châtaigne.</v>
          </cell>
          <cell r="W673" t="str">
            <v>S14</v>
          </cell>
          <cell r="X673" t="str">
            <v>primeurs 2024</v>
          </cell>
          <cell r="Y673"/>
          <cell r="Z673" t="str">
            <v xml:space="preserve">Ingrédient : thé noir**. **Issu de l’agriculture biologique et biodynamique. demeter est la marque des produits issus de l’agriculture biodynamique certifiée. </v>
          </cell>
          <cell r="AA673" t="str">
            <v>/</v>
          </cell>
          <cell r="AB673" t="str">
            <v>Membre certifié World Fair Trade Organization, Les Jardins de Gaïa s’engagent pour un commerce plus juste et répondent aux exigences du commerce équitable. Pour en savoir plus : www.wfto.com.</v>
          </cell>
          <cell r="AC673">
            <v>80</v>
          </cell>
          <cell r="AD673" t="str">
            <v>3-4</v>
          </cell>
          <cell r="AE673" t="str">
            <v>85-90</v>
          </cell>
          <cell r="AF673">
            <v>2</v>
          </cell>
          <cell r="AG673">
            <v>40</v>
          </cell>
          <cell r="AH673">
            <v>3582810223529</v>
          </cell>
          <cell r="AI673" t="str">
            <v>/</v>
          </cell>
          <cell r="AJ673" t="str">
            <v>ETNN235FF22</v>
          </cell>
          <cell r="AK673" t="str">
            <v>ETNN235FF22V5</v>
          </cell>
          <cell r="AL673" t="str">
            <v>ETCNN2352FF22V5</v>
          </cell>
          <cell r="AM673" t="str">
            <v>Putharjhora Tea Estate</v>
          </cell>
        </row>
        <row r="674">
          <cell r="A674" t="str">
            <v>TH1756</v>
          </cell>
          <cell r="B674"/>
          <cell r="C674" t="str">
            <v>X</v>
          </cell>
          <cell r="D674" t="str">
            <v>X</v>
          </cell>
          <cell r="E674"/>
          <cell r="F674" t="str">
            <v>GRAI</v>
          </cell>
          <cell r="G674">
            <v>45408</v>
          </cell>
          <cell r="H674" t="str">
            <v>LES GRANDS CLASSIQUES</v>
          </cell>
          <cell r="I674" t="str">
            <v>LES INFUSIONS DE PLANTES</v>
          </cell>
          <cell r="J674" t="str">
            <v>Stévia</v>
          </cell>
          <cell r="K674" t="str">
            <v>/</v>
          </cell>
          <cell r="L674" t="str">
            <v>Infusion de plante</v>
          </cell>
          <cell r="M674" t="str">
            <v>Portugal</v>
          </cell>
          <cell r="N674" t="str">
            <v>AB</v>
          </cell>
          <cell r="O674" t="str">
            <v>/</v>
          </cell>
          <cell r="P674" t="str">
            <v>/</v>
          </cell>
          <cell r="Q674" t="str">
            <v>/</v>
          </cell>
          <cell r="R674" t="str">
            <v>/</v>
          </cell>
          <cell r="S674" t="str">
            <v>/</v>
          </cell>
          <cell r="T674" t="str">
            <v>Agriculture UE</v>
          </cell>
          <cell r="U674"/>
          <cell r="V674" t="str">
            <v>Originaire du Paraguay, la stévia est appelée "herbe douce" ou "miel d'herbe" par les Indiens guaranis qui s'en servent traditionnellement pour adoucir l'amertume du maté. Son pouvoir sucrant naturel, tout en étant non calorique, en fait une plante très agréable en infusion ou en association à d'autres plantes. Elle ouvre aussi de nombreux horizons en cuisine et en particulier pour l'élaboration des desserts.</v>
          </cell>
          <cell r="W674" t="str">
            <v>S12</v>
          </cell>
          <cell r="X674" t="str">
            <v>La tisane de stévia appelée "miel d'herbe" par les Indiens guaranis surprend par ses saveurs sucrées intenses tout en étant non calorique. On peut la consommer seule ou associée à d'autres plantes. Elle ouvre aussi de nombreux horizons en cuisine, particulièrement pour l'élaboration de desserts.</v>
          </cell>
          <cell r="Y674"/>
          <cell r="Z674" t="str">
            <v>Ingrédient : stévia* (Stevia rebaudiana). *Issu de l'agriculture biologique.</v>
          </cell>
          <cell r="AA674" t="str">
            <v>/</v>
          </cell>
          <cell r="AB674" t="str">
            <v>/</v>
          </cell>
          <cell r="AC674">
            <v>30</v>
          </cell>
          <cell r="AD674" t="str">
            <v>5</v>
          </cell>
          <cell r="AE674">
            <v>95</v>
          </cell>
          <cell r="AF674">
            <v>2</v>
          </cell>
          <cell r="AG674">
            <v>15</v>
          </cell>
          <cell r="AH674">
            <v>3582811017561</v>
          </cell>
          <cell r="AI674" t="str">
            <v>/</v>
          </cell>
          <cell r="AJ674" t="str">
            <v>ETHN1750V5</v>
          </cell>
          <cell r="AK674" t="str">
            <v>ETHN1750V5</v>
          </cell>
          <cell r="AL674" t="str">
            <v>/</v>
          </cell>
          <cell r="AM674" t="str">
            <v>Carlos</v>
          </cell>
        </row>
        <row r="675">
          <cell r="A675" t="str">
            <v>TO2041</v>
          </cell>
          <cell r="B675"/>
          <cell r="C675"/>
          <cell r="D675"/>
          <cell r="E675"/>
          <cell r="F675"/>
          <cell r="G675"/>
          <cell r="H675" t="str">
            <v>LES GRANDS CLASSIQUES</v>
          </cell>
          <cell r="I675"/>
          <cell r="J675" t="str">
            <v>Sticky rice</v>
          </cell>
          <cell r="K675" t="str">
            <v>/</v>
          </cell>
          <cell r="L675" t="str">
            <v>Thé wulong parfumé d'origine</v>
          </cell>
          <cell r="M675" t="str">
            <v>Thaïlande - Chiang Rai</v>
          </cell>
          <cell r="N675" t="str">
            <v>AB</v>
          </cell>
          <cell r="O675" t="str">
            <v>/</v>
          </cell>
          <cell r="P675" t="str">
            <v>/</v>
          </cell>
          <cell r="Q675" t="str">
            <v>/</v>
          </cell>
          <cell r="R675" t="str">
            <v>/</v>
          </cell>
          <cell r="S675" t="str">
            <v>/</v>
          </cell>
          <cell r="T675" t="str">
            <v>Agriculture Thaïlande</v>
          </cell>
          <cell r="U675"/>
          <cell r="V675" t="str">
            <v>Ce très aromatique wulong du nord de la Thaïlande se distingue par des parfums de riz cuit à la vapeur dus à la présence de feuilles de Nuo Mi Xiang (Semnostachya menglaensis Tsui), une plante originaire du Yunnan voisin. Sa liqueur gourmande tout en onctuosité libère des saveurs sucrées et florales qui évoquent le riz basmati, le riz au lait, accompagnées de notes biscuitées et légèrement torréfiées.</v>
          </cell>
          <cell r="W675" t="str">
            <v>S17</v>
          </cell>
          <cell r="X675" t="str">
            <v>Ce très aromatique thé wulong du nord de la Thaïlande se distingue par des parfums de riz cuit à la vapeur dus à la présence de feuilles de Nuo Mi Xiang (Semnostachya menglaensis Tsui). Sa liqueur onctueuse offre des saveurs sucrées, florales et biscuitées très gourmandes évoquant le riz au lait.</v>
          </cell>
          <cell r="Y675"/>
          <cell r="Z675" t="str">
            <v>Ingrédient : thé wulong*. *Issu de l'agriculture biologique.</v>
          </cell>
          <cell r="AA675" t="str">
            <v>/</v>
          </cell>
          <cell r="AB675" t="str">
            <v>/</v>
          </cell>
          <cell r="AC675">
            <v>1.5</v>
          </cell>
          <cell r="AD675" t="str">
            <v>5</v>
          </cell>
          <cell r="AE675">
            <v>95</v>
          </cell>
          <cell r="AF675">
            <v>2</v>
          </cell>
          <cell r="AG675">
            <v>750</v>
          </cell>
          <cell r="AH675">
            <v>3582810720417</v>
          </cell>
          <cell r="AI675" t="str">
            <v>/</v>
          </cell>
          <cell r="AJ675" t="str">
            <v>INTERNE</v>
          </cell>
          <cell r="AK675" t="str">
            <v>INTERNE</v>
          </cell>
          <cell r="AL675" t="str">
            <v>/</v>
          </cell>
          <cell r="AM675" t="str">
            <v>Choke Chamroen Tea Co., Ltd.</v>
          </cell>
        </row>
        <row r="676">
          <cell r="A676" t="str">
            <v>TO2042</v>
          </cell>
          <cell r="B676"/>
          <cell r="C676" t="str">
            <v>X</v>
          </cell>
          <cell r="D676" t="str">
            <v>X</v>
          </cell>
          <cell r="E676" t="str">
            <v>X</v>
          </cell>
          <cell r="F676" t="str">
            <v>BRODART</v>
          </cell>
          <cell r="G676"/>
          <cell r="H676" t="str">
            <v>LES GRANDS CLASSIQUES</v>
          </cell>
          <cell r="I676"/>
          <cell r="J676" t="str">
            <v>Sticky rice</v>
          </cell>
          <cell r="K676" t="str">
            <v>/</v>
          </cell>
          <cell r="L676" t="str">
            <v>Thé wulong parfumé d'origine</v>
          </cell>
          <cell r="M676" t="str">
            <v>Thaïlande - Chiang Rai</v>
          </cell>
          <cell r="N676" t="str">
            <v>AB</v>
          </cell>
          <cell r="O676" t="str">
            <v>/</v>
          </cell>
          <cell r="P676" t="str">
            <v>/</v>
          </cell>
          <cell r="Q676" t="str">
            <v>/</v>
          </cell>
          <cell r="R676" t="str">
            <v>/</v>
          </cell>
          <cell r="S676" t="str">
            <v>/</v>
          </cell>
          <cell r="T676" t="str">
            <v>Agriculture Thaïlande</v>
          </cell>
          <cell r="U676"/>
          <cell r="V676" t="str">
            <v>Ce très aromatique wulong du nord de la Thaïlande se distingue par des parfums de riz cuit à la vapeur dus à la présence de feuilles de Nuo Mi Xiang (Semnostachya menglaensis Tsui), une plante originaire du Yunnan voisin. Sa liqueur gourmande tout en onctuosité libère des saveurs sucrées et florales qui évoquent le riz basmati, le riz au lait, accompagnées de notes biscuitées et légèrement torréfiées.</v>
          </cell>
          <cell r="W676" t="str">
            <v>S17</v>
          </cell>
          <cell r="X676" t="str">
            <v>Ce très aromatique thé wulong du nord de la Thaïlande se distingue par des parfums de riz cuit à la vapeur dus à la présence de feuilles de Nuo Mi Xiang (Semnostachya menglaensis Tsui). Sa liqueur onctueuse offre des saveurs sucrées, florales et biscuitées très gourmandes évoquant le riz au lait.</v>
          </cell>
          <cell r="Y676"/>
          <cell r="Z676" t="str">
            <v>Ingrédient : thé wulong*. *Issu de l'agriculture biologique.</v>
          </cell>
          <cell r="AA676" t="str">
            <v>/</v>
          </cell>
          <cell r="AB676" t="str">
            <v>/</v>
          </cell>
          <cell r="AC676">
            <v>100</v>
          </cell>
          <cell r="AD676" t="str">
            <v>5</v>
          </cell>
          <cell r="AE676">
            <v>95</v>
          </cell>
          <cell r="AF676">
            <v>2</v>
          </cell>
          <cell r="AG676">
            <v>50</v>
          </cell>
          <cell r="AH676">
            <v>3582810720424</v>
          </cell>
          <cell r="AI676" t="str">
            <v>/</v>
          </cell>
          <cell r="AJ676" t="str">
            <v>ETON204</v>
          </cell>
          <cell r="AK676" t="str">
            <v>ETON204V5</v>
          </cell>
          <cell r="AL676" t="str">
            <v>ETCON2042V5</v>
          </cell>
          <cell r="AM676" t="str">
            <v>Choke Chamroen Tea Co., Ltd.</v>
          </cell>
        </row>
        <row r="677">
          <cell r="A677" t="str">
            <v>TN2117</v>
          </cell>
          <cell r="B677"/>
          <cell r="C677"/>
          <cell r="D677"/>
          <cell r="E677"/>
          <cell r="F677"/>
          <cell r="G677"/>
          <cell r="H677" t="str">
            <v>LES PRIMEURS</v>
          </cell>
          <cell r="I677"/>
          <cell r="J677" t="str">
            <v>Subarna</v>
          </cell>
          <cell r="K677" t="str">
            <v>FTGFOP1 FF 
Top Quality 
cultivar Subarna China</v>
          </cell>
          <cell r="L677" t="str">
            <v>Thé noir primeur</v>
          </cell>
          <cell r="M677" t="str">
            <v>Inde - Darjeeling - Subarna garden</v>
          </cell>
          <cell r="N677" t="str">
            <v>AB</v>
          </cell>
          <cell r="O677" t="str">
            <v>/</v>
          </cell>
          <cell r="P677" t="str">
            <v>/</v>
          </cell>
          <cell r="Q677" t="str">
            <v>/</v>
          </cell>
          <cell r="R677" t="str">
            <v>IGP</v>
          </cell>
          <cell r="S677" t="str">
            <v>/</v>
          </cell>
          <cell r="T677" t="str">
            <v>Agriculture Inde</v>
          </cell>
          <cell r="U677"/>
          <cell r="V677" t="str">
            <v>Récolte confidentielle issue de jardins d'altitude. Notes : gourmandes, biscuitées, fruitées (poire, raisin blanc).</v>
          </cell>
          <cell r="W677" t="str">
            <v>S14</v>
          </cell>
          <cell r="X677" t="str">
            <v>primeurs 2024</v>
          </cell>
          <cell r="Y677"/>
          <cell r="Z677" t="str">
            <v>Ingrédient : thé noir*. *Issu de l'agriculture biologique.</v>
          </cell>
          <cell r="AA677" t="str">
            <v>/</v>
          </cell>
          <cell r="AB677"/>
          <cell r="AC677">
            <v>1</v>
          </cell>
          <cell r="AD677" t="str">
            <v>3-4</v>
          </cell>
          <cell r="AE677" t="str">
            <v>85-90</v>
          </cell>
          <cell r="AF677">
            <v>2</v>
          </cell>
          <cell r="AG677">
            <v>500</v>
          </cell>
          <cell r="AH677">
            <v>3582810221174</v>
          </cell>
          <cell r="AI677" t="str">
            <v>/</v>
          </cell>
          <cell r="AJ677" t="str">
            <v>INTERNE</v>
          </cell>
          <cell r="AK677" t="str">
            <v>INTERNE</v>
          </cell>
          <cell r="AL677" t="str">
            <v>/</v>
          </cell>
          <cell r="AM677" t="str">
            <v>Jardin de Teesta</v>
          </cell>
        </row>
        <row r="678">
          <cell r="A678" t="str">
            <v>TN2112</v>
          </cell>
          <cell r="B678"/>
          <cell r="C678"/>
          <cell r="D678"/>
          <cell r="E678"/>
          <cell r="F678"/>
          <cell r="G678"/>
          <cell r="H678" t="str">
            <v>LES PRIMEURS</v>
          </cell>
          <cell r="I678"/>
          <cell r="J678" t="str">
            <v>Subarna</v>
          </cell>
          <cell r="K678" t="str">
            <v>FTGFOP1 FF 
Top Quality 
cultivar Subarna China</v>
          </cell>
          <cell r="L678" t="str">
            <v>Thé noir primeur</v>
          </cell>
          <cell r="M678" t="str">
            <v>Inde - Darjeeling - Subarna garden</v>
          </cell>
          <cell r="N678" t="str">
            <v>AB</v>
          </cell>
          <cell r="O678" t="str">
            <v>/</v>
          </cell>
          <cell r="P678" t="str">
            <v>/</v>
          </cell>
          <cell r="Q678" t="str">
            <v>/</v>
          </cell>
          <cell r="R678" t="str">
            <v>IGP</v>
          </cell>
          <cell r="S678" t="str">
            <v>/</v>
          </cell>
          <cell r="T678" t="str">
            <v>Agriculture Inde</v>
          </cell>
          <cell r="U678"/>
          <cell r="V678" t="str">
            <v>Récolte confidentielle issue de jardins d'altitude. Notes : gourmandes, biscuitées, fruitées (poire, raisin blanc).</v>
          </cell>
          <cell r="W678" t="str">
            <v>S14</v>
          </cell>
          <cell r="X678" t="str">
            <v>primeurs 2024</v>
          </cell>
          <cell r="Y678"/>
          <cell r="Z678" t="str">
            <v>Ingrédient : thé noir*. *Issu de l'agriculture biologique.</v>
          </cell>
          <cell r="AA678" t="str">
            <v>/</v>
          </cell>
          <cell r="AB678"/>
          <cell r="AC678">
            <v>80</v>
          </cell>
          <cell r="AD678" t="str">
            <v>3-4</v>
          </cell>
          <cell r="AE678" t="str">
            <v>85-90</v>
          </cell>
          <cell r="AF678">
            <v>2</v>
          </cell>
          <cell r="AG678">
            <v>40</v>
          </cell>
          <cell r="AH678">
            <v>3582810221129</v>
          </cell>
          <cell r="AI678" t="str">
            <v>/</v>
          </cell>
          <cell r="AJ678" t="str">
            <v>ETNN211V5</v>
          </cell>
          <cell r="AK678" t="str">
            <v>ETNN211V5</v>
          </cell>
          <cell r="AL678" t="str">
            <v>ETCNN2112FF22V5</v>
          </cell>
          <cell r="AM678" t="str">
            <v>Jardin de Teesta</v>
          </cell>
        </row>
        <row r="679">
          <cell r="A679" t="str">
            <v>TA7011</v>
          </cell>
          <cell r="B679"/>
          <cell r="C679"/>
          <cell r="D679"/>
          <cell r="E679"/>
          <cell r="F679"/>
          <cell r="G679"/>
          <cell r="H679" t="str">
            <v>LES ENGAGÉS</v>
          </cell>
          <cell r="I679"/>
          <cell r="J679" t="str">
            <v>Summer Vibration</v>
          </cell>
          <cell r="K679" t="str">
            <v>Spicy</v>
          </cell>
          <cell r="L679" t="str">
            <v>Mélange de thés aromatisé</v>
          </cell>
          <cell r="M679" t="str">
            <v>Inde - Kerala</v>
          </cell>
          <cell r="N679" t="str">
            <v>AB</v>
          </cell>
          <cell r="O679" t="str">
            <v>WFTO</v>
          </cell>
          <cell r="P679" t="str">
            <v>/</v>
          </cell>
          <cell r="Q679" t="str">
            <v>/</v>
          </cell>
          <cell r="R679" t="str">
            <v>/</v>
          </cell>
          <cell r="S679" t="str">
            <v>/</v>
          </cell>
          <cell r="T679" t="str">
            <v>Agriculture UE/non UE</v>
          </cell>
          <cell r="U679"/>
          <cell r="V679" t="str">
            <v>Rejoignez la galaxie rastafari et hydratez-vous aux couleurs vert, jaune et rouge ! Cette recette inspirée par l'esprit de Jah vibre sur des saveurs fruitées et solaires de mangue accompagnées d'une touche citronnée. Relaxez-vous dans ce flow aromatique avant de vous laisser surprendre par une petite finale pimentée qui cache bien son Jeu… Sensations garanties vers Zion, en mode chaud ou froid !</v>
          </cell>
          <cell r="W679"/>
          <cell r="X679" t="str">
            <v xml:space="preserve">Rejoignez la galaxie rastafari et vibrez aux couleurs vert, jaune et rouge avec ce thé noir aux saveurs fruitées de mangue accompagnées d'un soupçon de citron. Sensations garanties tout au long de ce « flow » aromatique, avant de vous laisser surprendre par une touche finale pimentée ! </v>
          </cell>
          <cell r="Y679" t="str">
            <v>Zone 51 est une association née à Sélestat en 1998. Son objectif est de promouvoir et diffuser les musiques actuelles en Alsace. zone51.net</v>
          </cell>
          <cell r="Z679" t="str">
            <v>Ingrédients : mélange de thés (thé noir*, thé vert*), lemongrass*, arôme naturel de mangue*, baies roses*, buchu*, huile essentielle de citron*, pétales de souci*, flocons de piment*. *Issu de l'agriculture biologique.</v>
          </cell>
          <cell r="AA679" t="str">
            <v>/</v>
          </cell>
          <cell r="AB679" t="str">
            <v>Membre certifié World Fair Trade Organization, Les Jardins de Gaïa s’engagent pour un commerce plus juste et répondent aux exigences du commerce équitable. Pour en savoir plus : www.wfto.com.</v>
          </cell>
          <cell r="AC679">
            <v>1.5</v>
          </cell>
          <cell r="AD679" t="str">
            <v>3</v>
          </cell>
          <cell r="AE679">
            <v>90</v>
          </cell>
          <cell r="AF679">
            <v>2</v>
          </cell>
          <cell r="AG679">
            <v>750</v>
          </cell>
          <cell r="AH679">
            <v>3582810470114</v>
          </cell>
          <cell r="AI679" t="str">
            <v>/</v>
          </cell>
          <cell r="AJ679" t="str">
            <v>INTERNE</v>
          </cell>
          <cell r="AK679" t="str">
            <v>INTERNE</v>
          </cell>
          <cell r="AL679" t="str">
            <v>/</v>
          </cell>
          <cell r="AM679" t="str">
            <v>Création maison</v>
          </cell>
        </row>
        <row r="680">
          <cell r="A680" t="str">
            <v>TA7012</v>
          </cell>
          <cell r="B680"/>
          <cell r="C680" t="str">
            <v>X</v>
          </cell>
          <cell r="D680"/>
          <cell r="E680"/>
          <cell r="F680" t="str">
            <v>GRAI</v>
          </cell>
          <cell r="G680">
            <v>45383</v>
          </cell>
          <cell r="H680" t="str">
            <v>LES ENGAGÉS</v>
          </cell>
          <cell r="I680" t="str">
            <v>AGIR POUR LA CULTURE</v>
          </cell>
          <cell r="J680" t="str">
            <v>Summer Vibration</v>
          </cell>
          <cell r="K680" t="str">
            <v>lemongrass, saveur mangue</v>
          </cell>
          <cell r="L680" t="str">
            <v>Mélange de thés aromatisé</v>
          </cell>
          <cell r="M680" t="str">
            <v>Chine - Inde</v>
          </cell>
          <cell r="N680" t="str">
            <v>AB</v>
          </cell>
          <cell r="O680" t="str">
            <v>WFTO</v>
          </cell>
          <cell r="P680" t="str">
            <v>/</v>
          </cell>
          <cell r="Q680" t="str">
            <v>/</v>
          </cell>
          <cell r="R680" t="str">
            <v>/</v>
          </cell>
          <cell r="S680" t="str">
            <v>/</v>
          </cell>
          <cell r="T680" t="str">
            <v>Agriculture UE/non UE</v>
          </cell>
          <cell r="U680"/>
          <cell r="V680" t="str">
            <v>Rejoignez la galaxie rastafari et hydratez-vous aux couleurs vert, jaune et rouge ! Cette recette inspirée par l'esprit de Jah vibre sur des saveurs fruitées et solaires de mangue accompagnées d'une touche citronnée. Relaxez-vous dans ce flow aromatique avant de vous laisser surprendre par une petite finale pimentée qui cache bien son Jeu… Sensations garanties vers Zion, en mode chaud ou froid !</v>
          </cell>
          <cell r="W680"/>
          <cell r="X680" t="str">
            <v xml:space="preserve">Rejoignez la galaxie rastafari et vibrez aux couleurs vert, jaune et rouge avec ce thé noir aux saveurs fruitées de mangue accompagnées d'un soupçon de citron. Sensations garanties tout au long de ce « flow » aromatique, avant de vous laisser surprendre par une touche finale pimentée ! </v>
          </cell>
          <cell r="Y680" t="str">
            <v>Zone 51 est une association née à Sélestat en 1998. Son objectif est de promouvoir et diffuser les musiques actuelles en Alsace. zone51.net</v>
          </cell>
          <cell r="Z680" t="str">
            <v>Ingrédients : mélange de thés (thé noir*, thé vert*), lemongrass* 14%, arôme naturel de mangue* 8%, baies roses*, buchu*, huile essentielle de citron*, pétales de souci*, flocons de piment*. *Issu de l'agriculture biologique.</v>
          </cell>
          <cell r="AA680" t="str">
            <v>/</v>
          </cell>
          <cell r="AB680" t="str">
            <v>Membre certifié World Fair Trade Organization, Les Jardins de Gaïa s’engagent pour un commerce plus juste et répondent aux exigences du commerce équitable. Pour en savoir plus : www.wfto.com.</v>
          </cell>
          <cell r="AC680">
            <v>100</v>
          </cell>
          <cell r="AD680" t="str">
            <v>3</v>
          </cell>
          <cell r="AE680">
            <v>90</v>
          </cell>
          <cell r="AF680">
            <v>2</v>
          </cell>
          <cell r="AG680">
            <v>50</v>
          </cell>
          <cell r="AH680">
            <v>3582810470121</v>
          </cell>
          <cell r="AI680" t="str">
            <v>/</v>
          </cell>
          <cell r="AJ680" t="str">
            <v>ETNA701V5</v>
          </cell>
          <cell r="AK680" t="str">
            <v>ETNA701V5</v>
          </cell>
          <cell r="AL680" t="str">
            <v>ETCNA7012V5</v>
          </cell>
          <cell r="AM680" t="str">
            <v xml:space="preserve">Guzhang Gaofeng Organic Tea Association </v>
          </cell>
        </row>
        <row r="681">
          <cell r="A681" t="str">
            <v>TUTO1416</v>
          </cell>
          <cell r="B681"/>
          <cell r="C681" t="str">
            <v>X</v>
          </cell>
          <cell r="D681"/>
          <cell r="E681"/>
          <cell r="F681"/>
          <cell r="G681"/>
          <cell r="H681" t="str">
            <v>LES PRECIEUX DU JAPON ET DE TAIWAN</v>
          </cell>
          <cell r="I681"/>
          <cell r="J681" t="str">
            <v>Sun Moon Lake Gaba</v>
          </cell>
          <cell r="K681" t="str">
            <v>/</v>
          </cell>
          <cell r="L681" t="str">
            <v>Thé wulong d'origine</v>
          </cell>
          <cell r="M681" t="str">
            <v>Taïwan - Nantou</v>
          </cell>
          <cell r="N681" t="str">
            <v>AB</v>
          </cell>
          <cell r="O681" t="str">
            <v>/</v>
          </cell>
          <cell r="P681" t="str">
            <v>/</v>
          </cell>
          <cell r="Q681" t="str">
            <v>/</v>
          </cell>
          <cell r="R681" t="str">
            <v>/</v>
          </cell>
          <cell r="S681" t="str">
            <v>/</v>
          </cell>
          <cell r="T681" t="str">
            <v>Agriculture Taïwan</v>
          </cell>
          <cell r="U681"/>
          <cell r="V681" t="str">
            <v>Ce wulong riche en acide aminé gaba est obtenu en privant les feuilles de thé d’oxygène entre deux étapes de leur oxydation. La liqueur ample en bouche offre une attaque légèrement acidulée suivie de notes de riz cuit, de pain grillé, de biscotte beurrée sur fond sucré particulièrement gourmand.</v>
          </cell>
          <cell r="W681" t="str">
            <v>S14</v>
          </cell>
          <cell r="X681" t="str">
            <v>Ce thé wulong riche en acide aminé gaba est obtenu en privant ses feuilles d’oxygène entre deux étapes de leur oxydation. Sa liqueur d’une belle souplesse offre une attaque légèrement acidulée suivie de notes gourmandes et légèrement sucrées de riz cuit, de pain grillé et de biscotte beurrée.</v>
          </cell>
          <cell r="Y681"/>
          <cell r="Z681" t="str">
            <v xml:space="preserve">Ingrédient : thé wulong*.
*Issu de l'agriculture biologique.
</v>
          </cell>
          <cell r="AA681" t="str">
            <v>/</v>
          </cell>
          <cell r="AB681" t="str">
            <v>/</v>
          </cell>
          <cell r="AC681">
            <v>50</v>
          </cell>
          <cell r="AD681" t="str">
            <v>5</v>
          </cell>
          <cell r="AE681">
            <v>95</v>
          </cell>
          <cell r="AF681">
            <v>2</v>
          </cell>
          <cell r="AG681">
            <v>25</v>
          </cell>
          <cell r="AH681">
            <v>3582810714164</v>
          </cell>
          <cell r="AI681" t="str">
            <v>Plusieurs infusions</v>
          </cell>
          <cell r="AJ681" t="str">
            <v>ETTUTO1416</v>
          </cell>
          <cell r="AK681" t="str">
            <v>ETTUTO1416V5</v>
          </cell>
          <cell r="AL681" t="str">
            <v>/</v>
          </cell>
          <cell r="AM681" t="str">
            <v>Lugao tea garden</v>
          </cell>
        </row>
        <row r="682">
          <cell r="A682" t="str">
            <v>TUTO1406</v>
          </cell>
          <cell r="B682"/>
          <cell r="C682" t="str">
            <v>X</v>
          </cell>
          <cell r="D682"/>
          <cell r="E682"/>
          <cell r="F682"/>
          <cell r="G682"/>
          <cell r="H682" t="str">
            <v>LES PRECIEUX DU JAPON ET DE TAIWAN</v>
          </cell>
          <cell r="I682"/>
          <cell r="J682" t="str">
            <v>Sun Moon Lake Milky</v>
          </cell>
          <cell r="K682" t="str">
            <v>/</v>
          </cell>
          <cell r="L682" t="str">
            <v>Thé wulong d'origine</v>
          </cell>
          <cell r="M682" t="str">
            <v>Taïwan - Nantou</v>
          </cell>
          <cell r="N682" t="str">
            <v>AB</v>
          </cell>
          <cell r="O682" t="str">
            <v>/</v>
          </cell>
          <cell r="P682" t="str">
            <v>/</v>
          </cell>
          <cell r="Q682" t="str">
            <v>/</v>
          </cell>
          <cell r="R682" t="str">
            <v>/</v>
          </cell>
          <cell r="S682" t="str">
            <v>/</v>
          </cell>
          <cell r="T682" t="str">
            <v>Agriculture Taïwan</v>
          </cell>
          <cell r="U682"/>
          <cell r="V682" t="str">
            <v>Ce « milky wulong » produit à proximité du Lac du Soleil et de la Lune à partir du cultivar Jin Xuan, se caractérise par une palette aromatique complexe et intense. Ses saveurs évoquant le nashi et la poire verte sont mises en valeur par un fond frais et lacté gourmand.</v>
          </cell>
          <cell r="W682" t="str">
            <v>S14</v>
          </cell>
          <cell r="X682" t="str">
            <v>Ce milky wulong taïwanais produit à proximité du Lac du Soleil et de la Lune à partir du cultivar Jin Xuan, se caractérise par une palette aromatique complexe et intense. Ses saveurs évoquant le nashi et la poire verte sont mises en valeur par un fond frais et lacté particulièrement gourmand.</v>
          </cell>
          <cell r="Y682"/>
          <cell r="Z682" t="str">
            <v xml:space="preserve">Ingrédient : thé wulong*.
*Issu de l'agriculture biologique.
</v>
          </cell>
          <cell r="AA682" t="str">
            <v>/</v>
          </cell>
          <cell r="AB682" t="str">
            <v>/</v>
          </cell>
          <cell r="AC682">
            <v>50</v>
          </cell>
          <cell r="AD682" t="str">
            <v>5</v>
          </cell>
          <cell r="AE682">
            <v>95</v>
          </cell>
          <cell r="AF682">
            <v>2</v>
          </cell>
          <cell r="AG682">
            <v>25</v>
          </cell>
          <cell r="AH682">
            <v>3582810714065</v>
          </cell>
          <cell r="AI682" t="str">
            <v>Plusieurs infusions</v>
          </cell>
          <cell r="AJ682" t="str">
            <v>ETTUTO1406</v>
          </cell>
          <cell r="AK682" t="str">
            <v>ETTUTO1406V5</v>
          </cell>
          <cell r="AL682" t="str">
            <v>/</v>
          </cell>
          <cell r="AM682" t="str">
            <v>Lugao tea garden</v>
          </cell>
        </row>
        <row r="683">
          <cell r="A683" t="str">
            <v>TV1335</v>
          </cell>
          <cell r="B683"/>
          <cell r="C683"/>
          <cell r="D683"/>
          <cell r="E683"/>
          <cell r="F683"/>
          <cell r="G683"/>
          <cell r="H683" t="str">
            <v>LES GRAND CRUS</v>
          </cell>
          <cell r="I683"/>
          <cell r="J683" t="str">
            <v>Supreme Bud Needles</v>
          </cell>
          <cell r="K683" t="str">
            <v>Bourgeons de jade 玉芽</v>
          </cell>
          <cell r="L683" t="str">
            <v>Thé vert Mingqian</v>
          </cell>
          <cell r="M683" t="str">
            <v>Chine - Hubei</v>
          </cell>
          <cell r="N683" t="str">
            <v>AB</v>
          </cell>
          <cell r="O683" t="str">
            <v>WFTO</v>
          </cell>
          <cell r="P683" t="str">
            <v>/</v>
          </cell>
          <cell r="Q683" t="str">
            <v>/</v>
          </cell>
          <cell r="R683" t="str">
            <v>/</v>
          </cell>
          <cell r="S683" t="str">
            <v>/</v>
          </cell>
          <cell r="T683" t="str">
            <v>Agriculture Chine</v>
          </cell>
          <cell r="U683"/>
          <cell r="V683" t="str">
            <v>Prestigieuse récolte des premiers bourgeons printaniers. Notes : agrumes, yuzu, noisettes grillées.</v>
          </cell>
          <cell r="W683" t="str">
            <v>S14</v>
          </cell>
          <cell r="X683" t="str">
            <v>primeurs 2024</v>
          </cell>
          <cell r="Y683"/>
          <cell r="Z683" t="str">
            <v>Ingrédient : thé vert*. *Issu de l'agriculture biologique.</v>
          </cell>
          <cell r="AA683" t="str">
            <v>/</v>
          </cell>
          <cell r="AB683" t="str">
            <v>Membre certifié World Fair Trade Organization, Les Jardins de Gaïa s’engagent pour un commerce plus juste et répondent aux exigences du commerce équitable. Pour en savoir plus : www.wfto.com.</v>
          </cell>
          <cell r="AC683">
            <v>500</v>
          </cell>
          <cell r="AD683" t="str">
            <v>3</v>
          </cell>
          <cell r="AE683">
            <v>75</v>
          </cell>
          <cell r="AF683">
            <v>2</v>
          </cell>
          <cell r="AG683">
            <v>250</v>
          </cell>
          <cell r="AH683">
            <v>3582810313350</v>
          </cell>
          <cell r="AI683" t="str">
            <v>Plusieurs infusions</v>
          </cell>
          <cell r="AJ683" t="str">
            <v>INTERNE</v>
          </cell>
          <cell r="AK683" t="str">
            <v>INTERNE</v>
          </cell>
          <cell r="AL683" t="str">
            <v>/</v>
          </cell>
          <cell r="AM683" t="str">
            <v>Xuan En Yisheng Tea Cooperative</v>
          </cell>
        </row>
        <row r="684">
          <cell r="A684" t="str">
            <v>TV1336</v>
          </cell>
          <cell r="B684"/>
          <cell r="C684"/>
          <cell r="D684"/>
          <cell r="E684"/>
          <cell r="F684"/>
          <cell r="G684"/>
          <cell r="H684" t="str">
            <v>LES GRAND CRUS</v>
          </cell>
          <cell r="I684"/>
          <cell r="J684" t="str">
            <v>Supreme Bud Needles</v>
          </cell>
          <cell r="K684" t="str">
            <v>Bourgeons de jade 玉芽</v>
          </cell>
          <cell r="L684" t="str">
            <v>Thé vert Mingqian</v>
          </cell>
          <cell r="M684" t="str">
            <v>Chine - Hubei</v>
          </cell>
          <cell r="N684" t="str">
            <v>AB</v>
          </cell>
          <cell r="O684" t="str">
            <v>WFTO</v>
          </cell>
          <cell r="P684" t="str">
            <v>/</v>
          </cell>
          <cell r="Q684" t="str">
            <v>/</v>
          </cell>
          <cell r="R684" t="str">
            <v>/</v>
          </cell>
          <cell r="S684" t="str">
            <v>/</v>
          </cell>
          <cell r="T684" t="str">
            <v>Agriculture Chine</v>
          </cell>
          <cell r="U684"/>
          <cell r="V684" t="str">
            <v>Prestigieuse récolte des premiers bourgeons printaniers. Notes : agrumes, yuzu, noisettes grillées.</v>
          </cell>
          <cell r="W684" t="str">
            <v>S14</v>
          </cell>
          <cell r="X684" t="str">
            <v>primeurs 2024</v>
          </cell>
          <cell r="Y684"/>
          <cell r="Z684" t="str">
            <v>Ingrédient : thé vert*. *Issu de l'agriculture biologique.</v>
          </cell>
          <cell r="AA684" t="str">
            <v>/</v>
          </cell>
          <cell r="AB684" t="str">
            <v>Membre certifié World Fair Trade Organization, Les Jardins de Gaïa s’engagent pour un commerce plus juste et répondent aux exigences du commerce équitable. Pour en savoir plus : www.wfto.com.</v>
          </cell>
          <cell r="AC684">
            <v>50</v>
          </cell>
          <cell r="AD684" t="str">
            <v>3</v>
          </cell>
          <cell r="AE684">
            <v>75</v>
          </cell>
          <cell r="AF684">
            <v>2</v>
          </cell>
          <cell r="AG684">
            <v>25</v>
          </cell>
          <cell r="AH684">
            <v>3582810313367</v>
          </cell>
          <cell r="AI684" t="str">
            <v>Plusieurs infusions</v>
          </cell>
          <cell r="AJ684" t="str">
            <v>ETVN133FF22</v>
          </cell>
          <cell r="AK684" t="str">
            <v>ETVN133FF22V5</v>
          </cell>
          <cell r="AL684" t="str">
            <v>Q de tube</v>
          </cell>
          <cell r="AM684" t="str">
            <v>Xuan En Yisheng Tea Cooperative</v>
          </cell>
        </row>
        <row r="685">
          <cell r="A685" t="str">
            <v>TA7361</v>
          </cell>
          <cell r="B685"/>
          <cell r="C685"/>
          <cell r="D685"/>
          <cell r="E685"/>
          <cell r="F685"/>
          <cell r="G685"/>
          <cell r="H685" t="str">
            <v>LES GRANDS CLASSIQUES</v>
          </cell>
          <cell r="I685"/>
          <cell r="J685" t="str">
            <v>Sur les traces de Bouddha</v>
          </cell>
          <cell r="K685" t="str">
            <v>Fleurs - Huiles essentielles d'agrumes</v>
          </cell>
          <cell r="L685" t="str">
            <v>Mélange de thés aromatisé</v>
          </cell>
          <cell r="M685" t="str">
            <v>Chine - Vietnam</v>
          </cell>
          <cell r="N685" t="str">
            <v>AB</v>
          </cell>
          <cell r="O685" t="str">
            <v>WFTO</v>
          </cell>
          <cell r="P685" t="str">
            <v>/</v>
          </cell>
          <cell r="Q685" t="str">
            <v>/</v>
          </cell>
          <cell r="R685" t="str">
            <v>/</v>
          </cell>
          <cell r="S685" t="str">
            <v>/</v>
          </cell>
          <cell r="T685" t="str">
            <v>Agriculture UE/non UE</v>
          </cell>
          <cell r="U685"/>
          <cell r="V685" t="str">
            <v>Ce mélange oriental délicatement fleuri, associé à un thé noir très doux, est symbolique des saveurs rencontrées lors des étapes successives de la quête spirituelle de Bouddha. Pour atteindre le Nirvana !</v>
          </cell>
          <cell r="W685" t="str">
            <v>S17</v>
          </cell>
          <cell r="X685" t="str">
            <v>Sur sa base originale de thé noir et de thé vert au jasmin, ce mariage à la fois floral et fruité aux jolies consonances orientales offre un petit voyage aussi gourmand qu’initiatique sur les traces de Bouddha. Laissez-vous emporter par cette richesse aromatique qui vous fera goûter au Nirvana !</v>
          </cell>
          <cell r="Y685"/>
          <cell r="Z685" t="str">
            <v>Ingrédients : mélange de thés (thé noir*, thé vert au jasmin*), extraits de (vanille*, rose*), pétales de fleurs 4% (rose*, lavande*, mauve*, souci*, tournesol*, bleuet*), huiles essentielles d'agrumes (mandarine*, bergamote*) 2%, arôme naturel de fleur de sureau*. *Issu de l'agriculture biologique.</v>
          </cell>
          <cell r="AA685" t="str">
            <v>/</v>
          </cell>
          <cell r="AB685" t="str">
            <v>Membre certifié World Fair Trade Organization, Les Jardins de Gaïa s’engagent pour un commerce plus juste et répondent aux exigences du commerce équitable. Pour en savoir plus : www.wfto.com.</v>
          </cell>
          <cell r="AC685">
            <v>1.5</v>
          </cell>
          <cell r="AD685" t="str">
            <v>3-4</v>
          </cell>
          <cell r="AE685">
            <v>90</v>
          </cell>
          <cell r="AF685">
            <v>2</v>
          </cell>
          <cell r="AG685">
            <v>750</v>
          </cell>
          <cell r="AH685">
            <v>3582810473610</v>
          </cell>
          <cell r="AI685" t="str">
            <v>/</v>
          </cell>
          <cell r="AJ685" t="str">
            <v>INTERNE</v>
          </cell>
          <cell r="AK685" t="str">
            <v>INTERNE</v>
          </cell>
          <cell r="AL685" t="str">
            <v>/</v>
          </cell>
          <cell r="AM685" t="str">
            <v>Création maison</v>
          </cell>
        </row>
        <row r="686">
          <cell r="A686" t="str">
            <v>TA7362</v>
          </cell>
          <cell r="B686"/>
          <cell r="C686" t="str">
            <v>X</v>
          </cell>
          <cell r="D686" t="str">
            <v>X</v>
          </cell>
          <cell r="E686" t="str">
            <v>X</v>
          </cell>
          <cell r="F686" t="str">
            <v>BRODART</v>
          </cell>
          <cell r="G686"/>
          <cell r="H686" t="str">
            <v>LES GRANDS CLASSIQUES</v>
          </cell>
          <cell r="I686"/>
          <cell r="J686" t="str">
            <v>Sur les traces de Bouddha</v>
          </cell>
          <cell r="K686" t="str">
            <v>Fleurs - Huiles essentielles d'agrumes</v>
          </cell>
          <cell r="L686" t="str">
            <v>Mélange de thés aromatisé</v>
          </cell>
          <cell r="M686" t="str">
            <v>Chine</v>
          </cell>
          <cell r="N686" t="str">
            <v>AB</v>
          </cell>
          <cell r="O686" t="str">
            <v>WFTO</v>
          </cell>
          <cell r="P686" t="str">
            <v>/</v>
          </cell>
          <cell r="Q686" t="str">
            <v>/</v>
          </cell>
          <cell r="R686" t="str">
            <v>/</v>
          </cell>
          <cell r="S686" t="str">
            <v>/</v>
          </cell>
          <cell r="T686" t="str">
            <v>Agriculture UE/non UE</v>
          </cell>
          <cell r="U686"/>
          <cell r="V686" t="str">
            <v>Ce mélange oriental délicatement fleuri, associé à un thé noir très doux, est symbolique des saveurs rencontrées lors des étapes successives de la quête spirituelle de Bouddha. Pour atteindre le Nirvana !</v>
          </cell>
          <cell r="W686" t="str">
            <v>S17</v>
          </cell>
          <cell r="X686" t="str">
            <v>Sur sa base originale de thé noir et de thé vert au jasmin, ce mariage à la fois floral et fruité aux jolies consonances orientales offre un petit voyage aussi gourmand qu’initiatique sur les traces de Bouddha. Laissez-vous emporter par cette richesse aromatique qui vous fera goûter au Nirvana !</v>
          </cell>
          <cell r="Y686"/>
          <cell r="Z686" t="str">
            <v>Ingrédients : mélange de thés (thé noir*, thé vert au jasmin*), extraits de (vanille*, rose*), pétales de fleurs 4% (rose*, lavande*, mauve*, souci*, tournesol*, bleuet*), huiles essentielles d'agrumes (mandarine*, bergamote*) 2%, arôme naturel de fleur de sureau*. *Issu de l'agriculture biologique.</v>
          </cell>
          <cell r="AA686" t="str">
            <v>/</v>
          </cell>
          <cell r="AB686" t="str">
            <v>Membre certifié World Fair Trade Organization, Les Jardins de Gaïa s’engagent pour un commerce plus juste et répondent aux exigences du commerce équitable. Pour en savoir plus : www.wfto.com.</v>
          </cell>
          <cell r="AC686">
            <v>100</v>
          </cell>
          <cell r="AD686" t="str">
            <v>3-4</v>
          </cell>
          <cell r="AE686">
            <v>90</v>
          </cell>
          <cell r="AF686">
            <v>2</v>
          </cell>
          <cell r="AG686">
            <v>50</v>
          </cell>
          <cell r="AH686">
            <v>3582810473627</v>
          </cell>
          <cell r="AI686" t="str">
            <v>/</v>
          </cell>
          <cell r="AJ686" t="str">
            <v>ETNA736V5</v>
          </cell>
          <cell r="AK686" t="str">
            <v>ETNA736V5</v>
          </cell>
          <cell r="AL686" t="str">
            <v>ETCNA7362V5</v>
          </cell>
          <cell r="AM686" t="str">
            <v>Création maison</v>
          </cell>
        </row>
        <row r="687">
          <cell r="A687" t="str">
            <v>TA6132</v>
          </cell>
          <cell r="B687"/>
          <cell r="C687" t="str">
            <v>X</v>
          </cell>
          <cell r="D687" t="str">
            <v>X</v>
          </cell>
          <cell r="E687" t="str">
            <v>X</v>
          </cell>
          <cell r="F687" t="str">
            <v>BRODART</v>
          </cell>
          <cell r="G687"/>
          <cell r="H687" t="str">
            <v>LES GRANDS CLASSIQUES</v>
          </cell>
          <cell r="I687"/>
          <cell r="J687" t="str">
            <v xml:space="preserve">Surprise ! </v>
          </cell>
          <cell r="K687" t="str">
            <v>Saveurs passion - cacao</v>
          </cell>
          <cell r="L687" t="str">
            <v>Thé vert aromatisé</v>
          </cell>
          <cell r="M687" t="str">
            <v>Inde - Chine - Vietnam</v>
          </cell>
          <cell r="N687" t="str">
            <v>AB</v>
          </cell>
          <cell r="O687" t="str">
            <v>WFTO</v>
          </cell>
          <cell r="P687" t="str">
            <v>/</v>
          </cell>
          <cell r="Q687" t="str">
            <v>/</v>
          </cell>
          <cell r="R687" t="str">
            <v>/</v>
          </cell>
          <cell r="S687" t="str">
            <v>/</v>
          </cell>
          <cell r="T687" t="str">
            <v>Agriculture UE/non UE</v>
          </cell>
          <cell r="U687"/>
          <cell r="V687" t="str">
            <v>Thé vert qui se dévoile comme une gourmande surprise. Fraîcheur du thé, acidulé du citron vert, rondeur du cacao et douceur du fruit de la passion : une composition magique pour accompagner vos desserts festifs !</v>
          </cell>
          <cell r="W687" t="str">
            <v>S17</v>
          </cell>
          <cell r="X687" t="str">
            <v>A chaque gorgée, cette recette à base de thé vert se dévoile comme une gourmande surprise. La fraîcheur du thé met en valeur les notes acidulées du citron vert, la rondeur du cacao et douceur du fruit de la passion. Une composition harmonieuse, idéale en accompagnement de vos desserts festifs !</v>
          </cell>
          <cell r="Y687"/>
          <cell r="Z687" t="str">
            <v>Ingrédients : thé vert*, arôme naturel de (fruit de la passion* 7%, cacao* 3%, citron vert*), chips de carotte*, écorces d'orange*, pétales de bleuet*. *Issu de l'agriculture biologique.</v>
          </cell>
          <cell r="AA687" t="str">
            <v>/</v>
          </cell>
          <cell r="AB687" t="str">
            <v>Membre certifié World Fair Trade Organization, Les Jardins de Gaïa s’engagent pour un commerce plus juste et répondent aux exigences du commerce équitable. Pour en savoir plus : www.wfto.com.</v>
          </cell>
          <cell r="AC687">
            <v>100</v>
          </cell>
          <cell r="AD687" t="str">
            <v>3</v>
          </cell>
          <cell r="AE687">
            <v>75</v>
          </cell>
          <cell r="AF687">
            <v>2</v>
          </cell>
          <cell r="AG687">
            <v>50</v>
          </cell>
          <cell r="AH687">
            <v>3582810361320</v>
          </cell>
          <cell r="AI687" t="str">
            <v>/</v>
          </cell>
          <cell r="AJ687" t="str">
            <v>ETVA613V5</v>
          </cell>
          <cell r="AK687" t="str">
            <v>ETVA613V5</v>
          </cell>
          <cell r="AL687" t="str">
            <v>ETCVA6132V5</v>
          </cell>
          <cell r="AM687" t="str">
            <v>Création maison</v>
          </cell>
        </row>
        <row r="688">
          <cell r="A688" t="str">
            <v>TA6131</v>
          </cell>
          <cell r="B688"/>
          <cell r="C688"/>
          <cell r="D688"/>
          <cell r="E688"/>
          <cell r="F688"/>
          <cell r="G688"/>
          <cell r="H688" t="str">
            <v>LES GRANDS CLASSIQUES</v>
          </cell>
          <cell r="I688"/>
          <cell r="J688" t="str">
            <v>Surprise ! / Surprise de Noël</v>
          </cell>
          <cell r="K688" t="str">
            <v>Saveurs passion - cacao</v>
          </cell>
          <cell r="L688" t="str">
            <v>Thé vert aromatisé</v>
          </cell>
          <cell r="M688" t="str">
            <v>Inde - Chine - Vietnam</v>
          </cell>
          <cell r="N688" t="str">
            <v>AB</v>
          </cell>
          <cell r="O688" t="str">
            <v>WFTO</v>
          </cell>
          <cell r="P688" t="str">
            <v>/</v>
          </cell>
          <cell r="Q688" t="str">
            <v>/</v>
          </cell>
          <cell r="R688" t="str">
            <v>/</v>
          </cell>
          <cell r="S688" t="str">
            <v>/</v>
          </cell>
          <cell r="T688" t="str">
            <v>Agriculture UE/non UE</v>
          </cell>
          <cell r="U688"/>
          <cell r="V688" t="str">
            <v>Thé vert qui se dévoile comme une gourmande surprise. Fraîcheur du thé, acidulé du citron vert, rondeur du cacao et douceur du fruit de la passion : une composition magique pour accompagner vos desserts festifs !</v>
          </cell>
          <cell r="W688" t="str">
            <v>S17</v>
          </cell>
          <cell r="X688" t="str">
            <v>A chaque gorgée, cette recette à base de thé vert se dévoile comme une gourmande surprise. La fraîcheur du thé met en valeur les notes acidulées du citron vert, la rondeur du cacao et douceur du fruit de la passion. Une composition harmonieuse, idéale en accompagnement de vos desserts festifs !</v>
          </cell>
          <cell r="Y688"/>
          <cell r="Z688" t="str">
            <v>Ingrédients : thé vert*, arôme naturel de (fruit de la passion* 7%, cacao* 3%, citron vert*), chips de carotte*, écorces d'orange*, pétales de bleuet*. *Issu de l'agriculture biologique.</v>
          </cell>
          <cell r="AA688" t="str">
            <v>/</v>
          </cell>
          <cell r="AB688" t="str">
            <v>Membre certifié World Fair Trade Organization, Les Jardins de Gaïa s’engagent pour un commerce plus juste et répondent aux exigences du commerce équitable. Pour en savoir plus : www.wfto.com.</v>
          </cell>
          <cell r="AC688">
            <v>1.5</v>
          </cell>
          <cell r="AD688" t="str">
            <v>3</v>
          </cell>
          <cell r="AE688">
            <v>75</v>
          </cell>
          <cell r="AF688">
            <v>2</v>
          </cell>
          <cell r="AG688">
            <v>750</v>
          </cell>
          <cell r="AH688">
            <v>3582810361313</v>
          </cell>
          <cell r="AI688" t="str">
            <v>/</v>
          </cell>
          <cell r="AJ688" t="str">
            <v>INTERNE</v>
          </cell>
          <cell r="AK688" t="str">
            <v>INTERNE</v>
          </cell>
          <cell r="AL688" t="str">
            <v>/</v>
          </cell>
          <cell r="AM688" t="str">
            <v>Création maison</v>
          </cell>
        </row>
        <row r="689">
          <cell r="A689" t="str">
            <v>TA6132</v>
          </cell>
          <cell r="B689"/>
          <cell r="C689" t="str">
            <v>X</v>
          </cell>
          <cell r="D689"/>
          <cell r="E689"/>
          <cell r="F689" t="str">
            <v>BRODART</v>
          </cell>
          <cell r="G689"/>
          <cell r="H689" t="str">
            <v>LES GRANDS CLASSIQUES</v>
          </cell>
          <cell r="I689"/>
          <cell r="J689" t="str">
            <v>Surprise de Noël</v>
          </cell>
          <cell r="K689" t="str">
            <v>Saveurs passion - cacao</v>
          </cell>
          <cell r="L689" t="str">
            <v>Thé vert aromatisé</v>
          </cell>
          <cell r="M689" t="str">
            <v>Inde - Chine - Vietnam</v>
          </cell>
          <cell r="N689" t="str">
            <v>AB</v>
          </cell>
          <cell r="O689" t="str">
            <v>WFTO</v>
          </cell>
          <cell r="P689" t="str">
            <v>/</v>
          </cell>
          <cell r="Q689" t="str">
            <v>/</v>
          </cell>
          <cell r="R689" t="str">
            <v>/</v>
          </cell>
          <cell r="S689" t="str">
            <v>/</v>
          </cell>
          <cell r="T689" t="str">
            <v>Agriculture UE/non UE</v>
          </cell>
          <cell r="U689"/>
          <cell r="V689" t="str">
            <v>Thé vert qui se dévoile comme une gourmande surprise. Fraîcheur du thé, acidulé du citron vert, rondeur du cacao et douceur du fruit de la passion : une composition magique pour accompagner vos desserts festifs !</v>
          </cell>
          <cell r="W689" t="str">
            <v>S17</v>
          </cell>
          <cell r="X689" t="str">
            <v>A chaque gorgée, cette recette à base de thé vert se dévoile comme une gourmande surprise. La fraîcheur du thé met en valeur les notes acidulées du citron vert, la rondeur du cacao et douceur du fruit de la passion. Une composition harmonieuse, idéale en accompagnement de vos desserts festifs !</v>
          </cell>
          <cell r="Y689"/>
          <cell r="Z689" t="str">
            <v>Ingrédients : thé vert*, arôme naturel de (fruit de la passion* 7%, cacao* 3%, citron vert*), chips de carotte*, écorces d'orange*, pétales de bleuet*. *Issu de l'agriculture biologique.</v>
          </cell>
          <cell r="AA689" t="str">
            <v>/</v>
          </cell>
          <cell r="AB689" t="str">
            <v>Membre certifié World Fair Trade Organization, Les Jardins de Gaïa s’engagent pour un commerce plus juste et répondent aux exigences du commerce équitable. Pour en savoir plus : www.wfto.com.</v>
          </cell>
          <cell r="AC689">
            <v>100</v>
          </cell>
          <cell r="AD689" t="str">
            <v>3</v>
          </cell>
          <cell r="AE689">
            <v>75</v>
          </cell>
          <cell r="AF689">
            <v>2</v>
          </cell>
          <cell r="AG689">
            <v>50</v>
          </cell>
          <cell r="AH689">
            <v>3582810361320</v>
          </cell>
          <cell r="AI689" t="str">
            <v>/</v>
          </cell>
          <cell r="AJ689" t="str">
            <v>ETVA613V5N</v>
          </cell>
          <cell r="AK689" t="str">
            <v>ETVA613V5N</v>
          </cell>
          <cell r="AL689" t="str">
            <v>ETCVA6132V5N</v>
          </cell>
          <cell r="AM689" t="str">
            <v>Création maison</v>
          </cell>
        </row>
        <row r="690">
          <cell r="A690" t="str">
            <v>TSTA6132V5</v>
          </cell>
          <cell r="B690"/>
          <cell r="C690"/>
          <cell r="D690"/>
          <cell r="E690"/>
          <cell r="F690"/>
          <cell r="G690"/>
          <cell r="H690" t="str">
            <v>LES GRANDS CLASSIQUES</v>
          </cell>
          <cell r="I690"/>
          <cell r="J690" t="str">
            <v>Surprise de Noël</v>
          </cell>
          <cell r="K690" t="str">
            <v>Saveurs passion - cacao</v>
          </cell>
          <cell r="L690" t="str">
            <v>Thé vert aromatisé</v>
          </cell>
          <cell r="M690" t="str">
            <v>Inde - Chine - Vietnam</v>
          </cell>
          <cell r="N690" t="str">
            <v>AB</v>
          </cell>
          <cell r="O690" t="str">
            <v>WFTO</v>
          </cell>
          <cell r="P690" t="str">
            <v>/</v>
          </cell>
          <cell r="Q690" t="str">
            <v>/</v>
          </cell>
          <cell r="R690" t="str">
            <v>/</v>
          </cell>
          <cell r="S690" t="str">
            <v>/</v>
          </cell>
          <cell r="T690" t="str">
            <v>Agriculture UE/non UE</v>
          </cell>
          <cell r="U690"/>
          <cell r="V690" t="str">
            <v>Thé vert qui se dévoile comme une gourmande surprise. Fraîcheur du thé, acidulé du citron vert, rondeur du cacao et douceur du fruit de la passion : une composition magique pour accompagner vos desserts festifs !</v>
          </cell>
          <cell r="W690" t="str">
            <v>S17</v>
          </cell>
          <cell r="X690" t="str">
            <v>A chaque gorgée, cette recette à base de thé vert se dévoile comme une gourmande surprise. La fraîcheur du thé met en valeur les notes acidulées du citron vert, la rondeur du cacao et douceur du fruit de la passion. Une composition harmonieuse, idéale en accompagnement de vos desserts festifs !</v>
          </cell>
          <cell r="Y690"/>
          <cell r="Z690" t="str">
            <v>Ingrédients : thé vert*, arôme naturel de (fruit de la passion* 7%, cacao* 3%, citron vert*), chips de carotte*, écorces d'orange*, pétales de bleuet*. *Issu de l'agriculture biologique.</v>
          </cell>
          <cell r="AA690" t="str">
            <v>/</v>
          </cell>
          <cell r="AB690" t="str">
            <v>Membre certifié World Fair Trade Organization, Les Jardins de Gaïa s’engagent pour un commerce plus juste et répondent aux exigences du commerce équitable. Pour en savoir plus : www.wfto.com.</v>
          </cell>
          <cell r="AC690">
            <v>100</v>
          </cell>
          <cell r="AD690" t="str">
            <v>3</v>
          </cell>
          <cell r="AE690">
            <v>75</v>
          </cell>
          <cell r="AF690">
            <v>2</v>
          </cell>
          <cell r="AG690">
            <v>50</v>
          </cell>
          <cell r="AH690">
            <v>3582815761323</v>
          </cell>
          <cell r="AI690" t="str">
            <v>/</v>
          </cell>
          <cell r="AJ690" t="str">
            <v>ETTSTA6132</v>
          </cell>
          <cell r="AK690" t="str">
            <v>ETTSTA6132V5</v>
          </cell>
          <cell r="AL690" t="str">
            <v>/</v>
          </cell>
          <cell r="AM690" t="str">
            <v>Création maison</v>
          </cell>
        </row>
        <row r="691">
          <cell r="A691" t="str">
            <v>TV5575</v>
          </cell>
          <cell r="B691"/>
          <cell r="C691" t="str">
            <v>X</v>
          </cell>
          <cell r="D691"/>
          <cell r="E691"/>
          <cell r="F691"/>
          <cell r="G691"/>
          <cell r="H691" t="str">
            <v>LES GRAND CRUS</v>
          </cell>
          <cell r="I691"/>
          <cell r="J691" t="str">
            <v>Taiping Hou Kui</v>
          </cell>
          <cell r="K691" t="str">
            <v>Roi singe de Taiping 太平猴魁</v>
          </cell>
          <cell r="L691" t="str">
            <v>Thé vert d'origine</v>
          </cell>
          <cell r="M691" t="str">
            <v>Chine - Jiangxi</v>
          </cell>
          <cell r="N691" t="str">
            <v>AB</v>
          </cell>
          <cell r="O691" t="str">
            <v>/</v>
          </cell>
          <cell r="P691" t="str">
            <v>/</v>
          </cell>
          <cell r="Q691" t="str">
            <v>/</v>
          </cell>
          <cell r="R691" t="str">
            <v>/</v>
          </cell>
          <cell r="S691" t="str">
            <v>/</v>
          </cell>
          <cell r="T691" t="str">
            <v>Agriculture Chine</v>
          </cell>
          <cell r="U691"/>
          <cell r="V691" t="str">
            <v>Grand cru de thé vert aux feuilles de taille impressionnante. Notes : fruits exotiques, confiseries acidulées, touche iodée.</v>
          </cell>
          <cell r="W691" t="str">
            <v>S14</v>
          </cell>
          <cell r="X691" t="str">
            <v>primeurs 2024</v>
          </cell>
          <cell r="Y691"/>
          <cell r="Z691" t="str">
            <v>Ingrédient : thé vert*. *Issu de l'agriculture biologique.</v>
          </cell>
          <cell r="AA691" t="str">
            <v>/</v>
          </cell>
          <cell r="AB691" t="str">
            <v>/</v>
          </cell>
          <cell r="AC691">
            <v>500</v>
          </cell>
          <cell r="AD691" t="str">
            <v>3-4</v>
          </cell>
          <cell r="AE691">
            <v>80</v>
          </cell>
          <cell r="AF691">
            <v>2</v>
          </cell>
          <cell r="AG691">
            <v>250</v>
          </cell>
          <cell r="AH691">
            <v>3582810345757</v>
          </cell>
          <cell r="AI691" t="str">
            <v>/</v>
          </cell>
          <cell r="AJ691" t="str">
            <v>INTERNE</v>
          </cell>
          <cell r="AK691" t="str">
            <v>INTERNE</v>
          </cell>
          <cell r="AL691" t="str">
            <v>/</v>
          </cell>
          <cell r="AM691" t="str">
            <v xml:space="preserve">Da Zhang Shan Tea coopérative </v>
          </cell>
        </row>
        <row r="692">
          <cell r="A692" t="str">
            <v>TV5576</v>
          </cell>
          <cell r="B692"/>
          <cell r="C692" t="str">
            <v>X</v>
          </cell>
          <cell r="D692"/>
          <cell r="E692"/>
          <cell r="F692"/>
          <cell r="G692"/>
          <cell r="H692" t="str">
            <v>LES GRAND CRUS</v>
          </cell>
          <cell r="I692"/>
          <cell r="J692" t="str">
            <v>Taiping Hou Kui</v>
          </cell>
          <cell r="K692" t="str">
            <v>Roi singe de Taiping 太平猴魁</v>
          </cell>
          <cell r="L692" t="str">
            <v>Thé vert d'origine</v>
          </cell>
          <cell r="M692" t="str">
            <v>Chine - Jiangxi</v>
          </cell>
          <cell r="N692" t="str">
            <v>AB</v>
          </cell>
          <cell r="O692" t="str">
            <v>/</v>
          </cell>
          <cell r="P692" t="str">
            <v>/</v>
          </cell>
          <cell r="Q692" t="str">
            <v>/</v>
          </cell>
          <cell r="R692" t="str">
            <v>/</v>
          </cell>
          <cell r="S692" t="str">
            <v>/</v>
          </cell>
          <cell r="T692" t="str">
            <v>Agriculture Chine</v>
          </cell>
          <cell r="U692"/>
          <cell r="V692" t="str">
            <v>Grand cru de thé vert aux feuilles de taille impressionnante. Notes : fruits exotiques, confiseries acidulées, touche iodée.</v>
          </cell>
          <cell r="W692" t="str">
            <v>S14</v>
          </cell>
          <cell r="X692" t="str">
            <v>primeurs 2024</v>
          </cell>
          <cell r="Y692"/>
          <cell r="Z692" t="str">
            <v>Ingrédient : thé vert*. *Issu de l'agriculture biologique.</v>
          </cell>
          <cell r="AA692" t="str">
            <v>/</v>
          </cell>
          <cell r="AB692" t="str">
            <v>/</v>
          </cell>
          <cell r="AC692">
            <v>25</v>
          </cell>
          <cell r="AD692" t="str">
            <v>3-4</v>
          </cell>
          <cell r="AE692">
            <v>80</v>
          </cell>
          <cell r="AF692">
            <v>2</v>
          </cell>
          <cell r="AG692">
            <v>13</v>
          </cell>
          <cell r="AH692">
            <v>3582810345764</v>
          </cell>
          <cell r="AI692" t="str">
            <v>/</v>
          </cell>
          <cell r="AJ692" t="str">
            <v>ETVN457V5</v>
          </cell>
          <cell r="AK692" t="str">
            <v>ETVN457V5</v>
          </cell>
          <cell r="AL692" t="str">
            <v>Q de tube</v>
          </cell>
          <cell r="AM692" t="str">
            <v xml:space="preserve">Da Zhang Shan Tea coopérative </v>
          </cell>
        </row>
        <row r="693">
          <cell r="A693" t="str">
            <v>TA7281</v>
          </cell>
          <cell r="B693"/>
          <cell r="C693"/>
          <cell r="D693"/>
          <cell r="E693"/>
          <cell r="F693"/>
          <cell r="G693"/>
          <cell r="H693" t="str">
            <v>LES GRANDS CLASSIQUES</v>
          </cell>
          <cell r="I693"/>
          <cell r="J693" t="str">
            <v>Taj Mahal</v>
          </cell>
          <cell r="K693" t="str">
            <v>Saveurs mûre - vanille</v>
          </cell>
          <cell r="L693" t="str">
            <v>Thé noir aromatisé</v>
          </cell>
          <cell r="M693" t="str">
            <v>Inde</v>
          </cell>
          <cell r="N693" t="str">
            <v>AB</v>
          </cell>
          <cell r="O693" t="str">
            <v>WFTO</v>
          </cell>
          <cell r="P693" t="str">
            <v>/</v>
          </cell>
          <cell r="Q693" t="str">
            <v>/</v>
          </cell>
          <cell r="R693" t="str">
            <v>/</v>
          </cell>
          <cell r="S693" t="str">
            <v>/</v>
          </cell>
          <cell r="T693" t="str">
            <v>Agriculture UE/non UE</v>
          </cell>
          <cell r="U693"/>
          <cell r="V693" t="str">
            <v>Belle merveille, voyage imaginaire… Ce thé noir d’Inde au goût rond, légèrement épicé, assorti à la saveur veloutée et fruitée de la vanille et de la mûre est d'une élégance parfaite. À savourer pendant les moments d’évasion.</v>
          </cell>
          <cell r="W693" t="str">
            <v>S17</v>
          </cell>
          <cell r="X693" t="str">
            <v>Ce thé noir nous plonge au cœur de l’Inde mystique et mythique pour un voyage gustatif de toute beauté.  Son goût rond, légèrement épicé, assorti à la saveur veloutée et fruitée de la vanille et de la mûre est aussi élégant que gourmand. À savourer pour de beaux moments d’évasion.</v>
          </cell>
          <cell r="Y693"/>
          <cell r="Z693" t="str">
            <v>Ingrédients : thé noir*, arôme naturel de mûre* 7%, extrait de vanille* 2%, chips de carotte*, pétales de fleurs (souci*, camomille*). *Issu de l'agriculture biologique.</v>
          </cell>
          <cell r="AA693" t="str">
            <v>/</v>
          </cell>
          <cell r="AB693" t="str">
            <v>Membre certifié World Fair Trade Organization, Les Jardins de Gaïa s’engagent pour un commerce plus juste et répondent aux exigences du commerce équitable. Pour en savoir plus : www.wfto.com.</v>
          </cell>
          <cell r="AC693">
            <v>1.5</v>
          </cell>
          <cell r="AD693" t="str">
            <v>3-4</v>
          </cell>
          <cell r="AE693">
            <v>90</v>
          </cell>
          <cell r="AF693">
            <v>2</v>
          </cell>
          <cell r="AG693">
            <v>750</v>
          </cell>
          <cell r="AH693">
            <v>3582810472811</v>
          </cell>
          <cell r="AI693" t="str">
            <v>/</v>
          </cell>
          <cell r="AJ693" t="str">
            <v>INTERNE</v>
          </cell>
          <cell r="AK693" t="str">
            <v>INTERNE</v>
          </cell>
          <cell r="AL693" t="str">
            <v>/</v>
          </cell>
          <cell r="AM693" t="str">
            <v>Création maison</v>
          </cell>
        </row>
        <row r="694">
          <cell r="A694" t="str">
            <v>TA7282</v>
          </cell>
          <cell r="B694"/>
          <cell r="C694" t="str">
            <v>X</v>
          </cell>
          <cell r="D694"/>
          <cell r="E694" t="str">
            <v>x</v>
          </cell>
          <cell r="F694" t="str">
            <v>BRODART</v>
          </cell>
          <cell r="G694"/>
          <cell r="H694" t="str">
            <v>LES GRANDS CLASSIQUES</v>
          </cell>
          <cell r="I694"/>
          <cell r="J694" t="str">
            <v>Taj Mahal</v>
          </cell>
          <cell r="K694" t="str">
            <v>Saveurs mûre - vanille</v>
          </cell>
          <cell r="L694" t="str">
            <v>Thé noir aromatisé</v>
          </cell>
          <cell r="M694" t="str">
            <v>Inde</v>
          </cell>
          <cell r="N694" t="str">
            <v>AB</v>
          </cell>
          <cell r="O694" t="str">
            <v>WFTO</v>
          </cell>
          <cell r="P694" t="str">
            <v>/</v>
          </cell>
          <cell r="Q694" t="str">
            <v>/</v>
          </cell>
          <cell r="R694" t="str">
            <v>/</v>
          </cell>
          <cell r="S694" t="str">
            <v>/</v>
          </cell>
          <cell r="T694" t="str">
            <v>Agriculture UE/non UE</v>
          </cell>
          <cell r="U694"/>
          <cell r="V694" t="str">
            <v>Belle merveille, voyage imaginaire… Ce thé noir d’Inde au goût rond, légèrement épicé, assorti à la saveur veloutée et fruitée de la vanille et de la mûre est d'une élégance parfaite. À savourer pendant les moments d’évasion.</v>
          </cell>
          <cell r="W694" t="str">
            <v>S17</v>
          </cell>
          <cell r="X694" t="str">
            <v>Ce thé noir nous plonge au cœur de l’Inde mystique et mythique pour un voyage gustatif de toute beauté.  Son goût rond, légèrement épicé, assorti à la saveur veloutée et fruitée de la vanille et de la mûre est aussi élégant que gourmand. À savourer pour de beaux moments d’évasion.</v>
          </cell>
          <cell r="Y694"/>
          <cell r="Z694" t="str">
            <v>Ingrédients : thé noir*, arôme naturel de mûre* 7%, extrait de vanille* 2%, chips de carotte*, pétales de fleurs (souci*, camomille*). *Issu de l'agriculture biologique.</v>
          </cell>
          <cell r="AA694" t="str">
            <v>/</v>
          </cell>
          <cell r="AB694" t="str">
            <v>Membre certifié World Fair Trade Organization, Les Jardins de Gaïa s’engagent pour un commerce plus juste et répondent aux exigences du commerce équitable. Pour en savoir plus : www.wfto.com.</v>
          </cell>
          <cell r="AC694">
            <v>100</v>
          </cell>
          <cell r="AD694" t="str">
            <v>3-4</v>
          </cell>
          <cell r="AE694">
            <v>90</v>
          </cell>
          <cell r="AF694">
            <v>2</v>
          </cell>
          <cell r="AG694">
            <v>50</v>
          </cell>
          <cell r="AH694">
            <v>3582810472828</v>
          </cell>
          <cell r="AI694" t="str">
            <v>/</v>
          </cell>
          <cell r="AJ694" t="str">
            <v>ETNA728V5</v>
          </cell>
          <cell r="AK694" t="str">
            <v>ETNA728V5</v>
          </cell>
          <cell r="AL694" t="str">
            <v>ETCNA7282V5</v>
          </cell>
          <cell r="AM694" t="str">
            <v>Création maison</v>
          </cell>
        </row>
        <row r="695">
          <cell r="A695" t="str">
            <v>TUTJ2246</v>
          </cell>
          <cell r="B695"/>
          <cell r="C695"/>
          <cell r="D695"/>
          <cell r="E695"/>
          <cell r="F695"/>
          <cell r="G695"/>
          <cell r="H695" t="str">
            <v>LES PRECIEUX DU JAPON ET DE TAIWAN</v>
          </cell>
          <cell r="I695"/>
          <cell r="J695" t="str">
            <v>Tamaryokucha</v>
          </cell>
          <cell r="K695" t="str">
            <v xml:space="preserve">玉緑茶 </v>
          </cell>
          <cell r="L695" t="str">
            <v>Thé vert d'origine</v>
          </cell>
          <cell r="M695" t="str">
            <v>Japon - Shizuoka</v>
          </cell>
          <cell r="N695" t="str">
            <v>AB</v>
          </cell>
          <cell r="O695" t="str">
            <v>/</v>
          </cell>
          <cell r="P695" t="str">
            <v>/</v>
          </cell>
          <cell r="Q695" t="str">
            <v>/</v>
          </cell>
          <cell r="R695" t="str">
            <v>/</v>
          </cell>
          <cell r="S695" t="str">
            <v>/</v>
          </cell>
          <cell r="T695" t="str">
            <v>Agriculture Japon</v>
          </cell>
          <cell r="U695"/>
          <cell r="V695" t="str">
            <v>Charmant thé vert japonais aux feuilles délicatement torsadées. Liqueur souple et équilibrée aux saveurs douces de fruits à coque accompagnées de notes zestées et légèrement torréfiées.</v>
          </cell>
          <cell r="W695" t="str">
            <v>S25</v>
          </cell>
          <cell r="X695" t="str">
            <v xml:space="preserve">Le tamaryokucha est un thé vert japonais confidentiel qui a la particularité de présenter des feuilles non pas roulées en aiguilles, mais torsadées. On l’apprécie pour ses saveurs zestées et de fruits à coque accompagnées de notes légèrement torréfiées que lui confère avec subtilité sa cuisson au four. </v>
          </cell>
          <cell r="Y695"/>
          <cell r="Z695" t="str">
            <v>Ingrédient : thé vert*. *Issu de l'agriculture biologique.</v>
          </cell>
          <cell r="AA695" t="str">
            <v>/</v>
          </cell>
          <cell r="AB695" t="str">
            <v>/</v>
          </cell>
          <cell r="AC695">
            <v>50</v>
          </cell>
          <cell r="AD695" t="str">
            <v>1-2</v>
          </cell>
          <cell r="AE695" t="str">
            <v>75-80</v>
          </cell>
          <cell r="AF695">
            <v>2</v>
          </cell>
          <cell r="AG695">
            <v>25</v>
          </cell>
          <cell r="AH695">
            <v>3582810322468</v>
          </cell>
          <cell r="AI695" t="str">
            <v>Plusieurs infusions</v>
          </cell>
          <cell r="AJ695" t="str">
            <v>ETTUTJ2246</v>
          </cell>
          <cell r="AK695" t="str">
            <v>ETTUTJ2246V5</v>
          </cell>
          <cell r="AL695" t="str">
            <v>/</v>
          </cell>
          <cell r="AM695" t="str">
            <v>Japon - Kyūshū</v>
          </cell>
        </row>
        <row r="696">
          <cell r="A696" t="str">
            <v>TN2145</v>
          </cell>
          <cell r="B696"/>
          <cell r="C696"/>
          <cell r="D696"/>
          <cell r="E696"/>
          <cell r="F696"/>
          <cell r="G696"/>
          <cell r="H696" t="str">
            <v>LES GRAND CRUS</v>
          </cell>
          <cell r="I696"/>
          <cell r="J696" t="str">
            <v>Tara's Offering</v>
          </cell>
          <cell r="K696" t="str">
            <v xml:space="preserve">SFTGFOP1 FF 
Jardin de Samabeong - Ex. 10.04.2023
cultivar samabeong AV-2 </v>
          </cell>
          <cell r="L696" t="str">
            <v>Thé noir primeur</v>
          </cell>
          <cell r="M696" t="str">
            <v>Inde - Darjeeling - Samabeong garden</v>
          </cell>
          <cell r="N696" t="str">
            <v>AB</v>
          </cell>
          <cell r="O696" t="str">
            <v>WFTO</v>
          </cell>
          <cell r="P696" t="str">
            <v>/</v>
          </cell>
          <cell r="Q696" t="str">
            <v>/</v>
          </cell>
          <cell r="R696" t="str">
            <v>IGP</v>
          </cell>
          <cell r="S696" t="str">
            <v>/</v>
          </cell>
          <cell r="T696" t="str">
            <v>Agriculture Inde</v>
          </cell>
          <cell r="U696"/>
          <cell r="V696" t="str">
            <v>Sublime thé primeur généreux, délicat et gourmand. Notes : fruitées (raisin blanc / fruits jaunes), gourmandes (biscuitées, crème pâtissière). Notes finales légèrement acidulées.</v>
          </cell>
          <cell r="W696" t="str">
            <v>S25</v>
          </cell>
          <cell r="X696" t="str">
            <v xml:space="preserve">Ce sublime thé noir récolté au printemps est composé de feuilles torsadées et duveteuses accompagnées de fines pointes argentées. Sa liqueur limpide et souple offre des saveurs gourmandes de nèfle, de confiseries et de biscuits mises en valeur par une délicieuse pointe acidulée longue en bouche. </v>
          </cell>
          <cell r="Y696"/>
          <cell r="Z696" t="str">
            <v>Ingrédient : thé noir*. *Issu de l'agriculture biologique.</v>
          </cell>
          <cell r="AA696" t="str">
            <v>/</v>
          </cell>
          <cell r="AB696" t="str">
            <v>Membre certifié World Fair Trade Organization, Les Jardins de Gaïa s’engagent pour un commerce plus juste et répondent aux exigences du commerce équitable. Pour en savoir plus : www.wfto.com.</v>
          </cell>
          <cell r="AC696">
            <v>500</v>
          </cell>
          <cell r="AD696" t="str">
            <v>3-4</v>
          </cell>
          <cell r="AE696" t="str">
            <v>85-90</v>
          </cell>
          <cell r="AF696">
            <v>2</v>
          </cell>
          <cell r="AG696">
            <v>250</v>
          </cell>
          <cell r="AH696">
            <v>3582810221457</v>
          </cell>
          <cell r="AI696" t="str">
            <v>/</v>
          </cell>
          <cell r="AJ696" t="str">
            <v>INTERNE</v>
          </cell>
          <cell r="AK696" t="str">
            <v>INTERNE</v>
          </cell>
          <cell r="AL696" t="str">
            <v>/</v>
          </cell>
          <cell r="AM696" t="str">
            <v>Samabeong Tea Estate</v>
          </cell>
        </row>
        <row r="697">
          <cell r="A697" t="str">
            <v>TN2146</v>
          </cell>
          <cell r="B697"/>
          <cell r="C697"/>
          <cell r="D697"/>
          <cell r="E697"/>
          <cell r="F697"/>
          <cell r="G697"/>
          <cell r="H697" t="str">
            <v>LES GRAND CRUS</v>
          </cell>
          <cell r="I697"/>
          <cell r="J697" t="str">
            <v>Tara's Offering</v>
          </cell>
          <cell r="K697" t="str">
            <v xml:space="preserve">SFTGFOP1 FF 
Jardin de Samabeong - Ex. 10.04.2023
cultivar samabeong AV-2 </v>
          </cell>
          <cell r="L697" t="str">
            <v>Thé noir primeur</v>
          </cell>
          <cell r="M697" t="str">
            <v>Inde - Darjeeling - Samabeong garden</v>
          </cell>
          <cell r="N697" t="str">
            <v>AB</v>
          </cell>
          <cell r="O697" t="str">
            <v>WFTO</v>
          </cell>
          <cell r="P697" t="str">
            <v>/</v>
          </cell>
          <cell r="Q697" t="str">
            <v>/</v>
          </cell>
          <cell r="R697" t="str">
            <v>IGP</v>
          </cell>
          <cell r="S697" t="str">
            <v>/</v>
          </cell>
          <cell r="T697" t="str">
            <v>Agriculture Inde</v>
          </cell>
          <cell r="U697"/>
          <cell r="V697" t="str">
            <v>Sublime thé primeur généreux, délicat et gourmand. Notes : fruitées (raisin blanc / fruits jaunes), gourmandes (biscuitées, crème pâtissière). Notes finales légèrement acidulées.</v>
          </cell>
          <cell r="W697" t="str">
            <v>S25</v>
          </cell>
          <cell r="X697" t="str">
            <v xml:space="preserve">Ce sublime thé noir récolté au printemps est composé de feuilles torsadées et duveteuses accompagnées de fines pointes argentées. Sa liqueur limpide et souple offre des saveurs gourmandes de nèfle, de confiseries et de biscuits mises en valeur par une délicieuse pointe acidulée longue en bouche. </v>
          </cell>
          <cell r="Y697"/>
          <cell r="Z697" t="str">
            <v>Ingrédient : thé noir*. *Issu de l'agriculture biologique.</v>
          </cell>
          <cell r="AA697" t="str">
            <v>/</v>
          </cell>
          <cell r="AB697" t="str">
            <v>Membre certifié World Fair Trade Organization, Les Jardins de Gaïa s’engagent pour un commerce plus juste et répondent aux exigences du commerce équitable. Pour en savoir plus : www.wfto.com.</v>
          </cell>
          <cell r="AC697">
            <v>50</v>
          </cell>
          <cell r="AD697" t="str">
            <v>3-4</v>
          </cell>
          <cell r="AE697" t="str">
            <v>85-90</v>
          </cell>
          <cell r="AF697">
            <v>2</v>
          </cell>
          <cell r="AG697">
            <v>25</v>
          </cell>
          <cell r="AH697">
            <v>3582810221464</v>
          </cell>
          <cell r="AI697" t="str">
            <v>/</v>
          </cell>
          <cell r="AJ697" t="str">
            <v>ETNN214FF22</v>
          </cell>
          <cell r="AK697" t="str">
            <v>ETNN214FF22V5</v>
          </cell>
          <cell r="AL697" t="str">
            <v>Q de tube</v>
          </cell>
          <cell r="AM697" t="str">
            <v>Samabeong Tea Estate</v>
          </cell>
        </row>
        <row r="698">
          <cell r="A698" t="str">
            <v>TM6801</v>
          </cell>
          <cell r="B698"/>
          <cell r="C698"/>
          <cell r="D698"/>
          <cell r="E698"/>
          <cell r="F698"/>
          <cell r="G698"/>
          <cell r="H698" t="str">
            <v>LES GRANDS CLASSIQUES</v>
          </cell>
          <cell r="I698"/>
          <cell r="J698" t="str">
            <v>Tchaï vert</v>
          </cell>
          <cell r="K698" t="str">
            <v>Épices traditionnelles indiennes</v>
          </cell>
          <cell r="L698" t="str">
            <v>Thé vert parfumé</v>
          </cell>
          <cell r="M698" t="str">
            <v>Inde - Sri Lanka</v>
          </cell>
          <cell r="N698" t="str">
            <v>AB</v>
          </cell>
          <cell r="O698" t="str">
            <v>WFTO</v>
          </cell>
          <cell r="P698" t="str">
            <v>/</v>
          </cell>
          <cell r="Q698" t="str">
            <v>/</v>
          </cell>
          <cell r="R698" t="str">
            <v>/</v>
          </cell>
          <cell r="S698" t="str">
            <v>/</v>
          </cell>
          <cell r="T698" t="str">
            <v>Agriculture non UE</v>
          </cell>
          <cell r="U698"/>
          <cell r="V698" t="str">
            <v>Cette version “thé vert” de la célèbre boisson indienne vous surprendra par la saveur unique de ces épices, portée par le goût fruité et frais d'un thé typique de Ceylan. À découvrir !</v>
          </cell>
          <cell r="W698"/>
          <cell r="X698" t="str">
            <v>Redécouvrez le « Tchaï » avec cette déclinaison en thé vert de la boisson traditionnelle indienne.  Le mélange d’épices est ici porté par les saveurs rondes et herbacées typiques des thés verts de Ceylan. Parfait pour sortir délicieusement des sentiers battus !</v>
          </cell>
          <cell r="Y698"/>
          <cell r="Z698" t="str">
            <v>Ingrédients : thé vert*, épices (cannelle*, gingembre*, poivre noir*, clous de girofle*, cardamome*) 13%. *Issu de l'agriculture biologique.</v>
          </cell>
          <cell r="AA698" t="str">
            <v>/</v>
          </cell>
          <cell r="AB698" t="str">
            <v>Membre certifié World Fair Trade Organization, Les Jardins de Gaïa s’engagent pour un commerce plus juste et répondent aux exigences du commerce équitable. Pour en savoir plus : www.wfto.com.</v>
          </cell>
          <cell r="AC698">
            <v>1.5</v>
          </cell>
          <cell r="AD698" t="str">
            <v>3</v>
          </cell>
          <cell r="AE698">
            <v>80</v>
          </cell>
          <cell r="AF698">
            <v>2</v>
          </cell>
          <cell r="AG698">
            <v>750</v>
          </cell>
          <cell r="AH698">
            <v>3582813568016</v>
          </cell>
          <cell r="AI698" t="str">
            <v>/</v>
          </cell>
          <cell r="AJ698" t="str">
            <v>INTERNE</v>
          </cell>
          <cell r="AK698" t="str">
            <v>INTERNE</v>
          </cell>
          <cell r="AL698" t="str">
            <v>/</v>
          </cell>
          <cell r="AM698" t="str">
            <v>Création maison</v>
          </cell>
        </row>
        <row r="699">
          <cell r="A699" t="str">
            <v>TM6802</v>
          </cell>
          <cell r="B699"/>
          <cell r="C699" t="str">
            <v>X</v>
          </cell>
          <cell r="D699" t="str">
            <v>x</v>
          </cell>
          <cell r="E699" t="str">
            <v>x</v>
          </cell>
          <cell r="F699" t="str">
            <v>GRAI</v>
          </cell>
          <cell r="G699">
            <v>45383</v>
          </cell>
          <cell r="H699" t="str">
            <v>LES GRANDS CLASSIQUES</v>
          </cell>
          <cell r="I699"/>
          <cell r="J699" t="str">
            <v>Tchaï vert</v>
          </cell>
          <cell r="K699" t="str">
            <v>Épices traditionnelles indiennes</v>
          </cell>
          <cell r="L699" t="str">
            <v>Thé vert parfumé</v>
          </cell>
          <cell r="M699" t="str">
            <v>Inde - Sri Lanka</v>
          </cell>
          <cell r="N699" t="str">
            <v>AB</v>
          </cell>
          <cell r="O699" t="str">
            <v>WFTO</v>
          </cell>
          <cell r="P699" t="str">
            <v>/</v>
          </cell>
          <cell r="Q699" t="str">
            <v>/</v>
          </cell>
          <cell r="R699" t="str">
            <v>/</v>
          </cell>
          <cell r="S699" t="str">
            <v>/</v>
          </cell>
          <cell r="T699" t="str">
            <v>Agriculture non UE</v>
          </cell>
          <cell r="U699"/>
          <cell r="V699" t="str">
            <v>Cette version “thé vert” de la célèbre boisson indienne vous surprendra par la saveur unique de ces épices, portée par le goût fruité et frais d'un thé typique de Ceylan. À découvrir !</v>
          </cell>
          <cell r="W699"/>
          <cell r="X699" t="str">
            <v>Redécouvrez le « Tchaï » avec cette déclinaison en thé vert de la boisson traditionnelle indienne.  Le mélange d’épices est ici porté par les saveurs rondes et herbacées typiques des thés verts de Ceylan. Parfait pour sortir délicieusement des sentiers battus !</v>
          </cell>
          <cell r="Y699"/>
          <cell r="Z699" t="str">
            <v>Ingrédients : thé vert*, épices (cannelle*, gingembre*, poivre noir*, clous de girofle*, cardamome*) 13%. *Issu de l'agriculture biologique.</v>
          </cell>
          <cell r="AA699" t="str">
            <v>/</v>
          </cell>
          <cell r="AB699" t="str">
            <v>Membre certifié World Fair Trade Organization, Les Jardins de Gaïa s’engagent pour un commerce plus juste et répondent aux exigences du commerce équitable. Pour en savoir plus : www.wfto.com.</v>
          </cell>
          <cell r="AC699">
            <v>100</v>
          </cell>
          <cell r="AD699" t="str">
            <v>3</v>
          </cell>
          <cell r="AE699">
            <v>80</v>
          </cell>
          <cell r="AF699">
            <v>2</v>
          </cell>
          <cell r="AG699">
            <v>50</v>
          </cell>
          <cell r="AH699">
            <v>3582813568023</v>
          </cell>
          <cell r="AI699" t="str">
            <v>/</v>
          </cell>
          <cell r="AJ699" t="str">
            <v>ETVM680</v>
          </cell>
          <cell r="AK699" t="str">
            <v>ETVM680V5</v>
          </cell>
          <cell r="AL699" t="str">
            <v>ETCVM6802V5</v>
          </cell>
          <cell r="AM699" t="str">
            <v>Putharjhora + Small Organic Farmers' Association (SOFA)</v>
          </cell>
        </row>
        <row r="700">
          <cell r="A700" t="str">
            <v>TM7901</v>
          </cell>
          <cell r="B700"/>
          <cell r="C700"/>
          <cell r="D700"/>
          <cell r="E700"/>
          <cell r="F700"/>
          <cell r="G700"/>
          <cell r="H700" t="str">
            <v>LES GRANDS CLASSIQUES</v>
          </cell>
          <cell r="I700"/>
          <cell r="J700" t="str">
            <v>Tea Time</v>
          </cell>
          <cell r="K700" t="str">
            <v>/</v>
          </cell>
          <cell r="L700" t="str">
            <v>Thé noir</v>
          </cell>
          <cell r="M700" t="str">
            <v>Vietnam - Chine - Inde</v>
          </cell>
          <cell r="N700" t="str">
            <v>AB</v>
          </cell>
          <cell r="O700" t="str">
            <v>WFTO</v>
          </cell>
          <cell r="P700" t="str">
            <v>/</v>
          </cell>
          <cell r="Q700" t="str">
            <v>/</v>
          </cell>
          <cell r="R700" t="str">
            <v>/</v>
          </cell>
          <cell r="S700" t="str">
            <v>/</v>
          </cell>
          <cell r="T700" t="str">
            <v>Agriculture non UE</v>
          </cell>
          <cell r="U700"/>
          <cell r="V700" t="str">
            <v>Un sommet de finesse pour cette alliance de crus d’une intensité remarquable. Infusion cuivrée, pleine en bouche, au goût de noisette avec beaucoup de corps. Thé de cinq heure par excellence.</v>
          </cell>
          <cell r="W700" t="str">
            <v>S21</v>
          </cell>
          <cell r="X700" t="str">
            <v>Illuminez vos tea time avec cette sélection de thés noirs d’une finesse et d’une intensité remarquable. Son infusion cuivrée, pleine en bouche, mêle des saveurs taniques et corsées à d’agréables notes de noisette. Accepte volontiers d’un nuage de lait ou de crème.</v>
          </cell>
          <cell r="Y700"/>
          <cell r="Z700" t="str">
            <v>Ingrédient : thé noir*. *Issu de l'agriculture biologique.</v>
          </cell>
          <cell r="AA700" t="str">
            <v>/</v>
          </cell>
          <cell r="AB700" t="str">
            <v>Membre certifié World Fair Trade Organization, Les Jardins de Gaïa s’engagent pour un commerce plus juste et répondent aux exigences du commerce équitable. Pour en savoir plus : www.wfto.com.</v>
          </cell>
          <cell r="AC700">
            <v>1.5</v>
          </cell>
          <cell r="AD700" t="str">
            <v>3-4</v>
          </cell>
          <cell r="AE700">
            <v>90</v>
          </cell>
          <cell r="AF700">
            <v>2</v>
          </cell>
          <cell r="AG700">
            <v>750</v>
          </cell>
          <cell r="AH700">
            <v>3582810579015</v>
          </cell>
          <cell r="AI700" t="str">
            <v>/</v>
          </cell>
          <cell r="AJ700" t="str">
            <v>INTERNE</v>
          </cell>
          <cell r="AK700" t="str">
            <v>INTERNE</v>
          </cell>
          <cell r="AL700" t="str">
            <v>/</v>
          </cell>
          <cell r="AM700" t="str">
            <v>Création maison</v>
          </cell>
        </row>
        <row r="701">
          <cell r="A701" t="str">
            <v>TM7902</v>
          </cell>
          <cell r="B701"/>
          <cell r="C701" t="str">
            <v>X</v>
          </cell>
          <cell r="D701"/>
          <cell r="E701"/>
          <cell r="F701"/>
          <cell r="G701"/>
          <cell r="H701" t="str">
            <v>LES GRANDS CLASSIQUES</v>
          </cell>
          <cell r="I701"/>
          <cell r="J701" t="str">
            <v>Tea Time</v>
          </cell>
          <cell r="K701" t="str">
            <v>/</v>
          </cell>
          <cell r="L701" t="str">
            <v>Thé noir</v>
          </cell>
          <cell r="M701" t="str">
            <v>Vietnam - Chine - Inde</v>
          </cell>
          <cell r="N701" t="str">
            <v>AB</v>
          </cell>
          <cell r="O701" t="str">
            <v>WFTO</v>
          </cell>
          <cell r="P701" t="str">
            <v>/</v>
          </cell>
          <cell r="Q701" t="str">
            <v>/</v>
          </cell>
          <cell r="R701" t="str">
            <v>/</v>
          </cell>
          <cell r="S701" t="str">
            <v>/</v>
          </cell>
          <cell r="T701" t="str">
            <v>Agriculture non UE</v>
          </cell>
          <cell r="U701"/>
          <cell r="V701" t="str">
            <v>Un sommet de finesse pour cette alliance de crus d’une intensité remarquable. Infusion cuivrée, pleine en bouche, au goût de noisette avec beaucoup de corps. Thé de cinq heure par excellence.</v>
          </cell>
          <cell r="W701" t="str">
            <v>S21</v>
          </cell>
          <cell r="X701" t="str">
            <v>Illuminez vos tea time avec cette sélection de thés noirs d’une finesse et d’une intensité remarquable. Son infusion cuivrée, pleine en bouche, mêle des saveurs taniques et corsées à d’agréables notes de noisette. Accepte volontiers d’un nuage de lait ou de crème.</v>
          </cell>
          <cell r="Y701"/>
          <cell r="Z701" t="str">
            <v>Ingrédient : thé noir*. *Issu de l'agriculture biologique.</v>
          </cell>
          <cell r="AA701" t="str">
            <v>/</v>
          </cell>
          <cell r="AB701" t="str">
            <v>Membre certifié World Fair Trade Organization, Les Jardins de Gaïa s’engagent pour un commerce plus juste et répondent aux exigences du commerce équitable. Pour en savoir plus : www.wfto.com.</v>
          </cell>
          <cell r="AC701">
            <v>100</v>
          </cell>
          <cell r="AD701" t="str">
            <v>3-4</v>
          </cell>
          <cell r="AE701">
            <v>90</v>
          </cell>
          <cell r="AF701">
            <v>2</v>
          </cell>
          <cell r="AG701">
            <v>50</v>
          </cell>
          <cell r="AH701">
            <v>3582810579022</v>
          </cell>
          <cell r="AI701" t="str">
            <v>/</v>
          </cell>
          <cell r="AJ701" t="str">
            <v>ETNM790</v>
          </cell>
          <cell r="AK701" t="str">
            <v>ETNM790V5</v>
          </cell>
          <cell r="AL701" t="str">
            <v>ETCNM7902V5</v>
          </cell>
          <cell r="AM701" t="str">
            <v>Création maison</v>
          </cell>
        </row>
        <row r="702">
          <cell r="A702" t="str">
            <v>TN2107</v>
          </cell>
          <cell r="B702"/>
          <cell r="C702"/>
          <cell r="D702"/>
          <cell r="E702"/>
          <cell r="F702"/>
          <cell r="G702"/>
          <cell r="H702" t="str">
            <v>LES PRIMEURS</v>
          </cell>
          <cell r="I702"/>
          <cell r="J702" t="str">
            <v>Teesta</v>
          </cell>
          <cell r="K702" t="str">
            <v>FTGFOP1 FF 
Top Quality 
cultivar Teesta China</v>
          </cell>
          <cell r="L702" t="str">
            <v>Thé noir primeur</v>
          </cell>
          <cell r="M702" t="str">
            <v>Inde - Darjeeling -
Teesta garden</v>
          </cell>
          <cell r="N702" t="str">
            <v>AB</v>
          </cell>
          <cell r="O702" t="str">
            <v>/</v>
          </cell>
          <cell r="P702" t="str">
            <v>/</v>
          </cell>
          <cell r="Q702" t="str">
            <v>/</v>
          </cell>
          <cell r="R702" t="str">
            <v>IGP</v>
          </cell>
          <cell r="S702" t="str">
            <v>/</v>
          </cell>
          <cell r="T702" t="str">
            <v>Agriculture Inde</v>
          </cell>
          <cell r="U702"/>
          <cell r="V702" t="str">
            <v>Récolte confidentielle de printemps issue d'un terroir d'exception. Notes : florales (lilas) et acidulées (agrumes zestés), nature sauvage.</v>
          </cell>
          <cell r="W702" t="str">
            <v>S25</v>
          </cell>
          <cell r="X702"/>
          <cell r="Y702"/>
          <cell r="Z702" t="str">
            <v>Ingrédient : thé noir*. *Issu de l'agriculture biologique.</v>
          </cell>
          <cell r="AA702" t="str">
            <v>/</v>
          </cell>
          <cell r="AB702" t="str">
            <v>/</v>
          </cell>
          <cell r="AC702">
            <v>1</v>
          </cell>
          <cell r="AD702" t="str">
            <v>3</v>
          </cell>
          <cell r="AE702">
            <v>85</v>
          </cell>
          <cell r="AF702">
            <v>2</v>
          </cell>
          <cell r="AG702">
            <v>500</v>
          </cell>
          <cell r="AH702">
            <v>3582810221075</v>
          </cell>
          <cell r="AI702" t="str">
            <v>/</v>
          </cell>
          <cell r="AJ702" t="str">
            <v>INTERNE</v>
          </cell>
          <cell r="AK702" t="str">
            <v>INTERNE</v>
          </cell>
          <cell r="AL702" t="str">
            <v>/</v>
          </cell>
          <cell r="AM702" t="str">
            <v>Jardin de Teesta</v>
          </cell>
        </row>
        <row r="703">
          <cell r="A703" t="str">
            <v>TN2102</v>
          </cell>
          <cell r="B703"/>
          <cell r="C703"/>
          <cell r="D703"/>
          <cell r="E703"/>
          <cell r="F703"/>
          <cell r="G703"/>
          <cell r="H703" t="str">
            <v>LES PRIMEURS</v>
          </cell>
          <cell r="I703"/>
          <cell r="J703" t="str">
            <v>Teesta</v>
          </cell>
          <cell r="K703" t="str">
            <v>FTGFOP1 FF 
Top Quality 
cultivar Teesta China</v>
          </cell>
          <cell r="L703" t="str">
            <v>Thé noir primeur</v>
          </cell>
          <cell r="M703" t="str">
            <v>Inde - Darjeeling -
Teesta garden</v>
          </cell>
          <cell r="N703" t="str">
            <v>AB</v>
          </cell>
          <cell r="O703" t="str">
            <v>/</v>
          </cell>
          <cell r="P703" t="str">
            <v>/</v>
          </cell>
          <cell r="Q703" t="str">
            <v>/</v>
          </cell>
          <cell r="R703" t="str">
            <v>IGP</v>
          </cell>
          <cell r="S703" t="str">
            <v>/</v>
          </cell>
          <cell r="T703" t="str">
            <v>Agriculture Inde</v>
          </cell>
          <cell r="U703"/>
          <cell r="V703" t="str">
            <v>Récolte confidentielle de printemps issue d'un terroir d'exception. Notes : florales (lilas) et acidulées (agrumes zestés), nature sauvage.</v>
          </cell>
          <cell r="W703" t="str">
            <v>S25</v>
          </cell>
          <cell r="X703"/>
          <cell r="Y703"/>
          <cell r="Z703" t="str">
            <v>Ingrédient : thé noir*. *Issu de l'agriculture biologique.</v>
          </cell>
          <cell r="AA703" t="str">
            <v>/</v>
          </cell>
          <cell r="AB703" t="str">
            <v>/</v>
          </cell>
          <cell r="AC703">
            <v>80</v>
          </cell>
          <cell r="AD703" t="str">
            <v>3</v>
          </cell>
          <cell r="AE703">
            <v>85</v>
          </cell>
          <cell r="AF703">
            <v>2</v>
          </cell>
          <cell r="AG703">
            <v>40</v>
          </cell>
          <cell r="AH703">
            <v>3582810221020</v>
          </cell>
          <cell r="AI703" t="str">
            <v>/</v>
          </cell>
          <cell r="AJ703" t="str">
            <v>ETNN210V5</v>
          </cell>
          <cell r="AK703" t="str">
            <v>ETNN210V5</v>
          </cell>
          <cell r="AL703" t="str">
            <v>ETCNN2102FF22V5</v>
          </cell>
          <cell r="AM703" t="str">
            <v>Jardin de Teesta</v>
          </cell>
        </row>
        <row r="704">
          <cell r="A704" t="str">
            <v>TA6831</v>
          </cell>
          <cell r="B704"/>
          <cell r="C704"/>
          <cell r="D704"/>
          <cell r="E704"/>
          <cell r="F704"/>
          <cell r="G704"/>
          <cell r="H704" t="str">
            <v>LES GRANDS CLASSIQUES</v>
          </cell>
          <cell r="I704"/>
          <cell r="J704" t="str">
            <v>Tendres moments</v>
          </cell>
          <cell r="K704" t="str">
            <v>Vanille</v>
          </cell>
          <cell r="L704" t="str">
            <v>Thé vert aromatisé</v>
          </cell>
          <cell r="M704" t="str">
            <v>Chine - Vietnam</v>
          </cell>
          <cell r="N704" t="str">
            <v>AB</v>
          </cell>
          <cell r="O704" t="str">
            <v>WFTO</v>
          </cell>
          <cell r="P704" t="str">
            <v>/</v>
          </cell>
          <cell r="Q704" t="str">
            <v>/</v>
          </cell>
          <cell r="R704" t="str">
            <v>/</v>
          </cell>
          <cell r="S704" t="str">
            <v>/</v>
          </cell>
          <cell r="T704" t="str">
            <v>Agriculture UE/non UE</v>
          </cell>
          <cell r="U704"/>
          <cell r="V704" t="str">
            <v>Tout en douceur… Ce thé vert frais et tendre parfumé à la vanille libère une infusion légère et sucrée. Gourmande et raffinée, sa saveur est agréable à chaque instant.</v>
          </cell>
          <cell r="W704"/>
          <cell r="X704" t="str">
            <v>Né du mariage de la fraîcheur du thé vert avec le velouté de la vanille, cette infusion au goût légèrement sucré est une invitation à s’offrir de tendres moments. Une boisson gourmande qui accompagne à chaque gorgée la douceur de l’instant présent.</v>
          </cell>
          <cell r="Y704"/>
          <cell r="Z704" t="str">
            <v>Ingrédients : thé vert*, extrait de vanille* 4%, morceaux de vanille* 2%, pétales de souci*. *Issu de l'agriculture biologique.</v>
          </cell>
          <cell r="AA704" t="str">
            <v>/</v>
          </cell>
          <cell r="AB704" t="str">
            <v>Membre certifié World Fair Trade Organization, Les Jardins de Gaïa s’engagent pour un commerce plus juste et répondent aux exigences du commerce équitable. Pour en savoir plus : www.wfto.com.</v>
          </cell>
          <cell r="AC704">
            <v>1.5</v>
          </cell>
          <cell r="AD704" t="str">
            <v>3</v>
          </cell>
          <cell r="AE704">
            <v>75</v>
          </cell>
          <cell r="AF704">
            <v>2</v>
          </cell>
          <cell r="AG704">
            <v>750</v>
          </cell>
          <cell r="AH704">
            <v>3582810868317</v>
          </cell>
          <cell r="AI704" t="str">
            <v>/</v>
          </cell>
          <cell r="AJ704" t="str">
            <v>INTERNE</v>
          </cell>
          <cell r="AK704" t="str">
            <v>INTERNE</v>
          </cell>
          <cell r="AL704" t="str">
            <v>/</v>
          </cell>
          <cell r="AM704" t="str">
            <v>Création maison</v>
          </cell>
        </row>
        <row r="705">
          <cell r="A705" t="str">
            <v>TA6832</v>
          </cell>
          <cell r="B705"/>
          <cell r="C705" t="str">
            <v>X</v>
          </cell>
          <cell r="D705" t="str">
            <v>x</v>
          </cell>
          <cell r="E705" t="str">
            <v>x</v>
          </cell>
          <cell r="F705" t="str">
            <v>GRAI</v>
          </cell>
          <cell r="G705">
            <v>45383</v>
          </cell>
          <cell r="H705" t="str">
            <v>LES GRANDS CLASSIQUES</v>
          </cell>
          <cell r="I705"/>
          <cell r="J705" t="str">
            <v>Tendres moments</v>
          </cell>
          <cell r="K705" t="str">
            <v>Vanille</v>
          </cell>
          <cell r="L705" t="str">
            <v>Thé vert aromatisé</v>
          </cell>
          <cell r="M705" t="str">
            <v>Chine - Vietnam</v>
          </cell>
          <cell r="N705" t="str">
            <v>AB</v>
          </cell>
          <cell r="O705" t="str">
            <v>WFTO</v>
          </cell>
          <cell r="P705" t="str">
            <v>/</v>
          </cell>
          <cell r="Q705" t="str">
            <v>/</v>
          </cell>
          <cell r="R705" t="str">
            <v>/</v>
          </cell>
          <cell r="S705" t="str">
            <v>/</v>
          </cell>
          <cell r="T705" t="str">
            <v>Agriculture UE/non UE</v>
          </cell>
          <cell r="U705"/>
          <cell r="V705" t="str">
            <v>Tout en douceur… Ce thé vert frais et tendre parfumé à la vanille libère une infusion légère et sucrée. Gourmande et raffinée, sa saveur est agréable à chaque instant.</v>
          </cell>
          <cell r="W705"/>
          <cell r="X705" t="str">
            <v>Né du mariage de la fraîcheur du thé vert avec le velouté de la vanille, cette infusion au goût légèrement sucré est une invitation à s’offrir de tendres moments. Une boisson gourmande qui accompagne à chaque gorgée la douceur de l’instant présent.</v>
          </cell>
          <cell r="Y705"/>
          <cell r="Z705" t="str">
            <v>Ingrédients : thé vert*, extrait de vanille* 4%, morceaux de vanille* 2%, pétales de souci*. *Issu de l'agriculture biologique.</v>
          </cell>
          <cell r="AA705" t="str">
            <v>/</v>
          </cell>
          <cell r="AB705" t="str">
            <v>Membre certifié World Fair Trade Organization, Les Jardins de Gaïa s’engagent pour un commerce plus juste et répondent aux exigences du commerce équitable. Pour en savoir plus : www.wfto.com.</v>
          </cell>
          <cell r="AC705">
            <v>100</v>
          </cell>
          <cell r="AD705" t="str">
            <v>3</v>
          </cell>
          <cell r="AE705">
            <v>75</v>
          </cell>
          <cell r="AF705">
            <v>2</v>
          </cell>
          <cell r="AG705">
            <v>50</v>
          </cell>
          <cell r="AH705">
            <v>3582810868324</v>
          </cell>
          <cell r="AI705" t="str">
            <v>/</v>
          </cell>
          <cell r="AJ705" t="str">
            <v>ETVA683V5</v>
          </cell>
          <cell r="AK705" t="str">
            <v>ETVA683V5</v>
          </cell>
          <cell r="AL705" t="str">
            <v>ETCVA6832V5</v>
          </cell>
          <cell r="AM705" t="str">
            <v>Création maison</v>
          </cell>
        </row>
        <row r="706">
          <cell r="A706" t="str">
            <v>TM0041</v>
          </cell>
          <cell r="B706"/>
          <cell r="C706"/>
          <cell r="D706"/>
          <cell r="E706"/>
          <cell r="F706"/>
          <cell r="G706"/>
          <cell r="H706" t="str">
            <v>LES ENGAGÉS</v>
          </cell>
          <cell r="I706" t="str">
            <v>AGIR POUR LA NATURE</v>
          </cell>
          <cell r="J706" t="str">
            <v>Terre d'Afrique</v>
          </cell>
          <cell r="K706" t="str">
            <v>Lemongrass - Cannelle - Piment</v>
          </cell>
          <cell r="L706" t="str">
            <v>Infusion de plantes et épices</v>
          </cell>
          <cell r="M706" t="str">
            <v>Égypte - Sri Lanka - Vietnam - Portugal - Inde - Espagne</v>
          </cell>
          <cell r="N706" t="str">
            <v>AB</v>
          </cell>
          <cell r="O706" t="str">
            <v>/</v>
          </cell>
          <cell r="P706" t="str">
            <v>/</v>
          </cell>
          <cell r="Q706" t="str">
            <v>/</v>
          </cell>
          <cell r="R706" t="str">
            <v>/</v>
          </cell>
          <cell r="S706" t="str">
            <v>/</v>
          </cell>
          <cell r="T706" t="str">
            <v>Agriculture UE/non UE</v>
          </cell>
          <cell r="U706"/>
          <cell r="V706" t="str">
            <v>Inspirée des animaux mythiques d’Afrique et de ses paysages grandioses qui nourrissent notre imaginaire, cette composition colorée de plantes et d’épices est une invitation au voyage. Fermez les yeux… Laissez-vous porter par la douceur chaude de la cannelle accompagnée des notes fraîches et citronnées du lemongrass. Puis laissez-vous surprendre par les touches pimentées et poivrées qui émergent çà et là et rendent la dégustation toujours plus intense.</v>
          </cell>
          <cell r="W706" t="str">
            <v>S25</v>
          </cell>
          <cell r="X706" t="str">
            <v>Inspiré de la force des paysages sauvages d’Afrique, cette composition colorée de plantes et d’épices offre une expérience gustative intense. La douceur chaude de la cannelle accompagnée de notes pimentées et poivrées contraste agréablement avec les saveurs fraîches et citronnées du lemongrass.</v>
          </cell>
          <cell r="Y706" t="str">
            <v>L'association Projet pour la Conservation des Grands Singes (PCGS) œuvre à la protection des chimpanzés sauvages et de leurs habitats, les forêts tropicales. helloasso.com/associations/projet-pour-la-conservation-des-grands-singes</v>
          </cell>
          <cell r="Z706" t="str">
            <v>Ingrédients : lemongrass* 42%, cannelle* 38%, pétales de tournesol*, poivre vert*, poivre noir*, piment* 2%. *Issu de l’agriculture biologique.</v>
          </cell>
          <cell r="AA706" t="str">
            <v>/</v>
          </cell>
          <cell r="AB706" t="str">
            <v>/</v>
          </cell>
          <cell r="AC706">
            <v>1.5</v>
          </cell>
          <cell r="AD706" t="str">
            <v>5-8</v>
          </cell>
          <cell r="AE706">
            <v>95</v>
          </cell>
          <cell r="AF706">
            <v>2</v>
          </cell>
          <cell r="AG706">
            <v>750</v>
          </cell>
          <cell r="AH706">
            <v>3582811000419</v>
          </cell>
          <cell r="AI706" t="str">
            <v>/</v>
          </cell>
          <cell r="AJ706" t="str">
            <v>INTERNE</v>
          </cell>
          <cell r="AK706" t="str">
            <v>INTERNE</v>
          </cell>
          <cell r="AL706" t="str">
            <v>/</v>
          </cell>
          <cell r="AM706" t="str">
            <v>Kahangi Estate</v>
          </cell>
        </row>
        <row r="707">
          <cell r="A707" t="str">
            <v>TM0046</v>
          </cell>
          <cell r="B707"/>
          <cell r="C707"/>
          <cell r="D707"/>
          <cell r="E707"/>
          <cell r="F707"/>
          <cell r="G707"/>
          <cell r="H707" t="str">
            <v>LES ENGAGÉS</v>
          </cell>
          <cell r="I707" t="str">
            <v>AGIR POUR LA NATURE</v>
          </cell>
          <cell r="J707" t="str">
            <v>Terre d'Afrique</v>
          </cell>
          <cell r="K707" t="str">
            <v>Lemongrass - Cannelle - Piment</v>
          </cell>
          <cell r="L707" t="str">
            <v>Infusion de plantes et épices</v>
          </cell>
          <cell r="M707" t="str">
            <v>Égypte - Sri Lanka - Vietnam - Portugal - Inde - Espagne</v>
          </cell>
          <cell r="N707" t="str">
            <v>AB</v>
          </cell>
          <cell r="O707" t="str">
            <v>/</v>
          </cell>
          <cell r="P707" t="str">
            <v>/</v>
          </cell>
          <cell r="Q707" t="str">
            <v>/</v>
          </cell>
          <cell r="R707" t="str">
            <v>/</v>
          </cell>
          <cell r="S707" t="str">
            <v>/</v>
          </cell>
          <cell r="T707" t="str">
            <v>Agriculture UE/non UE</v>
          </cell>
          <cell r="U707"/>
          <cell r="V707" t="str">
            <v>Inspirée des animaux mythiques d’Afrique et de ses paysages grandioses qui nourrissent notre imaginaire, cette composition colorée de plantes et d’épices est une invitation au voyage. Fermez les yeux… Laissez-vous porter par la douceur chaude de la cannelle accompagnée des notes fraîches et citronnées du lemongrass. Puis laissez-vous surprendre par les touches pimentées et poivrées qui émergent çà et là et rendent la dégustation toujours plus intense.</v>
          </cell>
          <cell r="W707" t="str">
            <v>S25</v>
          </cell>
          <cell r="X707" t="str">
            <v>Inspiré de la force des paysages sauvages d’Afrique, cette composition colorée de plantes et d’épices offre une expérience gustative intense. La douceur chaude de la cannelle accompagnée de notes pimentées et poivrées contraste agréablement avec les saveurs fraîches et citronnées du lemongrass.</v>
          </cell>
          <cell r="Y707" t="str">
            <v>L'association Projet pour la Conservation des Grands Singes (PCGS) œuvre à la protection des chimpanzés sauvages et de leurs habitats, les forêts tropicales. helloasso.com/associations/projet-pour-la-conservation-des-grands-singes</v>
          </cell>
          <cell r="Z707" t="str">
            <v>Ingrédients : lemongrass* 42%, cannelle* 38%, pétales de tournesol*, poivre vert*, poivre noir*, piment* 2%. *Issu de l’agriculture biologique.</v>
          </cell>
          <cell r="AA707" t="str">
            <v>/</v>
          </cell>
          <cell r="AB707" t="str">
            <v>/</v>
          </cell>
          <cell r="AC707">
            <v>60</v>
          </cell>
          <cell r="AD707" t="str">
            <v>5-8</v>
          </cell>
          <cell r="AE707">
            <v>95</v>
          </cell>
          <cell r="AF707">
            <v>2</v>
          </cell>
          <cell r="AG707">
            <v>30</v>
          </cell>
          <cell r="AH707">
            <v>3582811000464</v>
          </cell>
          <cell r="AI707" t="str">
            <v>/</v>
          </cell>
          <cell r="AJ707" t="str">
            <v>ETTM004</v>
          </cell>
          <cell r="AK707" t="str">
            <v>ETTM004V5</v>
          </cell>
          <cell r="AL707" t="str">
            <v>ETCTM0046V5</v>
          </cell>
          <cell r="AM707" t="str">
            <v>Kahangi Estate</v>
          </cell>
        </row>
        <row r="708">
          <cell r="A708" t="str">
            <v>TA4151</v>
          </cell>
          <cell r="B708"/>
          <cell r="C708"/>
          <cell r="D708"/>
          <cell r="E708"/>
          <cell r="F708"/>
          <cell r="G708"/>
          <cell r="H708" t="str">
            <v>LES GRANDS CLASSIQUES</v>
          </cell>
          <cell r="I708"/>
          <cell r="J708" t="str">
            <v>Thé de l'Avent</v>
          </cell>
          <cell r="K708" t="str">
            <v>Cacao - Cannelle - Saveur vanille</v>
          </cell>
          <cell r="L708" t="str">
            <v>Mélange de thés aromatisé</v>
          </cell>
          <cell r="M708" t="str">
            <v>Chine - Inde</v>
          </cell>
          <cell r="N708" t="str">
            <v>AB</v>
          </cell>
          <cell r="O708" t="str">
            <v>WFTO</v>
          </cell>
          <cell r="P708" t="str">
            <v>/</v>
          </cell>
          <cell r="Q708" t="str">
            <v>/</v>
          </cell>
          <cell r="R708" t="str">
            <v>/</v>
          </cell>
          <cell r="S708" t="str">
            <v>/</v>
          </cell>
          <cell r="T708" t="str">
            <v>Agriculture UE/non UE</v>
          </cell>
          <cell r="U708"/>
          <cell r="V708" t="str">
            <v>Petit à petit les jours s'égrainent, l'esprit de Noël s'installe. Notes gourmandes additionnées d'un soupçon de cannelle et de vanille, ce thé rond et chaud, équilibre entre noir et vert, s'inspire des saveurs du temps des préparatifs. Patience, plus que quelques jours…</v>
          </cell>
          <cell r="W708" t="str">
            <v>S21</v>
          </cell>
          <cell r="X708" t="str">
            <v>Ce thé de l’Avent à base de thé noir et de thé vert s’apprécie au rythme des jours s'égrènent, quand l'esprit de Noël s'installe lentement. Ses notes de cacao, de cannelle et de vanille accompagnent avec gourmandise les derniers préparatifs. Patience, plus que quelques jours…</v>
          </cell>
          <cell r="Y708"/>
          <cell r="Z708" t="str">
            <v>Ingrédients : mélange de thés (thé noir*, thé vert*), arôme naturel de vanille* 5%, cannelle* 3%, écorces de cacao* 2%, écorces d'orange*, pétales de souci*. *Issu de l'agriculture biologique.</v>
          </cell>
          <cell r="AA708" t="str">
            <v>/</v>
          </cell>
          <cell r="AB708" t="str">
            <v>Membre certifié World Fair Trade Organization, Les Jardins de Gaïa s’engagent pour un commerce plus juste et répondent aux exigences du commerce équitable. Pour en savoir plus : www.wfto.com.</v>
          </cell>
          <cell r="AC708">
            <v>1.5</v>
          </cell>
          <cell r="AD708" t="str">
            <v>3</v>
          </cell>
          <cell r="AE708">
            <v>85</v>
          </cell>
          <cell r="AF708">
            <v>2</v>
          </cell>
          <cell r="AG708">
            <v>750</v>
          </cell>
          <cell r="AH708">
            <v>3582810241516</v>
          </cell>
          <cell r="AI708" t="str">
            <v>/</v>
          </cell>
          <cell r="AJ708" t="str">
            <v>INTERNE</v>
          </cell>
          <cell r="AK708" t="str">
            <v>INTERNE</v>
          </cell>
          <cell r="AL708" t="str">
            <v>/</v>
          </cell>
          <cell r="AM708" t="str">
            <v>Création maison</v>
          </cell>
        </row>
        <row r="709">
          <cell r="A709" t="str">
            <v>TA4152</v>
          </cell>
          <cell r="B709"/>
          <cell r="C709"/>
          <cell r="D709"/>
          <cell r="E709"/>
          <cell r="F709"/>
          <cell r="G709"/>
          <cell r="H709" t="str">
            <v>LES GRANDS CLASSIQUES</v>
          </cell>
          <cell r="I709" t="str">
            <v>SELECTION DE NOËL</v>
          </cell>
          <cell r="J709" t="str">
            <v>Thé de l'Avent</v>
          </cell>
          <cell r="K709" t="str">
            <v>Cacao - Cannelle - Saveur vanille</v>
          </cell>
          <cell r="L709" t="str">
            <v>Mélange de thés aromatisé</v>
          </cell>
          <cell r="M709" t="str">
            <v>Chine - Inde</v>
          </cell>
          <cell r="N709" t="str">
            <v>AB</v>
          </cell>
          <cell r="O709" t="str">
            <v>WFTO</v>
          </cell>
          <cell r="P709" t="str">
            <v>/</v>
          </cell>
          <cell r="Q709" t="str">
            <v>/</v>
          </cell>
          <cell r="R709" t="str">
            <v>/</v>
          </cell>
          <cell r="S709" t="str">
            <v>/</v>
          </cell>
          <cell r="T709" t="str">
            <v>Agriculture UE/non UE</v>
          </cell>
          <cell r="U709"/>
          <cell r="V709" t="str">
            <v>Petit à petit les jours s'égrainent, l'esprit de Noël s'installe. Notes gourmandes additionnées d'un soupçon de cannelle et de vanille, ce thé rond et chaud, équilibre entre noir et vert, s'inspire des saveurs du temps des préparatifs. Patience, plus que quelques jours…</v>
          </cell>
          <cell r="W709" t="str">
            <v>S21</v>
          </cell>
          <cell r="X709" t="str">
            <v>Ce thé de l’Avent à base de thé noir et de thé vert s’apprécie au rythme des jours s'égrènent, quand l'esprit de Noël s'installe lentement. Ses notes de cacao, de cannelle et de vanille accompagnent avec gourmandise les derniers préparatifs. Patience, plus que quelques jours…</v>
          </cell>
          <cell r="Y709"/>
          <cell r="Z709" t="str">
            <v>Ingrédients : mélange de thés (thé noir*, thé vert*), arôme naturel de vanille* 5%, cannelle* 3%, écorces de cacao* 2%, écorces d'orange*, pétales de souci*. *Issu de l'agriculture biologique.</v>
          </cell>
          <cell r="AA709" t="str">
            <v>/</v>
          </cell>
          <cell r="AB709" t="str">
            <v>Membre certifié World Fair Trade Organization, Les Jardins de Gaïa s’engagent pour un commerce plus juste et répondent aux exigences du commerce équitable. Pour en savoir plus : www.wfto.com.</v>
          </cell>
          <cell r="AC709">
            <v>100</v>
          </cell>
          <cell r="AD709" t="str">
            <v>3</v>
          </cell>
          <cell r="AE709">
            <v>85</v>
          </cell>
          <cell r="AF709">
            <v>2</v>
          </cell>
          <cell r="AG709">
            <v>50</v>
          </cell>
          <cell r="AH709">
            <v>3582810241523</v>
          </cell>
          <cell r="AI709" t="str">
            <v>/</v>
          </cell>
          <cell r="AJ709" t="str">
            <v>ETNA415V5</v>
          </cell>
          <cell r="AK709" t="str">
            <v>ETNA415V5</v>
          </cell>
          <cell r="AL709" t="str">
            <v>ETCNA4152V5</v>
          </cell>
          <cell r="AM709" t="str">
            <v>Création maison</v>
          </cell>
        </row>
        <row r="710">
          <cell r="A710" t="str">
            <v>TA7221</v>
          </cell>
          <cell r="B710"/>
          <cell r="C710"/>
          <cell r="D710"/>
          <cell r="E710"/>
          <cell r="F710"/>
          <cell r="G710"/>
          <cell r="H710" t="str">
            <v>LES GRANDS CLASSIQUES</v>
          </cell>
          <cell r="I710"/>
          <cell r="J710" t="str">
            <v>Thé de Noël</v>
          </cell>
          <cell r="K710" t="str">
            <v>Orange - Épices</v>
          </cell>
          <cell r="L710" t="str">
            <v>Thé noir aromatisé</v>
          </cell>
          <cell r="M710" t="str">
            <v>Vietnam - Chine - Inde</v>
          </cell>
          <cell r="N710" t="str">
            <v>AB</v>
          </cell>
          <cell r="O710" t="str">
            <v>WFTO</v>
          </cell>
          <cell r="P710" t="str">
            <v>/</v>
          </cell>
          <cell r="Q710" t="str">
            <v>/</v>
          </cell>
          <cell r="R710" t="str">
            <v>/</v>
          </cell>
          <cell r="S710" t="str">
            <v>/</v>
          </cell>
          <cell r="T710" t="str">
            <v>Agriculture UE/non UE</v>
          </cell>
          <cell r="U710"/>
          <cell r="V710" t="str">
            <v>Thé de lumière pour réchauffer les cœurs… Son doux parfum d'épices, son infusion dorée et son goût moelleux vous transportent dans la magie de Noël. À partager !</v>
          </cell>
          <cell r="W710" t="str">
            <v>S21</v>
          </cell>
          <cell r="X710" t="str">
            <v>Sur sa base de thé noir, cette recette de thé de Noël est vouée à ouvrir et réchauffer les cœurs en hiver. Son mariage de notes lumineuses d’orange, de morceaux de fruits et d’une sélection d'épices offre une liqueur dorée au goût moelleux qui évoque immédiatement la magie de Noël.</v>
          </cell>
          <cell r="Y710"/>
          <cell r="Z710" t="str">
            <v>NOEL 2024 : 
Ingrédients : thé noir*, épices (cannelle*, gingembre*, clous de girofle*, poivre noir*, cardamome*) 14%, fruits (écorces d'orange* 6%, pomme*, églantine*), hibiscus*, huiles essentielles (orange douce*, orange sanguine*) 1,5%, amandes effilées*, arôme naturel de pomme*, extrait de cannelle* 0,5%. *Issu de l'agriculture biologique.</v>
          </cell>
          <cell r="AA710" t="str">
            <v>/</v>
          </cell>
          <cell r="AB710" t="str">
            <v>Membre certifié World Fair Trade Organization, Les Jardins de Gaïa s’engagent pour un commerce plus juste et répondent aux exigences du commerce équitable. Pour en savoir plus : www.wfto.com.</v>
          </cell>
          <cell r="AC710">
            <v>1.5</v>
          </cell>
          <cell r="AD710" t="str">
            <v>3-4</v>
          </cell>
          <cell r="AE710">
            <v>90</v>
          </cell>
          <cell r="AF710">
            <v>2</v>
          </cell>
          <cell r="AG710">
            <v>750</v>
          </cell>
          <cell r="AH710">
            <v>3582810472217</v>
          </cell>
          <cell r="AI710" t="str">
            <v>/</v>
          </cell>
          <cell r="AJ710" t="str">
            <v>INTERNE</v>
          </cell>
          <cell r="AK710" t="str">
            <v>INTERNE</v>
          </cell>
          <cell r="AL710" t="str">
            <v>/</v>
          </cell>
          <cell r="AM710" t="str">
            <v>Création maison</v>
          </cell>
        </row>
        <row r="711">
          <cell r="A711" t="str">
            <v>TA7222</v>
          </cell>
          <cell r="B711"/>
          <cell r="C711"/>
          <cell r="D711"/>
          <cell r="E711"/>
          <cell r="F711"/>
          <cell r="G711"/>
          <cell r="H711" t="str">
            <v>LES GRANDS CLASSIQUES</v>
          </cell>
          <cell r="I711" t="str">
            <v>SELECTION DE NOËL</v>
          </cell>
          <cell r="J711" t="str">
            <v>Thé de Noël</v>
          </cell>
          <cell r="K711" t="str">
            <v>Orange - Épices</v>
          </cell>
          <cell r="L711" t="str">
            <v>Thé noir aromatisé</v>
          </cell>
          <cell r="M711" t="str">
            <v>Vietnam - Chine - Inde</v>
          </cell>
          <cell r="N711" t="str">
            <v>AB</v>
          </cell>
          <cell r="O711" t="str">
            <v>WFTO</v>
          </cell>
          <cell r="P711" t="str">
            <v>/</v>
          </cell>
          <cell r="Q711" t="str">
            <v>/</v>
          </cell>
          <cell r="R711" t="str">
            <v>/</v>
          </cell>
          <cell r="S711" t="str">
            <v>/</v>
          </cell>
          <cell r="T711" t="str">
            <v>Agriculture UE/non UE</v>
          </cell>
          <cell r="U711"/>
          <cell r="V711" t="str">
            <v>Thé de lumière pour réchauffer les cœurs… Son doux parfum d'épices, son infusion dorée et son goût moelleux vous transportent dans la magie de Noël. À partager !</v>
          </cell>
          <cell r="W711" t="str">
            <v>S21</v>
          </cell>
          <cell r="X711" t="str">
            <v>Sur sa base de thé noir, cette recette de thé de Noël est vouée à ouvrir et réchauffer les cœurs en hiver. Son mariage de notes lumineuses d’orange, de morceaux de fruits et d’une sélection d'épices offre une liqueur dorée au goût moelleux qui évoque immédiatement la magie de Noël.</v>
          </cell>
          <cell r="Y711"/>
          <cell r="Z711" t="str">
            <v>NOEL 2024 : 
Ingrédients : thé noir*, épices (cannelle*, gingembre*, clous de girofle*, poivre noir*, cardamome*) 14%, fruits (écorces d'orange* 6%, pomme*, églantine*), hibiscus*, huiles essentielles (orange douce*, orange sanguine*) 1,5%, amandes effilées*, arôme naturel de pomme*, extrait de cannelle* 0,5%. *Issu de l'agriculture biologique.</v>
          </cell>
          <cell r="AA711" t="str">
            <v>/</v>
          </cell>
          <cell r="AB711" t="str">
            <v>Membre certifié World Fair Trade Organization, Les Jardins de Gaïa s’engagent pour un commerce plus juste et répondent aux exigences du commerce équitable. Pour en savoir plus : www.wfto.com.</v>
          </cell>
          <cell r="AC711">
            <v>100</v>
          </cell>
          <cell r="AD711" t="str">
            <v>3-4</v>
          </cell>
          <cell r="AE711">
            <v>90</v>
          </cell>
          <cell r="AF711">
            <v>2</v>
          </cell>
          <cell r="AG711">
            <v>50</v>
          </cell>
          <cell r="AH711">
            <v>3582810472224</v>
          </cell>
          <cell r="AI711" t="str">
            <v>/</v>
          </cell>
          <cell r="AJ711" t="str">
            <v>ETNA722V5N</v>
          </cell>
          <cell r="AK711" t="str">
            <v>ETNA722V5N</v>
          </cell>
          <cell r="AL711" t="str">
            <v>ETCNA7222V5N</v>
          </cell>
          <cell r="AM711" t="str">
            <v>Création maison</v>
          </cell>
        </row>
        <row r="712">
          <cell r="A712" t="str">
            <v>TU7222</v>
          </cell>
          <cell r="B712"/>
          <cell r="C712"/>
          <cell r="D712"/>
          <cell r="E712"/>
          <cell r="F712"/>
          <cell r="G712"/>
          <cell r="H712" t="str">
            <v>LES GRANDS CLASSIQUES</v>
          </cell>
          <cell r="I712" t="str">
            <v>SELECTION DE NOËL</v>
          </cell>
          <cell r="J712" t="str">
            <v>Thé de Noël</v>
          </cell>
          <cell r="K712" t="str">
            <v>Orange - Épices</v>
          </cell>
          <cell r="L712" t="str">
            <v>Thé noir aromatisé</v>
          </cell>
          <cell r="M712" t="str">
            <v>Vietnam - Chine - Inde</v>
          </cell>
          <cell r="N712" t="str">
            <v>AB</v>
          </cell>
          <cell r="O712" t="str">
            <v>WFTO</v>
          </cell>
          <cell r="P712" t="str">
            <v>/</v>
          </cell>
          <cell r="Q712" t="str">
            <v>/</v>
          </cell>
          <cell r="R712" t="str">
            <v>/</v>
          </cell>
          <cell r="S712" t="str">
            <v>/</v>
          </cell>
          <cell r="T712" t="str">
            <v>Agriculture UE/non UE</v>
          </cell>
          <cell r="U712"/>
          <cell r="V712" t="str">
            <v>Thé de lumière pour réchauffer les cœurs… Son doux parfum d'épices, son infusion dorée et son goût moelleux vous transportent dans la magie de Noël. À partager !</v>
          </cell>
          <cell r="W712" t="str">
            <v>S21</v>
          </cell>
          <cell r="X712" t="str">
            <v>Sur sa base de thé noir, cette recette de thé de Noël est vouée à ouvrir et réchauffer les cœurs en hiver. Son mariage de notes lumineuses d’orange, de morceaux de fruits et d’une sélection d'épices offre une liqueur dorée au goût moelleux qui évoque immédiatement la magie de Noël.</v>
          </cell>
          <cell r="Y712"/>
          <cell r="Z712" t="str">
            <v>NOEL 2024 : 
Ingrédients : thé noir*, épices (cannelle*, gingembre*, clous de girofle*, poivre noir*, cardamome*) 14%, fruits (écorces d'orange* 6%, pomme*, églantine*), hibiscus*, huiles essentielles (orange douce*, orange sanguine*) 1,5%, amandes effilées*, arôme naturel de pomme*, extrait de cannelle* 0,5%. *Issu de l'agriculture biologique.</v>
          </cell>
          <cell r="AA712" t="str">
            <v>/</v>
          </cell>
          <cell r="AB712" t="str">
            <v>Membre certifié World Fair Trade Organization, Les Jardins de Gaïa s’engagent pour un commerce plus juste et répondent aux exigences du commerce équitable. Pour en savoir plus : www.wfto.com.</v>
          </cell>
          <cell r="AC712">
            <v>100</v>
          </cell>
          <cell r="AD712" t="str">
            <v>3-4</v>
          </cell>
          <cell r="AE712">
            <v>90</v>
          </cell>
          <cell r="AF712">
            <v>2</v>
          </cell>
          <cell r="AG712">
            <v>50</v>
          </cell>
          <cell r="AH712">
            <v>3582815572226</v>
          </cell>
          <cell r="AI712" t="str">
            <v>/</v>
          </cell>
          <cell r="AJ712" t="str">
            <v>ETTUNA7222</v>
          </cell>
          <cell r="AK712" t="str">
            <v>ETTUNA7222V5</v>
          </cell>
          <cell r="AL712" t="str">
            <v>/</v>
          </cell>
          <cell r="AM712" t="str">
            <v>Création maison</v>
          </cell>
        </row>
        <row r="713">
          <cell r="A713" t="str">
            <v>TA7221</v>
          </cell>
          <cell r="B713"/>
          <cell r="C713"/>
          <cell r="D713"/>
          <cell r="E713"/>
          <cell r="F713"/>
          <cell r="G713"/>
          <cell r="H713" t="str">
            <v>LES GRANDS CLASSIQUES</v>
          </cell>
          <cell r="I713"/>
          <cell r="J713" t="str">
            <v>Thé d'hiver</v>
          </cell>
          <cell r="K713" t="str">
            <v>Orange - Épices</v>
          </cell>
          <cell r="L713" t="str">
            <v>Thé noir aromatisé</v>
          </cell>
          <cell r="M713" t="str">
            <v>Vietnam - Chine - Inde</v>
          </cell>
          <cell r="N713" t="str">
            <v>AB</v>
          </cell>
          <cell r="O713" t="str">
            <v>WFTO</v>
          </cell>
          <cell r="P713" t="str">
            <v>/</v>
          </cell>
          <cell r="Q713" t="str">
            <v>/</v>
          </cell>
          <cell r="R713" t="str">
            <v>/</v>
          </cell>
          <cell r="S713" t="str">
            <v>/</v>
          </cell>
          <cell r="T713" t="str">
            <v>Agriculture UE/non UE</v>
          </cell>
          <cell r="U713"/>
          <cell r="V713" t="str">
            <v xml:space="preserve">Mariage de thés noirs, agrémenté de pétales de fleurs et de fruits, que vient relever un subtil mélange d'épices. Tous les goûts et saveurs de la nature des premiers frimas s'associent dans une même tasse. À déguster sans hésiter devant un feu de bois. </v>
          </cell>
          <cell r="W713" t="str">
            <v>S21</v>
          </cell>
          <cell r="X713" t="str">
            <v>Ce thé d’hiver à base de thés noirs agrémentés de pétales de fleurs, de fruits et d’un subtil mélange d'épices est une aubaine quand le thermomètre descend. Ses saveurs riches et chaudes s’associent avec bonheur et s’apprécient dès les premiers frimas pour se réchauffer le cœur.</v>
          </cell>
          <cell r="Y713"/>
          <cell r="Z713" t="str">
            <v>NOEL 2024 : 
Ingrédients : thé noir*, épices (cannelle*, gingembre*, clous de girofle*, poivre noir*, cardamome*) 14%, fruits (écorces d'orange* 6%, pomme*, églantine*), hibiscus*, huiles essentielles (orange douce*, orange sanguine*) 1,5%, amandes effilées*, arôme naturel de pomme*, extrait de cannelle* 0,5%. *Issu de l'agriculture biologique.</v>
          </cell>
          <cell r="AA713" t="str">
            <v>/</v>
          </cell>
          <cell r="AB713" t="str">
            <v>Membre certifié World Fair Trade Organization, Les Jardins de Gaïa s’engagent pour un commerce plus juste et répondent aux exigences du commerce équitable. Pour en savoir plus : www.wfto.com.</v>
          </cell>
          <cell r="AC713">
            <v>1.5</v>
          </cell>
          <cell r="AD713" t="str">
            <v>3-4</v>
          </cell>
          <cell r="AE713">
            <v>90</v>
          </cell>
          <cell r="AF713">
            <v>2</v>
          </cell>
          <cell r="AG713">
            <v>750</v>
          </cell>
          <cell r="AH713">
            <v>3582810472217</v>
          </cell>
          <cell r="AI713" t="str">
            <v>/</v>
          </cell>
          <cell r="AJ713" t="str">
            <v>INTERNE</v>
          </cell>
          <cell r="AK713" t="str">
            <v>INTERNE</v>
          </cell>
          <cell r="AL713" t="str">
            <v>/</v>
          </cell>
          <cell r="AM713" t="str">
            <v>Création maison</v>
          </cell>
        </row>
        <row r="714">
          <cell r="A714" t="str">
            <v>TA7222</v>
          </cell>
          <cell r="B714"/>
          <cell r="C714" t="str">
            <v>X</v>
          </cell>
          <cell r="D714"/>
          <cell r="E714"/>
          <cell r="F714"/>
          <cell r="G714"/>
          <cell r="H714" t="str">
            <v>LES GRANDS CLASSIQUES</v>
          </cell>
          <cell r="I714"/>
          <cell r="J714" t="str">
            <v>Thé d'hiver</v>
          </cell>
          <cell r="K714" t="str">
            <v>Orange - Épices</v>
          </cell>
          <cell r="L714" t="str">
            <v>Thé noir aromatisé</v>
          </cell>
          <cell r="M714" t="str">
            <v>Vietnam - Chine - Inde</v>
          </cell>
          <cell r="N714" t="str">
            <v>AB</v>
          </cell>
          <cell r="O714" t="str">
            <v>WFTO</v>
          </cell>
          <cell r="P714" t="str">
            <v>/</v>
          </cell>
          <cell r="Q714" t="str">
            <v>/</v>
          </cell>
          <cell r="R714" t="str">
            <v>/</v>
          </cell>
          <cell r="S714" t="str">
            <v>/</v>
          </cell>
          <cell r="T714" t="str">
            <v>Agriculture UE/non UE</v>
          </cell>
          <cell r="U714"/>
          <cell r="V714" t="str">
            <v xml:space="preserve">Mariage de thés noirs, agrémenté de pétales de fleurs et de fruits, que vient relever un subtil mélange d'épices. Tous les goûts et saveurs de la nature des premiers frimas s'associent dans une même tasse. À déguster sans hésiter devant un feu de bois. </v>
          </cell>
          <cell r="W714" t="str">
            <v>S21</v>
          </cell>
          <cell r="X714" t="str">
            <v>Ce thé d’hiver à base de thés noirs agrémentés de pétales de fleurs, de fruits et d’un subtil mélange d'épices est une aubaine quand le thermomètre descend. Ses saveurs riches et chaudes s’associent avec bonheur et s’apprécient dès les premiers frimas pour se réchauffer le cœur.</v>
          </cell>
          <cell r="Y714"/>
          <cell r="Z714" t="str">
            <v>NOEL 2024 : 
Ingrédients : thé noir*, épices (cannelle*, gingembre*, clous de girofle*, poivre noir*, cardamome*) 14%, fruits (écorces d'orange* 6%, pomme*, églantine*), hibiscus*, huiles essentielles (orange douce*, orange sanguine*) 1,5%, amandes effilées*, arôme naturel de pomme*, extrait de cannelle* 0,5%. *Issu de l'agriculture biologique.</v>
          </cell>
          <cell r="AA714" t="str">
            <v>/</v>
          </cell>
          <cell r="AB714" t="str">
            <v>Membre certifié World Fair Trade Organization, Les Jardins de Gaïa s’engagent pour un commerce plus juste et répondent aux exigences du commerce équitable. Pour en savoir plus : www.wfto.com.</v>
          </cell>
          <cell r="AC714">
            <v>100</v>
          </cell>
          <cell r="AD714" t="str">
            <v>3-4</v>
          </cell>
          <cell r="AE714">
            <v>90</v>
          </cell>
          <cell r="AF714">
            <v>2</v>
          </cell>
          <cell r="AG714">
            <v>50</v>
          </cell>
          <cell r="AH714">
            <v>3582810472224</v>
          </cell>
          <cell r="AI714" t="str">
            <v>/</v>
          </cell>
          <cell r="AJ714" t="str">
            <v>ETNA722V5</v>
          </cell>
          <cell r="AK714" t="str">
            <v>ETNA722V5</v>
          </cell>
          <cell r="AL714" t="str">
            <v>ETCNA7222V5</v>
          </cell>
          <cell r="AM714" t="str">
            <v>Création maison</v>
          </cell>
        </row>
        <row r="715">
          <cell r="A715" t="str">
            <v>TV4022</v>
          </cell>
          <cell r="B715"/>
          <cell r="C715" t="str">
            <v>X</v>
          </cell>
          <cell r="D715"/>
          <cell r="E715"/>
          <cell r="F715"/>
          <cell r="G715"/>
          <cell r="H715" t="str">
            <v>LES GRANDS CLASSIQUES</v>
          </cell>
          <cell r="I715"/>
          <cell r="J715" t="str">
            <v>Thé vert à la rose</v>
          </cell>
          <cell r="K715" t="str">
            <v xml:space="preserve">Mei Gui Hua Cha 玫瑰花茶 </v>
          </cell>
          <cell r="L715" t="str">
            <v>Thé vert parfumé d'origine</v>
          </cell>
          <cell r="M715" t="str">
            <v>Chine - Enshi, Hubei</v>
          </cell>
          <cell r="N715" t="str">
            <v>AB</v>
          </cell>
          <cell r="O715" t="str">
            <v>/</v>
          </cell>
          <cell r="P715" t="str">
            <v>/</v>
          </cell>
          <cell r="Q715" t="str">
            <v>/</v>
          </cell>
          <cell r="R715" t="str">
            <v>/</v>
          </cell>
          <cell r="S715" t="str">
            <v>/</v>
          </cell>
          <cell r="T715" t="str">
            <v>Agriculture Chine</v>
          </cell>
          <cell r="U715"/>
          <cell r="V715" t="str">
            <v>Thé de montagne, récolté dans les brumes. Cette union raffinée conjugue la fraîcheur du thé vert et le parfum délicat de la rose sauvage pour nous offrir un arôme sublime et une saveur des plus pures. Délicieux et merveilleux thé de détente.</v>
          </cell>
          <cell r="W715" t="str">
            <v>S21</v>
          </cell>
          <cell r="X715" t="str">
            <v>Cette union raffinée conjugue la fraîcheur du thé vert et le parfum délicat de la rose pour nous offrir une expérience gustative riche. Les saveurs douces et capiteuses de la reine des fleurs sont accompagnées avec subtilité par la légère amertume du thé vert. Pour de délicieux moments de détente.</v>
          </cell>
          <cell r="Y715"/>
          <cell r="Z715" t="str">
            <v>Ingrédient : thé vert à la rose*. *Issu de l'agriculture biologique.</v>
          </cell>
          <cell r="AA715" t="str">
            <v>/</v>
          </cell>
          <cell r="AB715" t="str">
            <v>/</v>
          </cell>
          <cell r="AC715">
            <v>100</v>
          </cell>
          <cell r="AD715" t="str">
            <v>3</v>
          </cell>
          <cell r="AE715">
            <v>75</v>
          </cell>
          <cell r="AF715">
            <v>2</v>
          </cell>
          <cell r="AG715">
            <v>50</v>
          </cell>
          <cell r="AH715">
            <v>3582810340226</v>
          </cell>
          <cell r="AI715" t="str">
            <v>/</v>
          </cell>
          <cell r="AJ715" t="str">
            <v>ETVM402V5</v>
          </cell>
          <cell r="AK715" t="str">
            <v>ETVM402V5</v>
          </cell>
          <cell r="AL715" t="str">
            <v>ETCVM4022V5</v>
          </cell>
          <cell r="AM715" t="str">
            <v xml:space="preserve">Xuan en’Yisheng tea cooperative </v>
          </cell>
        </row>
        <row r="716">
          <cell r="A716" t="str">
            <v>TUTV7352</v>
          </cell>
          <cell r="B716"/>
          <cell r="C716"/>
          <cell r="D716"/>
          <cell r="E716"/>
          <cell r="F716"/>
          <cell r="G716"/>
          <cell r="H716" t="str">
            <v>LES GRANDS CLASSIQUES</v>
          </cell>
          <cell r="I716"/>
          <cell r="J716" t="str">
            <v>Thé vert au jasmin</v>
          </cell>
          <cell r="K716" t="str">
            <v>Cimes duveteuses
Mo Li Mao Feng Cha 茉莉毛峰茶</v>
          </cell>
          <cell r="L716" t="str">
            <v>Thé vert parfumé d'origine</v>
          </cell>
          <cell r="M716" t="str">
            <v>Chine - Hunan</v>
          </cell>
          <cell r="N716" t="str">
            <v>AB</v>
          </cell>
          <cell r="O716" t="str">
            <v>/</v>
          </cell>
          <cell r="P716" t="str">
            <v>/</v>
          </cell>
          <cell r="Q716" t="str">
            <v>/</v>
          </cell>
          <cell r="R716" t="str">
            <v>/</v>
          </cell>
          <cell r="S716" t="str">
            <v>/</v>
          </cell>
          <cell r="T716" t="str">
            <v>Agriculture Chine</v>
          </cell>
          <cell r="U716"/>
          <cell r="V716" t="str">
            <v xml:space="preserve">Parfumées selon la tradition, ces petites feuilles torsadées, vert sombre, parsemées de pointes blanches révèlent au nez une note florale de jasmin riche et bien présente. L'infusion jaune d'or, très aromatique, laisse transparaître la douce astringence du thé vert. Fraîche et légèrement pétillante, elle marque le palais d'une impression sucrée.  </v>
          </cell>
          <cell r="W716" t="str">
            <v>S21</v>
          </cell>
          <cell r="X716" t="str">
            <v>Parfumées selon la tradition par contact avec des fleurs fraîches, les petites feuilles torsadées de ce thé vert au jasmin offrent une tasse lumineuse et aromatique. L'infusion mêle la douce astringence du thé vert aux saveurs enivrantes de la célèbre fleur étoilée. Un ravissement pour les sens !</v>
          </cell>
          <cell r="Y716"/>
          <cell r="Z716" t="str">
            <v>Ingrédient : thé vert au jasmin*. *Issu de l'agriculture biologique.</v>
          </cell>
          <cell r="AA716" t="str">
            <v>/</v>
          </cell>
          <cell r="AB716" t="str">
            <v>/</v>
          </cell>
          <cell r="AC716">
            <v>100</v>
          </cell>
          <cell r="AD716" t="str">
            <v>3</v>
          </cell>
          <cell r="AE716">
            <v>80</v>
          </cell>
          <cell r="AF716">
            <v>2</v>
          </cell>
          <cell r="AG716">
            <v>50</v>
          </cell>
          <cell r="AH716">
            <v>3582815673527</v>
          </cell>
          <cell r="AI716" t="str">
            <v>/</v>
          </cell>
          <cell r="AJ716" t="str">
            <v>ETTUVN7352V5</v>
          </cell>
          <cell r="AK716" t="str">
            <v>ETTUVN7352V5</v>
          </cell>
          <cell r="AL716" t="str">
            <v>/</v>
          </cell>
          <cell r="AM716" t="str">
            <v>Guzhang Gaofeng organic tea association</v>
          </cell>
        </row>
        <row r="717">
          <cell r="A717" t="str">
            <v>TJ2021</v>
          </cell>
          <cell r="B717"/>
          <cell r="C717"/>
          <cell r="D717"/>
          <cell r="E717"/>
          <cell r="F717"/>
          <cell r="G717"/>
          <cell r="H717" t="str">
            <v>LES GRANDS CLASSIQUES</v>
          </cell>
          <cell r="I717"/>
          <cell r="J717" t="str">
            <v>Thé vert au yuzu</v>
          </cell>
          <cell r="K717" t="str">
            <v>Thé vert et yuzu du Japon</v>
          </cell>
          <cell r="L717" t="str">
            <v>Thé vert aromatisé</v>
          </cell>
          <cell r="M717" t="str">
            <v>Japon</v>
          </cell>
          <cell r="N717" t="str">
            <v>AB</v>
          </cell>
          <cell r="O717" t="str">
            <v>/</v>
          </cell>
          <cell r="P717" t="str">
            <v>/</v>
          </cell>
          <cell r="Q717" t="str">
            <v>/</v>
          </cell>
          <cell r="R717" t="str">
            <v>/</v>
          </cell>
          <cell r="S717" t="str">
            <v>/</v>
          </cell>
          <cell r="T717" t="str">
            <v>Agriculture UE/non UE</v>
          </cell>
          <cell r="U717"/>
          <cell r="V717" t="str">
            <v>De grands produits du terroir japonais réunis pour notre plus grand plaisir… Les saveurs fraîches et herbacées du mariage de thés verts sont rehaussées par les saveurs fruitées du yuzu aux jolies notes de pamplemousse et de mandarine. Le résultat est une boisson très agréable et subtile qui peut se déguster chaude, froide ou glacée suivant la saison ou l’envie du moment.</v>
          </cell>
          <cell r="W717" t="str">
            <v>S21</v>
          </cell>
          <cell r="X717" t="str">
            <v>Ce thé vert au yuzu réunit deux grands produits du terroir japonais pour notre plus grand plaisir… Les saveurs fraîches et herbacées du mariage de thés verts sont rehaussées par les saveurs fruitées du yuzu aux jolies notes de pamplemousse et de mandarine. À déguster chaud ou glacé.</v>
          </cell>
          <cell r="Y717"/>
          <cell r="Z717" t="str">
            <v>Ingrédients : thé vert*, yuzu* 21%, arôme naturel de citron vert* 1%. *Issu de l’agriculture biologique.</v>
          </cell>
          <cell r="AA717" t="str">
            <v>/</v>
          </cell>
          <cell r="AB717" t="str">
            <v>/</v>
          </cell>
          <cell r="AC717">
            <v>1.5</v>
          </cell>
          <cell r="AD717" t="str">
            <v>2-3</v>
          </cell>
          <cell r="AE717">
            <v>85</v>
          </cell>
          <cell r="AF717">
            <v>2</v>
          </cell>
          <cell r="AG717">
            <v>750</v>
          </cell>
          <cell r="AH717">
            <v>3582814120213</v>
          </cell>
          <cell r="AI717" t="str">
            <v>/</v>
          </cell>
          <cell r="AJ717" t="str">
            <v>INTERNE</v>
          </cell>
          <cell r="AK717" t="str">
            <v>INTERNE</v>
          </cell>
          <cell r="AL717" t="str">
            <v>/</v>
          </cell>
          <cell r="AM717" t="str">
            <v>Création maison</v>
          </cell>
        </row>
        <row r="718">
          <cell r="A718" t="str">
            <v>TJ2022</v>
          </cell>
          <cell r="B718"/>
          <cell r="C718" t="str">
            <v>X</v>
          </cell>
          <cell r="D718"/>
          <cell r="E718"/>
          <cell r="F718"/>
          <cell r="G718"/>
          <cell r="H718" t="str">
            <v>LES GRANDS CLASSIQUES</v>
          </cell>
          <cell r="I718"/>
          <cell r="J718" t="str">
            <v>Thé vert au yuzu</v>
          </cell>
          <cell r="K718" t="str">
            <v>Thé vert et yuzu du Japon</v>
          </cell>
          <cell r="L718" t="str">
            <v>Thé vert aromatisé</v>
          </cell>
          <cell r="M718" t="str">
            <v>Japon</v>
          </cell>
          <cell r="N718" t="str">
            <v>AB</v>
          </cell>
          <cell r="O718" t="str">
            <v>/</v>
          </cell>
          <cell r="P718" t="str">
            <v>/</v>
          </cell>
          <cell r="Q718" t="str">
            <v>/</v>
          </cell>
          <cell r="R718" t="str">
            <v>/</v>
          </cell>
          <cell r="S718" t="str">
            <v>/</v>
          </cell>
          <cell r="T718" t="str">
            <v>Agriculture UE/non UE</v>
          </cell>
          <cell r="U718"/>
          <cell r="V718" t="str">
            <v>De grands produits du terroir japonais réunis pour notre plus grand plaisir… Les saveurs fraîches et herbacées du mariage de thés verts sont rehaussées par les saveurs fruitées du yuzu aux jolies notes de pamplemousse et de mandarine. Le résultat est une boisson très agréable et subtile qui peut se déguster chaude, froide ou glacée suivant la saison ou l’envie du moment.</v>
          </cell>
          <cell r="W718" t="str">
            <v>S21</v>
          </cell>
          <cell r="X718" t="str">
            <v>Ce thé vert au yuzu réunit deux grands produits du terroir japonais pour notre plus grand plaisir… Les saveurs fraîches et herbacées du mariage de thés verts sont rehaussées par les saveurs fruitées du yuzu aux jolies notes de pamplemousse et de mandarine. À déguster chaud ou glacé.</v>
          </cell>
          <cell r="Y718"/>
          <cell r="Z718" t="str">
            <v>Ingrédients : thé vert*, yuzu* 21%, arôme naturel de citron vert* 1%. *Issu de l’agriculture biologique.</v>
          </cell>
          <cell r="AA718" t="str">
            <v>/</v>
          </cell>
          <cell r="AB718" t="str">
            <v>/</v>
          </cell>
          <cell r="AC718">
            <v>100</v>
          </cell>
          <cell r="AD718" t="str">
            <v>2-3</v>
          </cell>
          <cell r="AE718">
            <v>85</v>
          </cell>
          <cell r="AF718">
            <v>2</v>
          </cell>
          <cell r="AG718">
            <v>50</v>
          </cell>
          <cell r="AH718">
            <v>3582814120220</v>
          </cell>
          <cell r="AI718" t="str">
            <v>/</v>
          </cell>
          <cell r="AJ718" t="str">
            <v>ETVA202</v>
          </cell>
          <cell r="AK718" t="str">
            <v>ETVA202V5</v>
          </cell>
          <cell r="AL718" t="str">
            <v>ETCVA2022V5</v>
          </cell>
          <cell r="AM718" t="str">
            <v>Création maison</v>
          </cell>
        </row>
        <row r="719">
          <cell r="A719" t="str">
            <v>TUTV5342</v>
          </cell>
          <cell r="B719"/>
          <cell r="C719"/>
          <cell r="D719"/>
          <cell r="E719"/>
          <cell r="F719"/>
          <cell r="G719"/>
          <cell r="H719" t="str">
            <v>LES GRANDS CLASSIQUES</v>
          </cell>
          <cell r="I719"/>
          <cell r="J719" t="str">
            <v>Thé vert de Corée</v>
          </cell>
          <cell r="K719" t="str">
            <v>Sencha</v>
          </cell>
          <cell r="L719" t="str">
            <v>Thé vert d'origine</v>
          </cell>
          <cell r="M719" t="str">
            <v>Corée du Sud - Jeju-do</v>
          </cell>
          <cell r="N719" t="str">
            <v>AB</v>
          </cell>
          <cell r="O719" t="str">
            <v>/</v>
          </cell>
          <cell r="P719" t="str">
            <v>/</v>
          </cell>
          <cell r="Q719" t="str">
            <v>/</v>
          </cell>
          <cell r="R719" t="str">
            <v>/</v>
          </cell>
          <cell r="S719" t="str">
            <v>/</v>
          </cell>
          <cell r="T719" t="str">
            <v>Agriculture Corée du Sud</v>
          </cell>
          <cell r="U719"/>
          <cell r="V719" t="str">
            <v>Cultivé à la manière des crus du Japon, ce thé aux feuilles estivales et matures, d’un beau vert brillant, libère un bouquet fruité, ponctué de notes marines et minérales rappelant son terroir. Colorée et lumineuse, sa tasse d’un bel équilibre est apaisante et enveloppante.</v>
          </cell>
          <cell r="W719" t="str">
            <v>S21</v>
          </cell>
          <cell r="X719" t="str">
            <v>Semblable au sencha japonais, ce thé vert étuvé issu d’une récolte estivale et mature, d’un beau vert brillant, libère un bouquet fruité, ponctué de notes marines et minérales rappelant son terroir. Colorée et lumineuse, sa tasse offre des saveurs douces et équilibrées.</v>
          </cell>
          <cell r="Y719"/>
          <cell r="Z719" t="str">
            <v xml:space="preserve">Ingrédient : thé vert*. *Issu de l'agriculture biologique. </v>
          </cell>
          <cell r="AA719" t="str">
            <v>/</v>
          </cell>
          <cell r="AB719" t="str">
            <v>/</v>
          </cell>
          <cell r="AC719">
            <v>100</v>
          </cell>
          <cell r="AD719" t="str">
            <v>3</v>
          </cell>
          <cell r="AE719">
            <v>85</v>
          </cell>
          <cell r="AF719">
            <v>2</v>
          </cell>
          <cell r="AG719">
            <v>50</v>
          </cell>
          <cell r="AH719">
            <v>3582815643421</v>
          </cell>
          <cell r="AI719" t="str">
            <v>/</v>
          </cell>
          <cell r="AJ719" t="str">
            <v>ETTUVN4342V5</v>
          </cell>
          <cell r="AK719" t="str">
            <v>ETTUVN4342V5</v>
          </cell>
          <cell r="AL719" t="str">
            <v>/</v>
          </cell>
          <cell r="AM719" t="str">
            <v>Jangwon Ltd Seogwang</v>
          </cell>
        </row>
        <row r="720">
          <cell r="A720" t="str">
            <v>TH2212</v>
          </cell>
          <cell r="B720"/>
          <cell r="C720" t="str">
            <v>X</v>
          </cell>
          <cell r="D720" t="str">
            <v>X</v>
          </cell>
          <cell r="E720"/>
          <cell r="F720" t="str">
            <v>GRAI</v>
          </cell>
          <cell r="G720">
            <v>45408</v>
          </cell>
          <cell r="H720" t="str">
            <v>LES GRANDS CLASSIQUES</v>
          </cell>
          <cell r="I720" t="str">
            <v>LES INFUSIONS DE PLANTES</v>
          </cell>
          <cell r="J720" t="str">
            <v>Thym Citronné</v>
          </cell>
          <cell r="K720" t="str">
            <v>/</v>
          </cell>
          <cell r="L720" t="str">
            <v>Infusion de plante</v>
          </cell>
          <cell r="M720" t="str">
            <v>Portugal</v>
          </cell>
          <cell r="N720" t="str">
            <v>AB</v>
          </cell>
          <cell r="O720" t="str">
            <v>/</v>
          </cell>
          <cell r="P720" t="str">
            <v>/</v>
          </cell>
          <cell r="Q720" t="str">
            <v>/</v>
          </cell>
          <cell r="R720" t="str">
            <v>/</v>
          </cell>
          <cell r="S720" t="str">
            <v>/</v>
          </cell>
          <cell r="T720" t="str">
            <v>Agriculture UE</v>
          </cell>
          <cell r="U720"/>
          <cell r="V720" t="str">
            <v>Les jolies petites feuilles arrondies de cette variété de thym libèrent les saveurs florales typiques de la célèbre plante de garrigue, accompagnées d'une jolie note zestée. Elles peuvent être infusées telles quelles, ou être utilisées en aromate dans un plat de poisson ou encore dans une salade de fruits, dont elle relèvera agréablement les saveurs.</v>
          </cell>
          <cell r="W720" t="str">
            <v>S12</v>
          </cell>
          <cell r="X720" t="str">
            <v>Dans cette tisane originale et aromatique, les jolies petites feuilles arrondies de cette variété de thym libèrent des saveurs florales agréablement accompagnées d'une note zestée. Elles peuvent également être utilisées en aromate dans un plat de poisson ou encore dans une salade de fruits.</v>
          </cell>
          <cell r="Y720"/>
          <cell r="Z720" t="str">
            <v>Ingrédient : thym citron* (Thymus citriodorus). *Issu de l'agriculture biologique.</v>
          </cell>
          <cell r="AA720" t="str">
            <v>/</v>
          </cell>
          <cell r="AB720" t="str">
            <v>/</v>
          </cell>
          <cell r="AC720">
            <v>100</v>
          </cell>
          <cell r="AD720" t="str">
            <v>3-5</v>
          </cell>
          <cell r="AE720">
            <v>95</v>
          </cell>
          <cell r="AF720">
            <v>2</v>
          </cell>
          <cell r="AG720">
            <v>50</v>
          </cell>
          <cell r="AH720">
            <v>3582811022121</v>
          </cell>
          <cell r="AI720" t="str">
            <v>/</v>
          </cell>
          <cell r="AJ720" t="str">
            <v>ETHN2210V5</v>
          </cell>
          <cell r="AK720" t="str">
            <v>ETHN2210V5</v>
          </cell>
          <cell r="AL720" t="str">
            <v>/</v>
          </cell>
          <cell r="AM720" t="str">
            <v>Carlos</v>
          </cell>
        </row>
        <row r="721">
          <cell r="A721" t="str">
            <v>TH0602</v>
          </cell>
          <cell r="B721"/>
          <cell r="C721" t="str">
            <v>X</v>
          </cell>
          <cell r="D721" t="str">
            <v>X</v>
          </cell>
          <cell r="E721"/>
          <cell r="F721" t="str">
            <v>GRAI</v>
          </cell>
          <cell r="G721">
            <v>45408</v>
          </cell>
          <cell r="H721" t="str">
            <v>LES BIENFAITRICES</v>
          </cell>
          <cell r="I721" t="str">
            <v>LES INFUSIONS DE PLANTES</v>
          </cell>
          <cell r="J721" t="str">
            <v>Thym vulgaire</v>
          </cell>
          <cell r="K721" t="str">
            <v>Expectorante &amp; Digestive</v>
          </cell>
          <cell r="L721" t="str">
            <v>Infusion de plante</v>
          </cell>
          <cell r="M721" t="str">
            <v>Portugal</v>
          </cell>
          <cell r="N721" t="str">
            <v>AB</v>
          </cell>
          <cell r="O721" t="str">
            <v>/</v>
          </cell>
          <cell r="P721" t="str">
            <v>/</v>
          </cell>
          <cell r="Q721" t="str">
            <v>/</v>
          </cell>
          <cell r="R721" t="str">
            <v>/</v>
          </cell>
          <cell r="S721" t="str">
            <v>/</v>
          </cell>
          <cell r="T721" t="str">
            <v>Agriculture UE</v>
          </cell>
          <cell r="U721"/>
          <cell r="V721" t="str">
            <v>Utilisées en tant qu'aromate dans la cuisine méridionale, les feuilles de thym produisent une infusion aux saveurs d'une richesse incomparable, aux notes florales, boisées et légèrement piquantes. Cette jolie plante de garrigue est aussi reconnue depuis la nuit des temps pour son action favorable sur le système respiratoire et digestif.</v>
          </cell>
          <cell r="W721" t="str">
            <v>S12</v>
          </cell>
          <cell r="X721" t="str">
            <v>Aromate incontournable de la cuisine méridionale, les feuilles de thym produisent une infusion très parfumée aux notes florales, boisées et légèrement piquantes. Cette plante de garrigue est aussi reconnue depuis la nuit des temps pour son action favorable sur le système respiratoire et digestif.</v>
          </cell>
          <cell r="Y721"/>
          <cell r="Z721" t="str">
            <v>Ingrédient : thym vulgaire* (Thymus vulgaris). *Issu de l’agriculture biologique.</v>
          </cell>
          <cell r="AA721"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721" t="str">
            <v>/</v>
          </cell>
          <cell r="AC721">
            <v>100</v>
          </cell>
          <cell r="AD721" t="str">
            <v>3-5</v>
          </cell>
          <cell r="AE721">
            <v>95</v>
          </cell>
          <cell r="AF721">
            <v>2</v>
          </cell>
          <cell r="AG721">
            <v>50</v>
          </cell>
          <cell r="AH721">
            <v>3582811006022</v>
          </cell>
          <cell r="AI721" t="str">
            <v>/</v>
          </cell>
          <cell r="AJ721" t="str">
            <v>ETHN0600V5</v>
          </cell>
          <cell r="AK721" t="str">
            <v>ETHN0600V5</v>
          </cell>
          <cell r="AL721" t="str">
            <v>/</v>
          </cell>
          <cell r="AM721" t="str">
            <v>Carlos</v>
          </cell>
        </row>
        <row r="722">
          <cell r="A722" t="str">
            <v>TO1157</v>
          </cell>
          <cell r="B722"/>
          <cell r="C722"/>
          <cell r="D722"/>
          <cell r="E722"/>
          <cell r="F722"/>
          <cell r="G722"/>
          <cell r="H722" t="str">
            <v>LES GRAND CRUS</v>
          </cell>
          <cell r="I722"/>
          <cell r="J722" t="str">
            <v>Tie Guan Yin</v>
          </cell>
          <cell r="K722" t="str">
            <v>Déesse en fer de la miséricorde 铁观音</v>
          </cell>
          <cell r="L722" t="str">
            <v>Thé wulong d'origine</v>
          </cell>
          <cell r="M722" t="str">
            <v>Chine - Hubei</v>
          </cell>
          <cell r="N722" t="str">
            <v>AB</v>
          </cell>
          <cell r="O722" t="str">
            <v>WFTO</v>
          </cell>
          <cell r="P722" t="str">
            <v>/</v>
          </cell>
          <cell r="Q722" t="str">
            <v>/</v>
          </cell>
          <cell r="R722" t="str">
            <v>/</v>
          </cell>
          <cell r="S722" t="str">
            <v>/</v>
          </cell>
          <cell r="T722" t="str">
            <v>Agriculture Chine</v>
          </cell>
          <cell r="U722"/>
          <cell r="V722" t="str">
            <v xml:space="preserve">Ses grandes feuilles épaisses roulées en petites perles très serrées sont typiques de la méthode de fabrication des thés wulong. Réputé parmi les connaisseurs, ce thé délicieux libère une infusion brillante au parfum d’orchidée et au goût aromatique très soutenu où se mêlent des notes de miel, de noisette et de fleurs. Selon la légende, il aurait été cultivé non loin d'un temple de Guanyin à proximité d'une effigie en fer de la déesse. </v>
          </cell>
          <cell r="W722" t="str">
            <v>S25</v>
          </cell>
          <cell r="X722" t="str">
            <v>Recherché par les amateurs, ce thé wulong moyennement oxydé de la province du Fujian est un incontournable. Ses grandes feuilles roulées en billes offrent une infusion brillante caractérisée par des parfums floraux exotiques qui rappellent le lilas et des saveurs gourmandes de miel et de noisette.</v>
          </cell>
          <cell r="Y722"/>
          <cell r="Z722" t="str">
            <v>Ingrédient : thé wulong*. *Issu de l'agriculture biologique.</v>
          </cell>
          <cell r="AA722" t="str">
            <v>/</v>
          </cell>
          <cell r="AB722" t="str">
            <v>Membre certifié World Fair Trade Organization, Les Jardins de Gaïa s’engagent pour un commerce plus juste et répondent aux exigences du commerce équitable. Pour en savoir plus : www.wfto.com.</v>
          </cell>
          <cell r="AC722">
            <v>1</v>
          </cell>
          <cell r="AD722" t="str">
            <v>5-7</v>
          </cell>
          <cell r="AE722">
            <v>95</v>
          </cell>
          <cell r="AF722">
            <v>2</v>
          </cell>
          <cell r="AG722">
            <v>500</v>
          </cell>
          <cell r="AH722">
            <v>3582810711576</v>
          </cell>
          <cell r="AI722" t="str">
            <v>/</v>
          </cell>
          <cell r="AJ722" t="str">
            <v>INTERNE</v>
          </cell>
          <cell r="AK722" t="str">
            <v>INTERNE</v>
          </cell>
          <cell r="AL722" t="str">
            <v>/</v>
          </cell>
          <cell r="AM722" t="str">
            <v>Xuan En Yisheng Tea Cooperative</v>
          </cell>
        </row>
        <row r="723">
          <cell r="A723" t="str">
            <v>TO1152</v>
          </cell>
          <cell r="B723"/>
          <cell r="C723"/>
          <cell r="D723"/>
          <cell r="E723"/>
          <cell r="F723"/>
          <cell r="G723"/>
          <cell r="H723" t="str">
            <v>LES GRAND CRUS</v>
          </cell>
          <cell r="I723"/>
          <cell r="J723" t="str">
            <v>Tie Guan Yin</v>
          </cell>
          <cell r="K723" t="str">
            <v>Déesse en fer de la miséricorde 铁观音</v>
          </cell>
          <cell r="L723" t="str">
            <v>Thé wulong d'origine</v>
          </cell>
          <cell r="M723" t="str">
            <v>Chine - Hubei</v>
          </cell>
          <cell r="N723" t="str">
            <v>AB</v>
          </cell>
          <cell r="O723" t="str">
            <v>WFTO</v>
          </cell>
          <cell r="P723" t="str">
            <v>/</v>
          </cell>
          <cell r="Q723" t="str">
            <v>/</v>
          </cell>
          <cell r="R723" t="str">
            <v>/</v>
          </cell>
          <cell r="S723" t="str">
            <v>/</v>
          </cell>
          <cell r="T723" t="str">
            <v>Agriculture Chine</v>
          </cell>
          <cell r="U723"/>
          <cell r="V723" t="str">
            <v xml:space="preserve">Ses grandes feuilles épaisses roulées en petites perles très serrées sont typiques de la méthode de fabrication des thés wulong. Réputé parmi les connaisseurs, ce thé délicieux libère une infusion brillante au parfum d’orchidée et au goût aromatique très soutenu où se mêlent des notes de miel, de noisette et de fleurs. Selon la légende, il aurait été cultivé non loin d'un temple de Guanyin à proximité d'une effigie en fer de la déesse. </v>
          </cell>
          <cell r="W723" t="str">
            <v>S25</v>
          </cell>
          <cell r="X723" t="str">
            <v>Recherché par les amateurs, ce thé wulong moyennement oxydé de la province du Fujian est un incontournable. Ses grandes feuilles roulées en billes offrent une infusion brillante caractérisée par des parfums floraux exotiques qui rappellent le lilas et des saveurs gourmandes de miel et de noisette.</v>
          </cell>
          <cell r="Y723"/>
          <cell r="Z723" t="str">
            <v>Ingrédient : thé wulong*. *Issu de l'agriculture biologique.</v>
          </cell>
          <cell r="AA723" t="str">
            <v>/</v>
          </cell>
          <cell r="AB723" t="str">
            <v>Membre certifié World Fair Trade Organization, Les Jardins de Gaïa s’engagent pour un commerce plus juste et répondent aux exigences du commerce équitable. Pour en savoir plus : www.wfto.com.</v>
          </cell>
          <cell r="AC723">
            <v>100</v>
          </cell>
          <cell r="AD723" t="str">
            <v>5-7</v>
          </cell>
          <cell r="AE723">
            <v>95</v>
          </cell>
          <cell r="AF723">
            <v>2</v>
          </cell>
          <cell r="AG723">
            <v>50</v>
          </cell>
          <cell r="AH723">
            <v>3582810711521</v>
          </cell>
          <cell r="AI723" t="str">
            <v>/</v>
          </cell>
          <cell r="AJ723" t="str">
            <v>ETON115V5</v>
          </cell>
          <cell r="AK723" t="str">
            <v>ETON115V5</v>
          </cell>
          <cell r="AL723" t="str">
            <v>ETCON1152V5</v>
          </cell>
          <cell r="AM723" t="str">
            <v>Xuan En Yisheng Tea Cooperative</v>
          </cell>
        </row>
        <row r="724">
          <cell r="A724" t="str">
            <v>TO1156</v>
          </cell>
          <cell r="B724"/>
          <cell r="C724"/>
          <cell r="D724"/>
          <cell r="E724"/>
          <cell r="F724"/>
          <cell r="G724"/>
          <cell r="H724" t="str">
            <v>LES GRAND CRUS</v>
          </cell>
          <cell r="I724"/>
          <cell r="J724" t="str">
            <v>Tie Guan Yin</v>
          </cell>
          <cell r="K724" t="str">
            <v>Déesse en fer de la miséricorde 铁观音</v>
          </cell>
          <cell r="L724" t="str">
            <v>Thé wulong d'origine</v>
          </cell>
          <cell r="M724" t="str">
            <v>Chine - Hubei</v>
          </cell>
          <cell r="N724" t="str">
            <v>AB</v>
          </cell>
          <cell r="O724" t="str">
            <v>WFTO</v>
          </cell>
          <cell r="P724" t="str">
            <v>/</v>
          </cell>
          <cell r="Q724" t="str">
            <v>/</v>
          </cell>
          <cell r="R724" t="str">
            <v>/</v>
          </cell>
          <cell r="S724" t="str">
            <v>/</v>
          </cell>
          <cell r="T724" t="str">
            <v>Agriculture Chine</v>
          </cell>
          <cell r="U724"/>
          <cell r="V724" t="str">
            <v xml:space="preserve">Ses grandes feuilles épaisses roulées en petites perles très serrées sont typiques de la méthode de fabrication des thés wulong. Réputé parmi les connaisseurs, ce thé délicieux libère une infusion brillante au parfum d’orchidée et au goût aromatique très soutenu où se mêlent des notes de miel, de noisette et de fleurs. Selon la légende, il aurait été cultivé non loin d'un temple de Guanyin à proximité d'une effigie en fer de la déesse. </v>
          </cell>
          <cell r="W724" t="str">
            <v>S25</v>
          </cell>
          <cell r="X724" t="str">
            <v>Recherché par les amateurs, ce thé wulong moyennement oxydé de la province du Fujian est un incontournable. Ses grandes feuilles roulées en billes offrent une infusion brillante caractérisée par des parfums floraux exotiques qui rappellent le lilas et des saveurs gourmandes de miel et de noisette.</v>
          </cell>
          <cell r="Y724"/>
          <cell r="Z724" t="str">
            <v>Ingrédient : thé wulong*. *Issu de l'agriculture biologique.</v>
          </cell>
          <cell r="AA724" t="str">
            <v>/</v>
          </cell>
          <cell r="AB724" t="str">
            <v>Membre certifié World Fair Trade Organization, Les Jardins de Gaïa s’engagent pour un commerce plus juste et répondent aux exigences du commerce équitable. Pour en savoir plus : www.wfto.com.</v>
          </cell>
          <cell r="AC724">
            <v>50</v>
          </cell>
          <cell r="AD724" t="str">
            <v>5-7</v>
          </cell>
          <cell r="AE724">
            <v>95</v>
          </cell>
          <cell r="AF724">
            <v>2</v>
          </cell>
          <cell r="AG724">
            <v>25</v>
          </cell>
          <cell r="AH724">
            <v>3582810711569</v>
          </cell>
          <cell r="AI724" t="str">
            <v>/</v>
          </cell>
          <cell r="AJ724" t="str">
            <v>ETON115V5</v>
          </cell>
          <cell r="AK724" t="str">
            <v>ETON115V5</v>
          </cell>
          <cell r="AL724" t="str">
            <v>ETCON1156V5</v>
          </cell>
          <cell r="AM724" t="str">
            <v>Xuan En Yisheng Tea Cooperative</v>
          </cell>
        </row>
        <row r="725">
          <cell r="A725" t="str">
            <v>TO1143</v>
          </cell>
          <cell r="B725"/>
          <cell r="C725"/>
          <cell r="D725"/>
          <cell r="E725"/>
          <cell r="F725"/>
          <cell r="G725"/>
          <cell r="H725" t="str">
            <v>LES GRAND CRUS</v>
          </cell>
          <cell r="I725"/>
          <cell r="J725" t="str">
            <v>Tie Guan Yin</v>
          </cell>
          <cell r="K725" t="str">
            <v>Déesse en fer de la miséricorde 铁观音</v>
          </cell>
          <cell r="L725" t="str">
            <v>Thé wulong d'origine</v>
          </cell>
          <cell r="M725" t="str">
            <v>Chine - Fujian</v>
          </cell>
          <cell r="N725" t="str">
            <v>AB</v>
          </cell>
          <cell r="O725" t="str">
            <v>/</v>
          </cell>
          <cell r="P725" t="str">
            <v>/</v>
          </cell>
          <cell r="Q725" t="str">
            <v>/</v>
          </cell>
          <cell r="R725" t="str">
            <v>/</v>
          </cell>
          <cell r="S725" t="str">
            <v>/</v>
          </cell>
          <cell r="T725" t="str">
            <v>Agriculture Chine</v>
          </cell>
          <cell r="U725"/>
          <cell r="V725" t="str">
            <v>Emblématique du Fujian, ce wulong légendaire est peu oxydé. Notes d'orchidée, tilleul, fruits jaunes et vanille.</v>
          </cell>
          <cell r="W725" t="str">
            <v>S25</v>
          </cell>
          <cell r="X725" t="str">
            <v xml:space="preserve">Emblématique de la province du Fujian, ce thé wulong très recherché est dédiée à la déesse en fer de la miséricorde Guanyin. Ses grandes feuilles roulées en perle et moyennement oxydées offrent des notes florales d'orchidée et de lilas qui côtoient des arômes de fruits jaunes et de vanille. </v>
          </cell>
          <cell r="Y725"/>
          <cell r="Z725" t="str">
            <v>Ingrédient : thé wulong*. *Issu de l'agriculture biologique.</v>
          </cell>
          <cell r="AA725" t="str">
            <v>/</v>
          </cell>
          <cell r="AB725" t="str">
            <v>/</v>
          </cell>
          <cell r="AC725">
            <v>7</v>
          </cell>
          <cell r="AD725" t="str">
            <v>5-7</v>
          </cell>
          <cell r="AE725">
            <v>95</v>
          </cell>
          <cell r="AF725">
            <v>2</v>
          </cell>
          <cell r="AG725">
            <v>3.5</v>
          </cell>
          <cell r="AH725">
            <v>3582810711439</v>
          </cell>
          <cell r="AI725" t="str">
            <v>Plusieurs infusions</v>
          </cell>
          <cell r="AJ725" t="str">
            <v>/</v>
          </cell>
          <cell r="AK725" t="str">
            <v>/</v>
          </cell>
          <cell r="AL725" t="str">
            <v>/</v>
          </cell>
          <cell r="AM725" t="str">
            <v>Xuan En Yisheng Tea Cooperative</v>
          </cell>
        </row>
        <row r="726">
          <cell r="A726" t="str">
            <v>TO1145</v>
          </cell>
          <cell r="B726"/>
          <cell r="C726"/>
          <cell r="D726"/>
          <cell r="E726"/>
          <cell r="F726"/>
          <cell r="G726"/>
          <cell r="H726" t="str">
            <v>LES GRAND CRUS</v>
          </cell>
          <cell r="I726"/>
          <cell r="J726" t="str">
            <v>Tie Guan Yin</v>
          </cell>
          <cell r="K726" t="str">
            <v>Déesse en fer de la miséricorde 铁观音</v>
          </cell>
          <cell r="L726" t="str">
            <v>Thé wulong d'origine</v>
          </cell>
          <cell r="M726" t="str">
            <v>Chine - Fujian</v>
          </cell>
          <cell r="N726" t="str">
            <v>AB</v>
          </cell>
          <cell r="O726" t="str">
            <v>/</v>
          </cell>
          <cell r="P726" t="str">
            <v>/</v>
          </cell>
          <cell r="Q726" t="str">
            <v>/</v>
          </cell>
          <cell r="R726" t="str">
            <v>/</v>
          </cell>
          <cell r="S726" t="str">
            <v>/</v>
          </cell>
          <cell r="T726" t="str">
            <v>Agriculture Chine</v>
          </cell>
          <cell r="U726"/>
          <cell r="V726" t="str">
            <v>Emblématique du Fujian, ce wulong légendaire est peu oxydé. Notes d'orchidée, tilleul, fruits jaunes et vanille.</v>
          </cell>
          <cell r="W726" t="str">
            <v>S25</v>
          </cell>
          <cell r="X726" t="str">
            <v xml:space="preserve">Emblématique de la province du Fujian, ce thé wulong très recherché est dédiée à la déesse en fer de la miséricorde Guanyin. Ses grandes feuilles roulées en perle et moyennement oxydées offrent des notes florales d'orchidée et de lilas qui côtoient des arômes de fruits jaunes et de vanille. </v>
          </cell>
          <cell r="Y726"/>
          <cell r="Z726" t="str">
            <v>Ingrédient : thé wulong*. *Issu de l'agriculture biologique.</v>
          </cell>
          <cell r="AA726" t="str">
            <v>/</v>
          </cell>
          <cell r="AB726" t="str">
            <v>/</v>
          </cell>
          <cell r="AC726">
            <v>56</v>
          </cell>
          <cell r="AD726" t="str">
            <v>5-7</v>
          </cell>
          <cell r="AE726">
            <v>95</v>
          </cell>
          <cell r="AF726">
            <v>2</v>
          </cell>
          <cell r="AG726">
            <v>28</v>
          </cell>
          <cell r="AH726">
            <v>3582810711453</v>
          </cell>
          <cell r="AI726" t="str">
            <v>Plusieurs infusions</v>
          </cell>
          <cell r="AJ726" t="str">
            <v>ETON114V5</v>
          </cell>
          <cell r="AK726" t="str">
            <v>ETON114V5</v>
          </cell>
          <cell r="AL726" t="str">
            <v>Q de tube</v>
          </cell>
          <cell r="AM726" t="str">
            <v>Xuan En Yisheng Tea Cooperative</v>
          </cell>
        </row>
        <row r="727">
          <cell r="A727" t="str">
            <v>TH5131</v>
          </cell>
          <cell r="B727"/>
          <cell r="C727"/>
          <cell r="D727"/>
          <cell r="E727"/>
          <cell r="F727"/>
          <cell r="G727"/>
          <cell r="H727" t="str">
            <v>LES BIENFAITRICES</v>
          </cell>
          <cell r="I727" t="str">
            <v>LES INFUSIONS DE PLANTES</v>
          </cell>
          <cell r="J727" t="str">
            <v>Tisane du jeûne</v>
          </cell>
          <cell r="K727" t="str">
            <v>Relaxante &amp; Digestive
Mélisse - Feuilles de framboisier</v>
          </cell>
          <cell r="L727" t="str">
            <v>Infusion de plantes</v>
          </cell>
          <cell r="M727" t="str">
            <v>/</v>
          </cell>
          <cell r="N727" t="str">
            <v>AB</v>
          </cell>
          <cell r="O727" t="str">
            <v>/</v>
          </cell>
          <cell r="P727" t="str">
            <v>/</v>
          </cell>
          <cell r="Q727" t="str">
            <v>/</v>
          </cell>
          <cell r="R727" t="str">
            <v>/</v>
          </cell>
          <cell r="S727" t="str">
            <v>/</v>
          </cell>
          <cell r="T727" t="str">
            <v>AT-BIO-302
Agriculture UE</v>
          </cell>
          <cell r="U727"/>
          <cell r="V727" t="str">
            <v>Les jolies notes fruitées de cette tisane digestive et relaxante accompagnent avec douceur et saveurs les moments où l'on souhaite prendre soin de soi et être à l'écoute de son corps.</v>
          </cell>
          <cell r="W727" t="str">
            <v>S13</v>
          </cell>
          <cell r="X727" t="str">
            <v>Cette tisane aux vertus digestives et relaxantes offre des saveurs douces, végétales et légèrement zestées. Une infusion idéale pour les moments où l'on souhaite faire une parenthèse pour prendre soin de soi et être à l'écoute de son corps.</v>
          </cell>
          <cell r="Y727"/>
          <cell r="Z727" t="str">
            <v>Ingrédients : mélisse* 40% (Melissa officinalis), cataire* (Nepeta cataria), feuilles de framboisier* 13% (Rubus idaeus), feuilles de noisetier* (Corylus avellana), ortie* (Urtica dioica), feuilles de fraisier* (Fragaria vescae), pétales de bleuet* (Centaurea cyanus). *Issu de l'agriculture biologique.</v>
          </cell>
          <cell r="AA727" t="str">
            <v>Consommation journalière conseillée : 5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727" t="str">
            <v>/</v>
          </cell>
          <cell r="AC727" t="str">
            <v>?</v>
          </cell>
          <cell r="AD727" t="str">
            <v>5-10</v>
          </cell>
          <cell r="AE727">
            <v>95</v>
          </cell>
          <cell r="AF727">
            <v>2</v>
          </cell>
          <cell r="AG727" t="str">
            <v>?</v>
          </cell>
          <cell r="AH727" t="str">
            <v>?</v>
          </cell>
          <cell r="AI727" t="str">
            <v>/</v>
          </cell>
          <cell r="AJ727" t="str">
            <v>INTERNE</v>
          </cell>
          <cell r="AK727" t="str">
            <v>INTERNE</v>
          </cell>
          <cell r="AL727" t="str">
            <v>/</v>
          </cell>
          <cell r="AM727" t="str">
            <v>Sonnentor</v>
          </cell>
        </row>
        <row r="728">
          <cell r="A728" t="str">
            <v>TH513</v>
          </cell>
          <cell r="B728"/>
          <cell r="C728" t="str">
            <v>X</v>
          </cell>
          <cell r="D728" t="str">
            <v>X</v>
          </cell>
          <cell r="E728"/>
          <cell r="F728" t="str">
            <v>GRAI</v>
          </cell>
          <cell r="G728">
            <v>45408</v>
          </cell>
          <cell r="H728" t="str">
            <v>LES BIENFAITRICES</v>
          </cell>
          <cell r="I728" t="str">
            <v>LES INFUSIONS DE PLANTES</v>
          </cell>
          <cell r="J728" t="str">
            <v>Tisane du jeûne</v>
          </cell>
          <cell r="K728" t="str">
            <v>Relaxante &amp; Digestive
Mélisse - Feuilles de framboisier</v>
          </cell>
          <cell r="L728" t="str">
            <v>Infusion de plantes</v>
          </cell>
          <cell r="M728" t="str">
            <v>/</v>
          </cell>
          <cell r="N728" t="str">
            <v>AB</v>
          </cell>
          <cell r="O728" t="str">
            <v>/</v>
          </cell>
          <cell r="P728" t="str">
            <v>/</v>
          </cell>
          <cell r="Q728" t="str">
            <v>/</v>
          </cell>
          <cell r="R728" t="str">
            <v>/</v>
          </cell>
          <cell r="S728" t="str">
            <v>/</v>
          </cell>
          <cell r="T728" t="str">
            <v>AT-BIO-302
Agriculture UE</v>
          </cell>
          <cell r="U728"/>
          <cell r="V728" t="str">
            <v>Les jolies notes fruitées de cette tisane digestive et relaxante accompagnent avec douceur et saveurs les moments où l'on souhaite prendre soin de soi et être à l'écoute de son corps.</v>
          </cell>
          <cell r="W728" t="str">
            <v>S13</v>
          </cell>
          <cell r="X728" t="str">
            <v>Cette tisane aux vertus digestives et relaxantes offre des saveurs douces, végétales et légèrement zestées. Une infusion idéale pour les moments où l'on souhaite faire une parenthèse pour prendre soin de soi et être à l'écoute de son corps.</v>
          </cell>
          <cell r="Y728"/>
          <cell r="Z728" t="str">
            <v>Ingrédients : mélisse* 40% (Melissa officinalis), cataire* (Nepeta cataria), feuilles de framboisier* 13% (Rubus idaeus), feuilles de noisetier* (Corylus avellana), ortie* (Urtica dioica), feuilles de fraisier* (Fragaria vescae), pétales de bleuet* (Centaurea cyanus). *Issu de l'agriculture biologique.</v>
          </cell>
          <cell r="AA728" t="str">
            <v>Consommation journalière conseillée : 5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728" t="str">
            <v>/</v>
          </cell>
          <cell r="AC728">
            <v>50</v>
          </cell>
          <cell r="AD728" t="str">
            <v>5-10</v>
          </cell>
          <cell r="AE728">
            <v>95</v>
          </cell>
          <cell r="AF728">
            <v>2</v>
          </cell>
          <cell r="AG728">
            <v>25</v>
          </cell>
          <cell r="AH728">
            <v>3582811005131</v>
          </cell>
          <cell r="AI728" t="str">
            <v>/</v>
          </cell>
          <cell r="AJ728" t="str">
            <v>ETHN5130V5</v>
          </cell>
          <cell r="AK728" t="str">
            <v>ETHN5130V5</v>
          </cell>
          <cell r="AL728" t="str">
            <v>/</v>
          </cell>
          <cell r="AM728" t="str">
            <v>Sonnentor</v>
          </cell>
        </row>
        <row r="729">
          <cell r="A729" t="str">
            <v>TF1281</v>
          </cell>
          <cell r="B729"/>
          <cell r="C729"/>
          <cell r="D729"/>
          <cell r="E729"/>
          <cell r="F729"/>
          <cell r="G729"/>
          <cell r="H729" t="str">
            <v>LES GRANDS CLASSIQUES</v>
          </cell>
          <cell r="I729"/>
          <cell r="J729" t="str">
            <v>Tisane Enfants</v>
          </cell>
          <cell r="K729" t="str">
            <v>Fraise - Vanille</v>
          </cell>
          <cell r="L729" t="str">
            <v>Infusion de fruits aromatisée</v>
          </cell>
          <cell r="M729" t="str">
            <v>?</v>
          </cell>
          <cell r="N729" t="str">
            <v>AB</v>
          </cell>
          <cell r="O729" t="str">
            <v>/</v>
          </cell>
          <cell r="P729" t="str">
            <v>/</v>
          </cell>
          <cell r="Q729" t="str">
            <v>/</v>
          </cell>
          <cell r="R729" t="str">
            <v>/</v>
          </cell>
          <cell r="S729" t="str">
            <v>/</v>
          </cell>
          <cell r="T729" t="str">
            <v>Agriculture UE/non UE</v>
          </cell>
          <cell r="U729"/>
          <cell r="V729" t="str">
            <v>Harmonie de couleurs et de goûts, cette composition de fruits libère une infusion fruitée, douce et parfumée, pour petits et grands enfants.</v>
          </cell>
          <cell r="W729" t="str">
            <v>S21</v>
          </cell>
          <cell r="X729" t="str">
            <v>Avec sa jolie couleur, cette Tisane enfants donne déjà envie... Une fois en bouche, impossible de ne pas y revenir ! Son mariage de morceaux de fruits et de plantes offre une infusion douce qui met en valeur l’irrésistible duo fraise -vanille. Pour les petits et grands enfants !</v>
          </cell>
          <cell r="Y729"/>
          <cell r="Z729" t="str">
            <v>Ingrédients : morceaux de fruits (pomme*, fraise* 4%), baies d'aronia*, feuilles de fraisier* 6,5%, morceaux de betterave*, arômes naturels de (fraise* 5%, myrtille*), écorces de fruits (églantine*, orange*), hibiscus*, extrait de vanille* 3,5%, morceaux de vanille* 2,5%. *Issu de l'agriculture biologique.</v>
          </cell>
          <cell r="AA729" t="str">
            <v>/</v>
          </cell>
          <cell r="AB729" t="str">
            <v>/</v>
          </cell>
          <cell r="AC729">
            <v>1.5</v>
          </cell>
          <cell r="AD729" t="str">
            <v>5-10</v>
          </cell>
          <cell r="AE729">
            <v>95</v>
          </cell>
          <cell r="AF729">
            <v>2</v>
          </cell>
          <cell r="AG729">
            <v>750</v>
          </cell>
          <cell r="AH729">
            <v>3582810112816</v>
          </cell>
          <cell r="AI729" t="str">
            <v>/</v>
          </cell>
          <cell r="AJ729" t="str">
            <v>INTERNE</v>
          </cell>
          <cell r="AK729" t="str">
            <v>INTERNE</v>
          </cell>
          <cell r="AL729" t="str">
            <v>/</v>
          </cell>
          <cell r="AM729" t="str">
            <v>Création maison</v>
          </cell>
        </row>
        <row r="730">
          <cell r="A730" t="str">
            <v>TF1282</v>
          </cell>
          <cell r="B730"/>
          <cell r="C730" t="str">
            <v>X</v>
          </cell>
          <cell r="D730"/>
          <cell r="E730"/>
          <cell r="F730"/>
          <cell r="G730"/>
          <cell r="H730" t="str">
            <v>LES GRANDS CLASSIQUES</v>
          </cell>
          <cell r="I730"/>
          <cell r="J730" t="str">
            <v>Tisane Enfants</v>
          </cell>
          <cell r="K730" t="str">
            <v>Fraise - Vanille</v>
          </cell>
          <cell r="L730" t="str">
            <v>Infusion de fruits aromatisée</v>
          </cell>
          <cell r="M730" t="str">
            <v>?</v>
          </cell>
          <cell r="N730" t="str">
            <v>AB</v>
          </cell>
          <cell r="O730" t="str">
            <v>/</v>
          </cell>
          <cell r="P730" t="str">
            <v>/</v>
          </cell>
          <cell r="Q730" t="str">
            <v>/</v>
          </cell>
          <cell r="R730" t="str">
            <v>/</v>
          </cell>
          <cell r="S730" t="str">
            <v>/</v>
          </cell>
          <cell r="T730" t="str">
            <v>Agriculture UE/non UE</v>
          </cell>
          <cell r="U730"/>
          <cell r="V730" t="str">
            <v>Harmonie de couleurs et de goûts, cette composition de fruits libère une infusion fruitée, douce et parfumée, pour petits et grands enfants.</v>
          </cell>
          <cell r="W730" t="str">
            <v>S21</v>
          </cell>
          <cell r="X730" t="str">
            <v>Avec sa jolie couleur, cette Tisane enfants donne déjà envie... Une fois en bouche, impossible de ne pas y revenir ! Son mariage de morceaux de fruits et de plantes offre une infusion douce qui met en valeur l’irrésistible duo fraise -vanille. Pour les petits et grands enfants !</v>
          </cell>
          <cell r="Y730"/>
          <cell r="Z730" t="str">
            <v>Ingrédients : morceaux de fruits (pomme*, fraise* 4%), baies d'aronia*, feuilles de fraisier* 6,5%, morceaux de betterave*, arômes naturels de (fraise* 5%, myrtille*), écorces de fruits (églantine*, orange*), hibiscus*, extrait de vanille* 3,5%, morceaux de vanille* 2,5%. *Issu de l'agriculture biologique.</v>
          </cell>
          <cell r="AA730" t="str">
            <v>/</v>
          </cell>
          <cell r="AB730" t="str">
            <v>/</v>
          </cell>
          <cell r="AC730">
            <v>100</v>
          </cell>
          <cell r="AD730" t="str">
            <v>5-10</v>
          </cell>
          <cell r="AE730">
            <v>95</v>
          </cell>
          <cell r="AF730">
            <v>2</v>
          </cell>
          <cell r="AG730">
            <v>50</v>
          </cell>
          <cell r="AH730">
            <v>3582810112823</v>
          </cell>
          <cell r="AI730" t="str">
            <v>/</v>
          </cell>
          <cell r="AJ730" t="str">
            <v>ETFA128V5</v>
          </cell>
          <cell r="AK730" t="str">
            <v>ETFA128V5</v>
          </cell>
          <cell r="AL730" t="str">
            <v>ETCFA1282V5</v>
          </cell>
          <cell r="AM730" t="str">
            <v>Création maison</v>
          </cell>
        </row>
        <row r="731">
          <cell r="A731" t="str">
            <v>TA7151</v>
          </cell>
          <cell r="B731"/>
          <cell r="C731"/>
          <cell r="D731"/>
          <cell r="E731"/>
          <cell r="F731"/>
          <cell r="G731"/>
          <cell r="H731" t="str">
            <v>LES GRANDS CLASSIQUES</v>
          </cell>
          <cell r="I731"/>
          <cell r="J731" t="str">
            <v>Tonic tonight</v>
          </cell>
          <cell r="K731" t="str">
            <v>Gingembre - Guarana - Ginseng</v>
          </cell>
          <cell r="L731" t="str">
            <v>Thé noir aromatisé</v>
          </cell>
          <cell r="M731" t="str">
            <v>Chine</v>
          </cell>
          <cell r="N731" t="str">
            <v>AB</v>
          </cell>
          <cell r="O731" t="str">
            <v>WFTO</v>
          </cell>
          <cell r="P731" t="str">
            <v>/</v>
          </cell>
          <cell r="Q731" t="str">
            <v>/</v>
          </cell>
          <cell r="R731" t="str">
            <v>/</v>
          </cell>
          <cell r="S731" t="str">
            <v>/</v>
          </cell>
          <cell r="T731" t="str">
            <v>Agriculture UE/non UE</v>
          </cell>
          <cell r="U731"/>
          <cell r="V731" t="str">
            <v>Danse sublime jusqu'au bout de la nuit… Ce thé chaud et savoureux, festif et sensuel, un brin espiègle vient picoter le palais pour éveiller les sens et les papilles tout en douceur. Pour des instants absolus.</v>
          </cell>
          <cell r="W731" t="str">
            <v>S21</v>
          </cell>
          <cell r="X731" t="str">
            <v>La nuit sera longue avec cette création originale à base de thé noir chaude, festive et savoureuse ! Laissez-vous séduire par son côté un brin espiègle qui vient titiller le palais et éveiller les sens avec son mariage de gingembre, de guarana et de ginseng accompagné de lumineuses notes d’agrumes.</v>
          </cell>
          <cell r="Y731"/>
          <cell r="Z731" t="str">
            <v>Ingrédients : thé noir*, gingembre* 4%, guarana* 3%, ginseng* 2%, huile essentielle de bergamote*. *Issu de l'agriculture biologique.</v>
          </cell>
          <cell r="AA731" t="str">
            <v>/</v>
          </cell>
          <cell r="AB731" t="str">
            <v>Membre certifié World Fair Trade Organization, Les Jardins de Gaïa s’engagent pour un commerce plus juste et répondent aux exigences du commerce équitable. Pour en savoir plus : www.wfto.com.</v>
          </cell>
          <cell r="AC731">
            <v>1.5</v>
          </cell>
          <cell r="AD731" t="str">
            <v>3-4</v>
          </cell>
          <cell r="AE731">
            <v>90</v>
          </cell>
          <cell r="AF731">
            <v>2</v>
          </cell>
          <cell r="AG731">
            <v>750</v>
          </cell>
          <cell r="AH731">
            <v>3582810471517</v>
          </cell>
          <cell r="AI731" t="str">
            <v>/</v>
          </cell>
          <cell r="AJ731" t="str">
            <v>INTERNE</v>
          </cell>
          <cell r="AK731" t="str">
            <v>INTERNE</v>
          </cell>
          <cell r="AL731" t="str">
            <v>/</v>
          </cell>
          <cell r="AM731" t="str">
            <v>Création maison</v>
          </cell>
        </row>
        <row r="732">
          <cell r="A732" t="str">
            <v>TA7152</v>
          </cell>
          <cell r="B732"/>
          <cell r="C732" t="str">
            <v>X</v>
          </cell>
          <cell r="D732"/>
          <cell r="E732"/>
          <cell r="F732"/>
          <cell r="G732"/>
          <cell r="H732" t="str">
            <v>LES GRANDS CLASSIQUES</v>
          </cell>
          <cell r="I732"/>
          <cell r="J732" t="str">
            <v>Tonic tonight</v>
          </cell>
          <cell r="K732" t="str">
            <v>Gingembre - Guarana - Ginseng</v>
          </cell>
          <cell r="L732" t="str">
            <v>Thé noir aromatisé</v>
          </cell>
          <cell r="M732" t="str">
            <v>Chine</v>
          </cell>
          <cell r="N732" t="str">
            <v>AB</v>
          </cell>
          <cell r="O732" t="str">
            <v>WFTO</v>
          </cell>
          <cell r="P732" t="str">
            <v>/</v>
          </cell>
          <cell r="Q732" t="str">
            <v>/</v>
          </cell>
          <cell r="R732" t="str">
            <v>/</v>
          </cell>
          <cell r="S732" t="str">
            <v>/</v>
          </cell>
          <cell r="T732" t="str">
            <v>Agriculture UE/non UE</v>
          </cell>
          <cell r="U732"/>
          <cell r="V732" t="str">
            <v>Danse sublime jusqu'au bout de la nuit… Ce thé chaud et savoureux, festif et sensuel, un brin espiègle vient picoter le palais pour éveiller les sens et les papilles tout en douceur. Pour des instants absolus.</v>
          </cell>
          <cell r="W732" t="str">
            <v>S21</v>
          </cell>
          <cell r="X732" t="str">
            <v>La nuit sera longue avec cette création originale à base de thé noir chaude, festive et savoureuse ! Laissez-vous séduire par son côté un brin espiègle qui vient titiller le palais et éveiller les sens avec son mariage de gingembre, de guarana et de ginseng accompagné de lumineuses notes d’agrumes.</v>
          </cell>
          <cell r="Y732"/>
          <cell r="Z732" t="str">
            <v>Ingrédients : thé noir*, gingembre* 4%, guarana* 3%, ginseng* 2%, huile essentielle de bergamote*. *Issu de l'agriculture biologique.</v>
          </cell>
          <cell r="AA732" t="str">
            <v>/</v>
          </cell>
          <cell r="AB732" t="str">
            <v>Membre certifié World Fair Trade Organization, Les Jardins de Gaïa s’engagent pour un commerce plus juste et répondent aux exigences du commerce équitable. Pour en savoir plus : www.wfto.com.</v>
          </cell>
          <cell r="AC732">
            <v>100</v>
          </cell>
          <cell r="AD732" t="str">
            <v>3-4</v>
          </cell>
          <cell r="AE732">
            <v>90</v>
          </cell>
          <cell r="AF732">
            <v>2</v>
          </cell>
          <cell r="AG732">
            <v>50</v>
          </cell>
          <cell r="AH732">
            <v>3582810471524</v>
          </cell>
          <cell r="AI732" t="str">
            <v>/</v>
          </cell>
          <cell r="AJ732" t="str">
            <v>ETNA715</v>
          </cell>
          <cell r="AK732" t="str">
            <v>ETNA715V5</v>
          </cell>
          <cell r="AL732" t="str">
            <v>ETCNA7152V5</v>
          </cell>
          <cell r="AM732" t="str">
            <v>Création maison</v>
          </cell>
        </row>
        <row r="733">
          <cell r="A733" t="str">
            <v>TR2261</v>
          </cell>
          <cell r="B733"/>
          <cell r="C733"/>
          <cell r="D733"/>
          <cell r="E733"/>
          <cell r="F733"/>
          <cell r="G733"/>
          <cell r="H733" t="str">
            <v>LES GRANDS CLASSIQUES</v>
          </cell>
          <cell r="I733"/>
          <cell r="J733" t="str">
            <v>Tout feu tout flamme</v>
          </cell>
          <cell r="K733" t="str">
            <v>Orange</v>
          </cell>
          <cell r="L733" t="str">
            <v>Rooibos aromatisé</v>
          </cell>
          <cell r="M733" t="str">
            <v>Afrique du Sud - Cap Occidental</v>
          </cell>
          <cell r="N733" t="str">
            <v>AB</v>
          </cell>
          <cell r="O733" t="str">
            <v>WFTO</v>
          </cell>
          <cell r="P733" t="str">
            <v>/</v>
          </cell>
          <cell r="Q733" t="str">
            <v>/</v>
          </cell>
          <cell r="R733" t="str">
            <v>/</v>
          </cell>
          <cell r="S733" t="str">
            <v>/</v>
          </cell>
          <cell r="T733" t="str">
            <v>Agriculture UE/non UE</v>
          </cell>
          <cell r="U733"/>
          <cell r="V733" t="str">
            <v>Savoureuse boisson sud-africaine à la liqueur couleur de feu et au goût intense d’orange. À déguster en hiver ou en été, chaude ou glacée.</v>
          </cell>
          <cell r="W733"/>
          <cell r="X733" t="str">
            <v>Tout feu tout flamme, ce rooibos gourmand ne vous laissera pas indifférent. La boisson nationale sud-africaine est ici agrémentée de notes d’orange. Le résultat est une liqueur rouge intense qui offre des saveurs rondes, douces et fruitées que l’on apprécie aussi bien en infusion chaude que glacée.</v>
          </cell>
          <cell r="Y733"/>
          <cell r="Z733" t="str">
            <v>Ingrédients : rooibos*, écorces d'orange* 5%, huile essentielle d'orange douce* 3%. *Issu de l'agriculture biologique.</v>
          </cell>
          <cell r="AA733" t="str">
            <v>/</v>
          </cell>
          <cell r="AB733" t="str">
            <v>Membre certifié World Fair Trade Organization, Les Jardins de Gaïa s’engagent pour un commerce plus juste et répondent aux exigences du commerce équitable. Pour en savoir plus : www.wfto.com.</v>
          </cell>
          <cell r="AC733">
            <v>1.5</v>
          </cell>
          <cell r="AD733" t="str">
            <v>5-10</v>
          </cell>
          <cell r="AE733">
            <v>95</v>
          </cell>
          <cell r="AF733">
            <v>2</v>
          </cell>
          <cell r="AG733">
            <v>750</v>
          </cell>
          <cell r="AH733">
            <v>3582810922613</v>
          </cell>
          <cell r="AI733" t="str">
            <v>/</v>
          </cell>
          <cell r="AJ733" t="str">
            <v>INTERNE</v>
          </cell>
          <cell r="AK733" t="str">
            <v>INTERNE</v>
          </cell>
          <cell r="AL733" t="str">
            <v>/</v>
          </cell>
          <cell r="AM733" t="str">
            <v>Création maison</v>
          </cell>
        </row>
        <row r="734">
          <cell r="A734" t="str">
            <v>TR2262</v>
          </cell>
          <cell r="B734"/>
          <cell r="C734" t="str">
            <v>X</v>
          </cell>
          <cell r="D734" t="str">
            <v>X</v>
          </cell>
          <cell r="E734" t="str">
            <v>X</v>
          </cell>
          <cell r="F734" t="str">
            <v>GRAI</v>
          </cell>
          <cell r="G734">
            <v>45383</v>
          </cell>
          <cell r="H734" t="str">
            <v>LES GRANDS CLASSIQUES</v>
          </cell>
          <cell r="I734"/>
          <cell r="J734" t="str">
            <v>Tout feu tout flamme</v>
          </cell>
          <cell r="K734" t="str">
            <v>Orange</v>
          </cell>
          <cell r="L734" t="str">
            <v>Rooibos aromatisé</v>
          </cell>
          <cell r="M734" t="str">
            <v>Afrique du Sud - Cap Occidental</v>
          </cell>
          <cell r="N734" t="str">
            <v>AB</v>
          </cell>
          <cell r="O734" t="str">
            <v>WFTO</v>
          </cell>
          <cell r="P734" t="str">
            <v>/</v>
          </cell>
          <cell r="Q734" t="str">
            <v>/</v>
          </cell>
          <cell r="R734" t="str">
            <v>/</v>
          </cell>
          <cell r="S734" t="str">
            <v>/</v>
          </cell>
          <cell r="T734" t="str">
            <v>Agriculture UE/non UE</v>
          </cell>
          <cell r="U734"/>
          <cell r="V734" t="str">
            <v>Savoureuse boisson sud-africaine à la liqueur couleur de feu et au goût intense d’orange. À déguster en hiver ou en été, chaude ou glacée.</v>
          </cell>
          <cell r="W734"/>
          <cell r="X734" t="str">
            <v>Tout feu tout flamme, ce rooibos gourmand ne vous laissera pas indifférent. La boisson nationale sud-africaine est ici agrémentée de notes d’orange. Le résultat est une liqueur rouge intense qui offre des saveurs rondes, douces et fruitées que l’on apprécie aussi bien en infusion chaude que glacée.</v>
          </cell>
          <cell r="Y734"/>
          <cell r="Z734" t="str">
            <v>Ingrédients : rooibos*, écorces d'orange* 5%, huile essentielle d'orange douce* 3%. *Issu de l'agriculture biologique.</v>
          </cell>
          <cell r="AA734" t="str">
            <v>/</v>
          </cell>
          <cell r="AB734" t="str">
            <v>Membre certifié World Fair Trade Organization, Les Jardins de Gaïa s’engagent pour un commerce plus juste et répondent aux exigences du commerce équitable. Pour en savoir plus : www.wfto.com.</v>
          </cell>
          <cell r="AC734">
            <v>100</v>
          </cell>
          <cell r="AD734" t="str">
            <v>5-10</v>
          </cell>
          <cell r="AE734">
            <v>95</v>
          </cell>
          <cell r="AF734">
            <v>2</v>
          </cell>
          <cell r="AG734">
            <v>50</v>
          </cell>
          <cell r="AH734">
            <v>3582810922620</v>
          </cell>
          <cell r="AI734" t="str">
            <v>/</v>
          </cell>
          <cell r="AJ734" t="str">
            <v>ETRA226</v>
          </cell>
          <cell r="AK734" t="str">
            <v>ETRA226V5</v>
          </cell>
          <cell r="AL734" t="str">
            <v>ETCRA2262V5</v>
          </cell>
          <cell r="AM734" t="str">
            <v>Wupperthal Original Rooibos Cooperative et Heiveld Cooperative</v>
          </cell>
        </row>
        <row r="735">
          <cell r="A735" t="str">
            <v>TH1291</v>
          </cell>
          <cell r="B735"/>
          <cell r="C735"/>
          <cell r="D735"/>
          <cell r="E735"/>
          <cell r="F735"/>
          <cell r="G735"/>
          <cell r="H735" t="str">
            <v>LES BIENFAITRICES</v>
          </cell>
          <cell r="I735" t="str">
            <v>LES INFUSIONS DE PLANTES</v>
          </cell>
          <cell r="J735" t="str">
            <v>Tulsi</v>
          </cell>
          <cell r="K735" t="str">
            <v>Respiratoire - Basilic sacré</v>
          </cell>
          <cell r="L735" t="str">
            <v>Infusion de plante</v>
          </cell>
          <cell r="M735" t="str">
            <v>Inde</v>
          </cell>
          <cell r="N735" t="str">
            <v>AB</v>
          </cell>
          <cell r="O735" t="str">
            <v>/</v>
          </cell>
          <cell r="P735" t="str">
            <v>/</v>
          </cell>
          <cell r="Q735" t="str">
            <v>/</v>
          </cell>
          <cell r="R735" t="str">
            <v>/</v>
          </cell>
          <cell r="S735" t="str">
            <v>/</v>
          </cell>
          <cell r="T735" t="str">
            <v>Agriculture non UE</v>
          </cell>
          <cell r="U735"/>
          <cell r="V735" t="str">
            <v>Panacée de la médecine ayurvédique, ce "basilic sacré" est l'objet d'un véritable culte en Inde. Ses vertus bénéfiques sur la sphère respiratoire en font une plante de choix pour vivre sereinement les changements de saison. Avec sa texture soyeuse et ses notes d'épices et de citron distillées en douceur, cette infusion est d'un charme irrésistible.</v>
          </cell>
          <cell r="W735" t="str">
            <v>S13</v>
          </cell>
          <cell r="X735" t="str">
            <v xml:space="preserve">Panacée de la médecine ayurvédique, le tulsi ou "basilic sacré" adulé en Inde, offre une tisane aromatique à la texture soyeuse et aux notes d'épices et de citron distillées en douceur. Ses vertus bénéfiques sur la sphère respiratoire permettent de vivre sereinement les changements de saison. </v>
          </cell>
          <cell r="Y735"/>
          <cell r="Z735" t="str">
            <v>Ingrédient : tulsi* (Ocimum tenuiflorum). *Issu de l'agriculture biologique.</v>
          </cell>
          <cell r="AA735"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735" t="str">
            <v>/</v>
          </cell>
          <cell r="AC735">
            <v>500</v>
          </cell>
          <cell r="AD735" t="str">
            <v>5-10</v>
          </cell>
          <cell r="AE735">
            <v>95</v>
          </cell>
          <cell r="AF735">
            <v>2</v>
          </cell>
          <cell r="AG735">
            <v>250</v>
          </cell>
          <cell r="AH735">
            <v>3582811012917</v>
          </cell>
          <cell r="AI735" t="str">
            <v>/</v>
          </cell>
          <cell r="AJ735" t="str">
            <v>INTERNE</v>
          </cell>
          <cell r="AK735" t="str">
            <v>INTERNE</v>
          </cell>
          <cell r="AL735" t="str">
            <v>/</v>
          </cell>
          <cell r="AM735" t="str">
            <v>?</v>
          </cell>
        </row>
        <row r="736">
          <cell r="A736" t="str">
            <v>TH1292</v>
          </cell>
          <cell r="B736"/>
          <cell r="C736" t="str">
            <v>X</v>
          </cell>
          <cell r="D736" t="str">
            <v>X</v>
          </cell>
          <cell r="E736"/>
          <cell r="F736" t="str">
            <v>GRAI</v>
          </cell>
          <cell r="G736">
            <v>45408</v>
          </cell>
          <cell r="H736" t="str">
            <v>LES BIENFAITRICES</v>
          </cell>
          <cell r="I736" t="str">
            <v>LES INFUSIONS DE PLANTES</v>
          </cell>
          <cell r="J736" t="str">
            <v>Tulsi</v>
          </cell>
          <cell r="K736" t="str">
            <v>Respiratoire - Basilic sacré</v>
          </cell>
          <cell r="L736" t="str">
            <v>Infusion de plante</v>
          </cell>
          <cell r="M736" t="str">
            <v>Inde</v>
          </cell>
          <cell r="N736" t="str">
            <v>AB</v>
          </cell>
          <cell r="O736" t="str">
            <v>/</v>
          </cell>
          <cell r="P736" t="str">
            <v>/</v>
          </cell>
          <cell r="Q736" t="str">
            <v>/</v>
          </cell>
          <cell r="R736" t="str">
            <v>/</v>
          </cell>
          <cell r="S736" t="str">
            <v>/</v>
          </cell>
          <cell r="T736" t="str">
            <v>Agriculture non UE</v>
          </cell>
          <cell r="U736"/>
          <cell r="V736" t="str">
            <v>Panacée de la médecine ayurvédique, ce "basilic sacré" est l'objet d'un véritable culte en Inde. Ses vertus bénéfiques sur la sphère respiratoire en font une plante de choix pour vivre sereinement les changements de saison. Avec sa texture soyeuse et ses notes d'épices et de citron distillées en douceur, cette infusion est d'un charme irrésistible.</v>
          </cell>
          <cell r="W736" t="str">
            <v>S13</v>
          </cell>
          <cell r="X736" t="str">
            <v xml:space="preserve">Panacée de la médecine ayurvédique, le tulsi ou "basilic sacré" adulé en Inde, offre une tisane aromatique à la texture soyeuse et aux notes d'épices et de citron distillées en douceur. Ses vertus bénéfiques sur la sphère respiratoire permettent de vivre sereinement les changements de saison. </v>
          </cell>
          <cell r="Y736"/>
          <cell r="Z736" t="str">
            <v>Ingrédient : tulsi* (Ocimum tenuiflorum). *Issu de l'agriculture biologique.</v>
          </cell>
          <cell r="AA736"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736" t="str">
            <v>/</v>
          </cell>
          <cell r="AC736">
            <v>80</v>
          </cell>
          <cell r="AD736" t="str">
            <v>5-10</v>
          </cell>
          <cell r="AE736">
            <v>95</v>
          </cell>
          <cell r="AF736">
            <v>2</v>
          </cell>
          <cell r="AG736">
            <v>40</v>
          </cell>
          <cell r="AH736">
            <v>3582811012924</v>
          </cell>
          <cell r="AI736" t="str">
            <v>/</v>
          </cell>
          <cell r="AJ736" t="str">
            <v>ETHN1290V5</v>
          </cell>
          <cell r="AK736" t="str">
            <v>ETHN1290V5</v>
          </cell>
          <cell r="AL736" t="str">
            <v>/</v>
          </cell>
          <cell r="AM736" t="str">
            <v>?</v>
          </cell>
        </row>
        <row r="737">
          <cell r="A737" t="str">
            <v>TA6141</v>
          </cell>
          <cell r="B737"/>
          <cell r="C737"/>
          <cell r="D737"/>
          <cell r="E737"/>
          <cell r="F737"/>
          <cell r="G737"/>
          <cell r="H737" t="str">
            <v>LES GRANDS CLASSIQUES</v>
          </cell>
          <cell r="I737"/>
          <cell r="J737" t="str">
            <v>Un amour de Maman</v>
          </cell>
          <cell r="K737" t="str">
            <v>Fraise - Saveur litchi</v>
          </cell>
          <cell r="L737" t="str">
            <v>Mélange de thés aromatisé</v>
          </cell>
          <cell r="M737" t="str">
            <v>Inde - Chine - Vietnam</v>
          </cell>
          <cell r="N737" t="str">
            <v>AB</v>
          </cell>
          <cell r="O737" t="str">
            <v>WFTO</v>
          </cell>
          <cell r="P737" t="str">
            <v>/</v>
          </cell>
          <cell r="Q737" t="str">
            <v>/</v>
          </cell>
          <cell r="R737" t="str">
            <v>/</v>
          </cell>
          <cell r="S737" t="str">
            <v>/</v>
          </cell>
          <cell r="T737" t="str">
            <v>Agriculture UE/non UE</v>
          </cell>
          <cell r="U737"/>
          <cell r="V737" t="str">
            <v>Fruité et gourmand au goût acidulé, assorti d'une note fraîche et délicate évoquant la rose et la pivoine, ce mariage parfumé de thés noirs et verts est sublime ! Brillante et douce, sa tasse élégante est idéale pour fêter toute l'année la plus belle maman du monde !</v>
          </cell>
          <cell r="W737"/>
          <cell r="X737" t="str">
            <v>Ce mariage de thés noirs et de thés verts, accompagné des saveurs délicates et envoûtantes de la rose et de la pivoine, est d’une tendre féminité. Dédiée aux mamans, voici la recette idéale pour leur dire « je t’aime » à tout moment de l’année.</v>
          </cell>
          <cell r="Y737"/>
          <cell r="Z737" t="str">
            <v xml:space="preserve">Ingrédients : mélange de thés (thé vert*, thé noir*), arômes naturels de (fraise*, litchi) 5%, pétales de fleurs (rose*, bleuet*, tournesol*), morceaux de fraise* 1%. *Issu de l'agriculture biologique. </v>
          </cell>
          <cell r="AA737" t="str">
            <v>/</v>
          </cell>
          <cell r="AB737" t="str">
            <v>Membre certifié World Fair Trade Organization, Les Jardins de Gaïa s’engagent pour un commerce plus juste et répondent aux exigences du commerce équitable. Pour en savoir plus : www.wfto.com.</v>
          </cell>
          <cell r="AC737">
            <v>1.5</v>
          </cell>
          <cell r="AD737" t="str">
            <v>3-4</v>
          </cell>
          <cell r="AE737">
            <v>90</v>
          </cell>
          <cell r="AF737">
            <v>2</v>
          </cell>
          <cell r="AG737">
            <v>750</v>
          </cell>
          <cell r="AH737">
            <v>3582810361412</v>
          </cell>
          <cell r="AI737" t="str">
            <v>/</v>
          </cell>
          <cell r="AJ737" t="str">
            <v>INTERNE</v>
          </cell>
          <cell r="AK737" t="str">
            <v>INTERNE</v>
          </cell>
          <cell r="AL737" t="str">
            <v>/</v>
          </cell>
          <cell r="AM737" t="str">
            <v>Création maison</v>
          </cell>
        </row>
        <row r="738">
          <cell r="A738" t="str">
            <v>TA6142</v>
          </cell>
          <cell r="B738"/>
          <cell r="C738" t="str">
            <v>X</v>
          </cell>
          <cell r="D738" t="str">
            <v>x</v>
          </cell>
          <cell r="E738" t="str">
            <v>X</v>
          </cell>
          <cell r="F738" t="str">
            <v>GRAI</v>
          </cell>
          <cell r="G738">
            <v>45383</v>
          </cell>
          <cell r="H738" t="str">
            <v>LES GRANDS CLASSIQUES</v>
          </cell>
          <cell r="I738"/>
          <cell r="J738" t="str">
            <v>Un amour de Maman</v>
          </cell>
          <cell r="K738" t="str">
            <v>Fraise - Saveur litchi</v>
          </cell>
          <cell r="L738" t="str">
            <v>Mélange de thés aromatisé</v>
          </cell>
          <cell r="M738" t="str">
            <v>Inde - Chine - Vietnam</v>
          </cell>
          <cell r="N738" t="str">
            <v>AB</v>
          </cell>
          <cell r="O738" t="str">
            <v>WFTO</v>
          </cell>
          <cell r="P738" t="str">
            <v>/</v>
          </cell>
          <cell r="Q738" t="str">
            <v>/</v>
          </cell>
          <cell r="R738" t="str">
            <v>/</v>
          </cell>
          <cell r="S738" t="str">
            <v>/</v>
          </cell>
          <cell r="T738" t="str">
            <v>Agriculture UE/non UE</v>
          </cell>
          <cell r="U738"/>
          <cell r="V738" t="str">
            <v>Fruité et gourmand au goût acidulé, assorti d'une note fraîche et délicate évoquant la rose et la pivoine, ce mariage parfumé de thés noirs et verts est sublime ! Brillante et douce, sa tasse élégante est idéale pour fêter toute l'année la plus belle maman du monde !</v>
          </cell>
          <cell r="W738"/>
          <cell r="X738" t="str">
            <v>Ce mariage de thés noirs et de thés verts, accompagné des saveurs délicates et envoûtantes de la rose et de la pivoine, est d’une tendre féminité. Dédiée aux mamans, voici la recette idéale pour leur dire « je t’aime » à tout moment de l’année.</v>
          </cell>
          <cell r="Y738"/>
          <cell r="Z738" t="str">
            <v xml:space="preserve">Ingrédients : mélange de thés (thé vert*, thé noir*), arômes naturels de (fraise*, litchi) 5%, pétales de fleurs (rose*, bleuet*, tournesol*), morceaux de fraise* 1%. *Issu de l'agriculture biologique. </v>
          </cell>
          <cell r="AA738" t="str">
            <v>/</v>
          </cell>
          <cell r="AB738" t="str">
            <v>Membre certifié World Fair Trade Organization, Les Jardins de Gaïa s’engagent pour un commerce plus juste et répondent aux exigences du commerce équitable. Pour en savoir plus : www.wfto.com.</v>
          </cell>
          <cell r="AC738">
            <v>100</v>
          </cell>
          <cell r="AD738" t="str">
            <v>3-4</v>
          </cell>
          <cell r="AE738">
            <v>90</v>
          </cell>
          <cell r="AF738">
            <v>2</v>
          </cell>
          <cell r="AG738">
            <v>50</v>
          </cell>
          <cell r="AH738">
            <v>3582810361429</v>
          </cell>
          <cell r="AI738" t="str">
            <v>/</v>
          </cell>
          <cell r="AJ738" t="str">
            <v>ETVA614V5</v>
          </cell>
          <cell r="AK738" t="str">
            <v>ETVA614V5</v>
          </cell>
          <cell r="AL738" t="str">
            <v>ETCVA6142V5</v>
          </cell>
          <cell r="AM738" t="str">
            <v>Ban Lien Organic Tea Association + Blend of Seeyok, Singell and Selimbong  + Guzhang Gaofeng Organic Tea Association</v>
          </cell>
        </row>
        <row r="739">
          <cell r="A739" t="str">
            <v>TU6142</v>
          </cell>
          <cell r="B739"/>
          <cell r="C739"/>
          <cell r="D739"/>
          <cell r="E739"/>
          <cell r="F739"/>
          <cell r="G739"/>
          <cell r="H739" t="str">
            <v>LES GRANDS CLASSIQUES</v>
          </cell>
          <cell r="I739"/>
          <cell r="J739" t="str">
            <v>Un amour de Maman</v>
          </cell>
          <cell r="K739" t="str">
            <v>Fraise - Saveur litchi</v>
          </cell>
          <cell r="L739" t="str">
            <v>Mélange de thés aromatisé</v>
          </cell>
          <cell r="M739" t="str">
            <v>Inde - Chine - Vietnam</v>
          </cell>
          <cell r="N739" t="str">
            <v>AB</v>
          </cell>
          <cell r="O739" t="str">
            <v>WFTO</v>
          </cell>
          <cell r="P739" t="str">
            <v>/</v>
          </cell>
          <cell r="Q739" t="str">
            <v>/</v>
          </cell>
          <cell r="R739" t="str">
            <v>/</v>
          </cell>
          <cell r="S739" t="str">
            <v>/</v>
          </cell>
          <cell r="T739" t="str">
            <v>Agriculture UE/non UE</v>
          </cell>
          <cell r="U739"/>
          <cell r="V739" t="str">
            <v>Fruité et gourmand au goût acidulé, assorti d'une note fraîche et délicate évoquant la rose et la pivoine, ce mariage parfumé de thés noirs et verts est sublime ! Brillante et douce, sa tasse élégante est idéale pour fêter toute l'année la plus belle maman du monde !</v>
          </cell>
          <cell r="W739"/>
          <cell r="X739" t="str">
            <v>Ce mariage de thés noirs et de thés verts, accompagné des saveurs délicates et envoûtantes de la rose et de la pivoine, est d’une tendre féminité. Dédiée aux mamans, voici la recette idéale pour leur dire « je t’aime » à tout moment de l’année.</v>
          </cell>
          <cell r="Y739"/>
          <cell r="Z739" t="str">
            <v xml:space="preserve">Ingrédients : mélange de thés (thé vert*, thé noir*), arômes naturels de (fraise*, litchi) 5%, pétales de fleurs (rose*, bleuet*, tournesol*), morceaux de fraise* 1%. *Issu de l'agriculture biologique. </v>
          </cell>
          <cell r="AA739" t="str">
            <v>/</v>
          </cell>
          <cell r="AB739" t="str">
            <v>Membre certifié World Fair Trade Organization, Les Jardins de Gaïa s’engagent pour un commerce plus juste et répondent aux exigences du commerce équitable. Pour en savoir plus : www.wfto.com.</v>
          </cell>
          <cell r="AC739">
            <v>100</v>
          </cell>
          <cell r="AD739" t="str">
            <v>3-4</v>
          </cell>
          <cell r="AE739">
            <v>90</v>
          </cell>
          <cell r="AF739">
            <v>2</v>
          </cell>
          <cell r="AG739">
            <v>50</v>
          </cell>
          <cell r="AH739">
            <v>3582815561428</v>
          </cell>
          <cell r="AI739" t="str">
            <v>/</v>
          </cell>
          <cell r="AJ739" t="str">
            <v>ETTUVA6142V5</v>
          </cell>
          <cell r="AK739" t="str">
            <v>ETTUVA6142V5</v>
          </cell>
          <cell r="AL739" t="str">
            <v>/</v>
          </cell>
          <cell r="AM739" t="str">
            <v>Création maison</v>
          </cell>
        </row>
        <row r="740">
          <cell r="A740" t="str">
            <v>TR2331</v>
          </cell>
          <cell r="B740"/>
          <cell r="C740"/>
          <cell r="D740"/>
          <cell r="E740"/>
          <cell r="F740"/>
          <cell r="G740"/>
          <cell r="H740" t="str">
            <v>LES GRANDS CLASSIQUES</v>
          </cell>
          <cell r="I740"/>
          <cell r="J740" t="str">
            <v>Un printemps chez les San</v>
          </cell>
          <cell r="K740" t="str">
            <v>Cacao - Framboise</v>
          </cell>
          <cell r="L740" t="str">
            <v>Rooibos aromatisé</v>
          </cell>
          <cell r="M740" t="str">
            <v>Afrique du Sud - Cap Occidental</v>
          </cell>
          <cell r="N740" t="str">
            <v>AB</v>
          </cell>
          <cell r="O740" t="str">
            <v>WFTO</v>
          </cell>
          <cell r="P740" t="str">
            <v>/</v>
          </cell>
          <cell r="Q740" t="str">
            <v>/</v>
          </cell>
          <cell r="R740" t="str">
            <v>/</v>
          </cell>
          <cell r="S740" t="str">
            <v>/</v>
          </cell>
          <cell r="T740" t="str">
            <v>Agriculture UE/non UE</v>
          </cell>
          <cell r="U740"/>
          <cell r="V740" t="str">
            <v>Rêverie imprégnée de l'atmosphère sereine des monts du Cederberg. Ce rooibos velouté au parfum de fruit délicat, magnifiquement équilibré par les arômes chauds et ronds du cacao évoque une saison lumineuse et douce. Enveloppant !</v>
          </cell>
          <cell r="W740"/>
          <cell r="X740" t="str">
            <v>Les saveurs miellées et légèrement boisées du rooibos se mêlent ici avec gourmandise aux notes chaudes du cacao et fruitées de la framboise… Laissez-vous tenter par cette recette inspirée par de merveilleux moments d’échanges passés chez les San, noble peuple sud-africain.</v>
          </cell>
          <cell r="Y740"/>
          <cell r="Z740" t="str">
            <v>Ingrédients : rooibos*, arôme naturel de framboise* 6%, écorce de cacao* 4%, morceaux de vanille*, morceaux de framboise* 2%, amarante*. *Issu de l'agriculture biologique.</v>
          </cell>
          <cell r="AA740" t="str">
            <v>/</v>
          </cell>
          <cell r="AB740" t="str">
            <v>Membre certifié World Fair Trade Organization, Les Jardins de Gaïa s’engagent pour un commerce plus juste et répondent aux exigences du commerce équitable. Pour en savoir plus : www.wfto.com.</v>
          </cell>
          <cell r="AC740">
            <v>1.5</v>
          </cell>
          <cell r="AD740" t="str">
            <v>5-10</v>
          </cell>
          <cell r="AE740">
            <v>95</v>
          </cell>
          <cell r="AF740">
            <v>2</v>
          </cell>
          <cell r="AG740">
            <v>750</v>
          </cell>
          <cell r="AH740">
            <v>3582810923313</v>
          </cell>
          <cell r="AI740" t="str">
            <v>/</v>
          </cell>
          <cell r="AJ740" t="str">
            <v>INTERNE</v>
          </cell>
          <cell r="AK740" t="str">
            <v>INTERNE</v>
          </cell>
          <cell r="AL740" t="str">
            <v>/</v>
          </cell>
          <cell r="AM740" t="str">
            <v>Création maison</v>
          </cell>
        </row>
        <row r="741">
          <cell r="A741" t="str">
            <v>TR2332</v>
          </cell>
          <cell r="B741"/>
          <cell r="C741" t="str">
            <v>X</v>
          </cell>
          <cell r="D741" t="str">
            <v>X</v>
          </cell>
          <cell r="E741" t="str">
            <v>X</v>
          </cell>
          <cell r="F741" t="str">
            <v>GRAI</v>
          </cell>
          <cell r="G741">
            <v>45383</v>
          </cell>
          <cell r="H741" t="str">
            <v>LES GRANDS CLASSIQUES</v>
          </cell>
          <cell r="I741"/>
          <cell r="J741" t="str">
            <v>Un printemps chez les San</v>
          </cell>
          <cell r="K741" t="str">
            <v>Cacao - Framboise</v>
          </cell>
          <cell r="L741" t="str">
            <v>Rooibos aromatisé</v>
          </cell>
          <cell r="M741" t="str">
            <v>Afrique du Sud - Cap Occidental</v>
          </cell>
          <cell r="N741" t="str">
            <v>AB</v>
          </cell>
          <cell r="O741" t="str">
            <v>WFTO</v>
          </cell>
          <cell r="P741" t="str">
            <v>/</v>
          </cell>
          <cell r="Q741" t="str">
            <v>/</v>
          </cell>
          <cell r="R741" t="str">
            <v>/</v>
          </cell>
          <cell r="S741" t="str">
            <v>/</v>
          </cell>
          <cell r="T741" t="str">
            <v>Agriculture UE/non UE</v>
          </cell>
          <cell r="U741"/>
          <cell r="V741" t="str">
            <v>Rêverie imprégnée de l'atmosphère sereine des monts du Cederberg. Ce rooibos velouté au parfum de fruit délicat, magnifiquement équilibré par les arômes chauds et ronds du cacao évoque une saison lumineuse et douce. Enveloppant !</v>
          </cell>
          <cell r="W741"/>
          <cell r="X741" t="str">
            <v>Les saveurs miellées et légèrement boisées du rooibos se mêlent ici avec gourmandise aux notes chaudes du cacao et fruitées de la framboise… Laissez-vous tenter par cette recette inspirée par de merveilleux moments d’échanges passés chez les San, noble peuple sud-africain.</v>
          </cell>
          <cell r="Y741"/>
          <cell r="Z741" t="str">
            <v>Ingrédients : rooibos*, arôme naturel de framboise* 6%, écorce de cacao* 4%, morceaux de vanille*, morceaux de framboise* 2%, amarante*. *Issu de l'agriculture biologique.</v>
          </cell>
          <cell r="AA741" t="str">
            <v>/</v>
          </cell>
          <cell r="AB741" t="str">
            <v>Membre certifié World Fair Trade Organization, Les Jardins de Gaïa s’engagent pour un commerce plus juste et répondent aux exigences du commerce équitable. Pour en savoir plus : www.wfto.com.</v>
          </cell>
          <cell r="AC741">
            <v>100</v>
          </cell>
          <cell r="AD741" t="str">
            <v>5-10</v>
          </cell>
          <cell r="AE741">
            <v>95</v>
          </cell>
          <cell r="AF741">
            <v>2</v>
          </cell>
          <cell r="AG741">
            <v>50</v>
          </cell>
          <cell r="AH741">
            <v>3582810923320</v>
          </cell>
          <cell r="AI741" t="str">
            <v>/</v>
          </cell>
          <cell r="AJ741" t="str">
            <v>ETRA233V5</v>
          </cell>
          <cell r="AK741" t="str">
            <v>ETRA233V5</v>
          </cell>
          <cell r="AL741" t="str">
            <v>ETCRA2332V5</v>
          </cell>
          <cell r="AM741" t="str">
            <v>Wupperthal Original Rooibos Cooperative et Heiveld Cooperative</v>
          </cell>
        </row>
        <row r="742">
          <cell r="A742" t="str">
            <v>TUTR2332</v>
          </cell>
          <cell r="B742"/>
          <cell r="C742"/>
          <cell r="D742"/>
          <cell r="E742"/>
          <cell r="F742"/>
          <cell r="G742"/>
          <cell r="H742" t="str">
            <v>LES GRANDS CLASSIQUES</v>
          </cell>
          <cell r="I742"/>
          <cell r="J742" t="str">
            <v>Un printemps chez les San</v>
          </cell>
          <cell r="K742" t="str">
            <v>Cacao - Framboise</v>
          </cell>
          <cell r="L742" t="str">
            <v>Rooibos aromatisé</v>
          </cell>
          <cell r="M742" t="str">
            <v>Afrique du Sud - Cap Occidental</v>
          </cell>
          <cell r="N742" t="str">
            <v>AB</v>
          </cell>
          <cell r="O742" t="str">
            <v>WFTO</v>
          </cell>
          <cell r="P742" t="str">
            <v>/</v>
          </cell>
          <cell r="Q742" t="str">
            <v>/</v>
          </cell>
          <cell r="R742" t="str">
            <v>/</v>
          </cell>
          <cell r="S742" t="str">
            <v>/</v>
          </cell>
          <cell r="T742" t="str">
            <v>Agriculture UE/non UE</v>
          </cell>
          <cell r="U742"/>
          <cell r="V742" t="str">
            <v>Rêverie imprégnée de l'atmosphère sereine des monts du Cederberg. Ce rooibos velouté au parfum de fruit délicat, magnifiquement équilibré par les arômes chauds et ronds du cacao évoque une saison lumineuse et douce. Enveloppant !</v>
          </cell>
          <cell r="W742"/>
          <cell r="X742" t="str">
            <v>Les saveurs miellées et légèrement boisées du rooibos se mêlent ici avec gourmandise aux notes chaudes du cacao et fruitées de la framboise… Laissez-vous tenter par cette recette inspirée par de merveilleux moments d’échanges passés chez les San, noble peuple sud-africain.</v>
          </cell>
          <cell r="Y742"/>
          <cell r="Z742" t="str">
            <v>Ingrédients : rooibos*, arôme naturel de framboise* 6%, écorce de cacao* 4%, morceaux de vanille*, morceaux de framboise* 2%, amarante*. *Issu de l'agriculture biologique.</v>
          </cell>
          <cell r="AA742" t="str">
            <v>/</v>
          </cell>
          <cell r="AB742" t="str">
            <v>Membre certifié World Fair Trade Organization, Les Jardins de Gaïa s’engagent pour un commerce plus juste et répondent aux exigences du commerce équitable. Pour en savoir plus : www.wfto.com.</v>
          </cell>
          <cell r="AC742">
            <v>100</v>
          </cell>
          <cell r="AD742" t="str">
            <v>5-10</v>
          </cell>
          <cell r="AE742">
            <v>95</v>
          </cell>
          <cell r="AF742">
            <v>2</v>
          </cell>
          <cell r="AG742">
            <v>50</v>
          </cell>
          <cell r="AH742">
            <v>3582815623324</v>
          </cell>
          <cell r="AI742" t="str">
            <v>/</v>
          </cell>
          <cell r="AJ742" t="str">
            <v>ETTURA2332V5</v>
          </cell>
          <cell r="AK742" t="str">
            <v>ETTURA2332V5</v>
          </cell>
          <cell r="AL742" t="str">
            <v>/</v>
          </cell>
          <cell r="AM742" t="str">
            <v>Création maison</v>
          </cell>
        </row>
        <row r="743">
          <cell r="A743" t="str">
            <v>TA5061</v>
          </cell>
          <cell r="B743"/>
          <cell r="C743"/>
          <cell r="D743"/>
          <cell r="E743"/>
          <cell r="F743"/>
          <cell r="G743"/>
          <cell r="H743" t="str">
            <v>LES ENGAGÉS</v>
          </cell>
          <cell r="I743"/>
          <cell r="J743" t="str">
            <v>Un thé pour Elles</v>
          </cell>
          <cell r="K743" t="str">
            <v>Saveur mirabelle – Fève tonka</v>
          </cell>
          <cell r="L743" t="str">
            <v>Mélange de thés aromatisé</v>
          </cell>
          <cell r="M743" t="str">
            <v>Vietnam - Chine</v>
          </cell>
          <cell r="N743" t="str">
            <v>AB</v>
          </cell>
          <cell r="O743" t="str">
            <v>WFTO</v>
          </cell>
          <cell r="P743" t="str">
            <v>/</v>
          </cell>
          <cell r="Q743" t="str">
            <v>/</v>
          </cell>
          <cell r="R743" t="str">
            <v>/</v>
          </cell>
          <cell r="S743" t="str">
            <v>/</v>
          </cell>
          <cell r="T743" t="str">
            <v>Agriculture UE/non UE</v>
          </cell>
          <cell r="U743"/>
          <cell r="V743" t="str">
            <v>Ce thé est à l’image d’une féminité qui se réinvente. Dédiée aux battantes qui changent les codes avec dynamisme, sensibilité et talent. Sur une base de thé blanc, les notes de fève tonka et de mirabelle s’épanouissent pour former des accords gourmands.</v>
          </cell>
          <cell r="W743" t="str">
            <v>S21</v>
          </cell>
          <cell r="X743" t="str">
            <v>Cette recette à base d’un mariage de thé blanc et de thé vert est à l’image d’une féminité qui se réinvente. Dédiée aux battantes qui changent les codes avec dynamisme, sensibilité et talent, elle offre une expérience originale et gourmande en mariant des notes de fève tonka et de mirabelle.</v>
          </cell>
          <cell r="Y743" t="str">
            <v>Située en Alsace, Les foulées du sourire soutient les victimes de violences conjugales et promeut l’égalité femme-homme. lesfouleesdusourire.com</v>
          </cell>
          <cell r="Z743" t="str">
            <v>Ingrédients : thé blanc*, écorces d’églantine*, thé vert*, fève tonka* 9%, arôme naturel de mirabelle 5%, pétales de fleurs (amarante*, bleuet*). *Issu de l’agriculture biologique.</v>
          </cell>
          <cell r="AA743" t="str">
            <v>/</v>
          </cell>
          <cell r="AB743" t="str">
            <v>Membre certifié World Fair Trade Organization, Les Jardins de Gaïa s’engagent pour un commerce plus juste et répondent aux exigences du commerce équitable. Pour en savoir plus : www.wfto.com.</v>
          </cell>
          <cell r="AC743">
            <v>1.5</v>
          </cell>
          <cell r="AD743" t="str">
            <v>3-4</v>
          </cell>
          <cell r="AE743">
            <v>85</v>
          </cell>
          <cell r="AF743">
            <v>2</v>
          </cell>
          <cell r="AG743">
            <v>750</v>
          </cell>
          <cell r="AH743">
            <v>3582810650615</v>
          </cell>
          <cell r="AI743" t="str">
            <v>/</v>
          </cell>
          <cell r="AJ743" t="str">
            <v>INTERNE</v>
          </cell>
          <cell r="AK743" t="str">
            <v>INTERNE</v>
          </cell>
          <cell r="AL743" t="str">
            <v>/</v>
          </cell>
          <cell r="AM743" t="str">
            <v>Création maison</v>
          </cell>
        </row>
        <row r="744">
          <cell r="A744" t="str">
            <v>TA5062</v>
          </cell>
          <cell r="B744"/>
          <cell r="C744"/>
          <cell r="D744"/>
          <cell r="E744"/>
          <cell r="F744"/>
          <cell r="G744"/>
          <cell r="H744" t="str">
            <v>LES ENGAGÉS</v>
          </cell>
          <cell r="I744"/>
          <cell r="J744" t="str">
            <v>Un thé pour Elles</v>
          </cell>
          <cell r="K744" t="str">
            <v>Saveur mirabelle – Fève tonka</v>
          </cell>
          <cell r="L744" t="str">
            <v>Mélange de thés aromatisé</v>
          </cell>
          <cell r="M744" t="str">
            <v>Vietnam - Chine</v>
          </cell>
          <cell r="N744" t="str">
            <v>AB</v>
          </cell>
          <cell r="O744" t="str">
            <v>WFTO</v>
          </cell>
          <cell r="P744" t="str">
            <v>/</v>
          </cell>
          <cell r="Q744" t="str">
            <v>/</v>
          </cell>
          <cell r="R744" t="str">
            <v>/</v>
          </cell>
          <cell r="S744" t="str">
            <v>/</v>
          </cell>
          <cell r="T744" t="str">
            <v>Agriculture UE/non UE</v>
          </cell>
          <cell r="U744"/>
          <cell r="V744" t="str">
            <v>Ce thé est à l’image d’une féminité qui se réinvente. Dédiée aux battantes qui changent les codes avec dynamisme, sensibilité et talent. Sur une base de thé blanc, les notes de fève tonka et de mirabelle s’épanouissent pour former des accords gourmands.</v>
          </cell>
          <cell r="W744" t="str">
            <v>S21</v>
          </cell>
          <cell r="X744" t="str">
            <v>Cette recette à base d’un mariage de thé blanc et de thé vert est à l’image d’une féminité qui se réinvente. Dédiée aux battantes qui changent les codes avec dynamisme, sensibilité et talent, elle offre une expérience originale et gourmande en mariant des notes de fève tonka et de mirabelle.</v>
          </cell>
          <cell r="Y744" t="str">
            <v>Située en Alsace, Les foulées du sourire soutient les victimes de violences conjugales et promeut l’égalité femme-homme. lesfouleesdusourire.com</v>
          </cell>
          <cell r="Z744" t="str">
            <v>Ingrédients : thé blanc*, écorces d’églantine*, thé vert*, fève tonka* 9%, arôme naturel de mirabelle 5%, pétales de fleurs (amarante*, bleuet*). *Issu de l’agriculture biologique.</v>
          </cell>
          <cell r="AA744" t="str">
            <v>/</v>
          </cell>
          <cell r="AB744" t="str">
            <v>Membre certifié World Fair Trade Organization, Les Jardins de Gaïa s’engagent pour un commerce plus juste et répondent aux exigences du commerce équitable. Pour en savoir plus : www.wfto.com.</v>
          </cell>
          <cell r="AC744">
            <v>80</v>
          </cell>
          <cell r="AD744" t="str">
            <v>3-4</v>
          </cell>
          <cell r="AE744">
            <v>85</v>
          </cell>
          <cell r="AF744">
            <v>2</v>
          </cell>
          <cell r="AG744">
            <v>40</v>
          </cell>
          <cell r="AH744">
            <v>3582810650622</v>
          </cell>
          <cell r="AI744" t="str">
            <v>/</v>
          </cell>
          <cell r="AJ744" t="str">
            <v>ETBA506</v>
          </cell>
          <cell r="AK744" t="str">
            <v>ETBA506V5</v>
          </cell>
          <cell r="AL744" t="str">
            <v>ETCBA5062V5</v>
          </cell>
          <cell r="AM744" t="str">
            <v>Création maison</v>
          </cell>
        </row>
        <row r="745">
          <cell r="A745" t="str">
            <v>TA9051</v>
          </cell>
          <cell r="B745"/>
          <cell r="C745"/>
          <cell r="D745"/>
          <cell r="E745"/>
          <cell r="F745"/>
          <cell r="G745"/>
          <cell r="H745" t="str">
            <v>LES ENGAGÉS</v>
          </cell>
          <cell r="I745" t="str">
            <v>AGIR POUR LA NATURE</v>
          </cell>
          <cell r="J745" t="str">
            <v>Un thé pour l'océan</v>
          </cell>
          <cell r="K745" t="str">
            <v>Huile essentielle de citron - Menthe</v>
          </cell>
          <cell r="L745" t="str">
            <v>Thé wulong aromatisé</v>
          </cell>
          <cell r="M745" t="str">
            <v>Chine</v>
          </cell>
          <cell r="N745" t="str">
            <v>AB</v>
          </cell>
          <cell r="O745" t="str">
            <v>WFTO</v>
          </cell>
          <cell r="P745" t="str">
            <v>/</v>
          </cell>
          <cell r="Q745" t="str">
            <v>/</v>
          </cell>
          <cell r="R745" t="str">
            <v>/</v>
          </cell>
          <cell r="S745" t="str">
            <v>/</v>
          </cell>
          <cell r="T745" t="str">
            <v>Agriculture UE/non UE</v>
          </cell>
          <cell r="U745"/>
          <cell r="V745" t="str">
            <v>Sur sa base de thé “bleu-vert” couleur de l’océan, cette recette originale dédiée aux amoureux de ces fascinants bassins de vie dont nous dépendons dévoile la richesse de ses saveurs. Après une attaque aux notes citronnées offerte par le gingembre, l’association de la menthe poivrée et du romarin, la plante des marins, fait souffler comme un vent de fraîcheur sur ce wulong particulièrement profond et aromatique.</v>
          </cell>
          <cell r="W745" t="str">
            <v>S26</v>
          </cell>
          <cell r="X745" t="str">
            <v>Cette recette originale à base de thé wulong est dédiée aux protecteurs des océans. Après une attaque aux notes citronnées offerte par le gingembre, l’association de la menthe poivrée et du romarin, la plante des marins, fait souffler un vent de fraîcheur dans ce thé bleu-vert profond et aromatique.</v>
          </cell>
          <cell r="Y745" t="str">
            <v>Sea Shepherd France est une ONG qui agit pour protéger toutes les espèces qui peuplent nos océans. Elle lutte contre l’ensemble des menaces qui pèsent sur la vie marine. seashepherd.fr</v>
          </cell>
          <cell r="Z745" t="str">
            <v xml:space="preserve">Ingrédients : thé wulong*, morceaux de gingembre*, romarin*, menthe poivrée* 3%, huile essentielle de citron* 2%, pétales de bleuet*. *Issu de l’agriculture biologique. </v>
          </cell>
          <cell r="AA745" t="str">
            <v>/</v>
          </cell>
          <cell r="AB745" t="str">
            <v>Membre certifié World Fair Trade Organization, Les Jardins de Gaïa s’engagent pour un commerce plus juste et répondent aux exigences du commerce équitable. Pour en savoir plus : www.wfto.com.</v>
          </cell>
          <cell r="AC745">
            <v>1.5</v>
          </cell>
          <cell r="AD745" t="str">
            <v>4-5</v>
          </cell>
          <cell r="AE745">
            <v>95</v>
          </cell>
          <cell r="AF745">
            <v>2</v>
          </cell>
          <cell r="AG745">
            <v>750</v>
          </cell>
          <cell r="AH745">
            <v>3582810790519</v>
          </cell>
          <cell r="AI745" t="str">
            <v>/</v>
          </cell>
          <cell r="AJ745" t="str">
            <v>INTERNE</v>
          </cell>
          <cell r="AK745" t="str">
            <v>INTERNE</v>
          </cell>
          <cell r="AL745" t="str">
            <v>/</v>
          </cell>
          <cell r="AM745" t="str">
            <v>Création maison</v>
          </cell>
        </row>
        <row r="746">
          <cell r="A746" t="str">
            <v>TA9052</v>
          </cell>
          <cell r="B746"/>
          <cell r="C746"/>
          <cell r="D746"/>
          <cell r="E746"/>
          <cell r="F746"/>
          <cell r="G746"/>
          <cell r="H746" t="str">
            <v>LES ENGAGÉS</v>
          </cell>
          <cell r="I746" t="str">
            <v>AGIR POUR LA NATURE</v>
          </cell>
          <cell r="J746" t="str">
            <v>Un thé pour l'océan</v>
          </cell>
          <cell r="K746" t="str">
            <v>Huile essentielle de citron - Menthe</v>
          </cell>
          <cell r="L746" t="str">
            <v>Thé wulong aromatisé</v>
          </cell>
          <cell r="M746" t="str">
            <v>Chine</v>
          </cell>
          <cell r="N746" t="str">
            <v>AB</v>
          </cell>
          <cell r="O746" t="str">
            <v>WFTO</v>
          </cell>
          <cell r="P746" t="str">
            <v>/</v>
          </cell>
          <cell r="Q746" t="str">
            <v>/</v>
          </cell>
          <cell r="R746" t="str">
            <v>/</v>
          </cell>
          <cell r="S746" t="str">
            <v>/</v>
          </cell>
          <cell r="T746" t="str">
            <v>Agriculture UE/non UE</v>
          </cell>
          <cell r="U746"/>
          <cell r="V746" t="str">
            <v>Sur sa base de thé “bleu-vert” couleur de l’océan, cette recette originale dédiée aux amoureux de ces fascinants bassins de vie dont nous dépendons dévoile la richesse de ses saveurs. Après une attaque aux notes citronnées offerte par le gingembre, l’association de la menthe poivrée et du romarin, la plante des marins, fait souffler comme un vent de fraîcheur sur ce wulong particulièrement profond et aromatique.</v>
          </cell>
          <cell r="W746" t="str">
            <v>S26</v>
          </cell>
          <cell r="X746" t="str">
            <v>Cette recette originale à base de thé wulong est dédiée aux protecteurs des océans. Après une attaque aux notes citronnées offerte par le gingembre, l’association de la menthe poivrée et du romarin, la plante des marins, fait souffler un vent de fraîcheur dans ce thé bleu-vert profond et aromatique.</v>
          </cell>
          <cell r="Y746" t="str">
            <v>Sea Shepherd France est une ONG qui agit pour protéger toutes les espèces qui peuplent nos océans. Elle lutte contre l’ensemble des menaces qui pèsent sur la vie marine. seashepherd.fr</v>
          </cell>
          <cell r="Z746" t="str">
            <v xml:space="preserve">Ingrédients : thé wulong*, morceaux de gingembre*, romarin*, menthe poivrée* 3%, huile essentielle de citron* 2%, pétales de bleuet*. *Issu de l’agriculture biologique. </v>
          </cell>
          <cell r="AA746" t="str">
            <v>/</v>
          </cell>
          <cell r="AB746" t="str">
            <v>Membre certifié World Fair Trade Organization, Les Jardins de Gaïa s’engagent pour un commerce plus juste et répondent aux exigences du commerce équitable. Pour en savoir plus : www.wfto.com.</v>
          </cell>
          <cell r="AC746">
            <v>100</v>
          </cell>
          <cell r="AD746" t="str">
            <v>4-5</v>
          </cell>
          <cell r="AE746">
            <v>95</v>
          </cell>
          <cell r="AF746">
            <v>2</v>
          </cell>
          <cell r="AG746">
            <v>50</v>
          </cell>
          <cell r="AH746">
            <v>3582810790526</v>
          </cell>
          <cell r="AI746" t="str">
            <v>/</v>
          </cell>
          <cell r="AJ746" t="str">
            <v>ETOA905V5
HE citron</v>
          </cell>
          <cell r="AK746" t="str">
            <v>ETOA905V5
HE citron</v>
          </cell>
          <cell r="AL746" t="str">
            <v>ETCOA9052V5
HE citron</v>
          </cell>
          <cell r="AM746" t="str">
            <v>Création maison</v>
          </cell>
        </row>
        <row r="747">
          <cell r="A747" t="str">
            <v>TA6781</v>
          </cell>
          <cell r="B747"/>
          <cell r="C747"/>
          <cell r="D747"/>
          <cell r="E747"/>
          <cell r="F747"/>
          <cell r="G747"/>
          <cell r="H747" t="str">
            <v>LES GRANDS CLASSIQUES</v>
          </cell>
          <cell r="I747"/>
          <cell r="J747" t="str">
            <v>Une nuit à Goa</v>
          </cell>
          <cell r="K747" t="str">
            <v xml:space="preserve">noix de coco, lemongrass </v>
          </cell>
          <cell r="L747" t="str">
            <v>Thé vert aromatisé</v>
          </cell>
          <cell r="M747"/>
          <cell r="N747" t="str">
            <v>AB</v>
          </cell>
          <cell r="O747" t="str">
            <v>WFTO</v>
          </cell>
          <cell r="P747" t="str">
            <v>/</v>
          </cell>
          <cell r="Q747" t="str">
            <v>/</v>
          </cell>
          <cell r="R747" t="str">
            <v>/</v>
          </cell>
          <cell r="S747" t="str">
            <v>/</v>
          </cell>
          <cell r="T747" t="str">
            <v>Agriculture UE/non UE</v>
          </cell>
          <cell r="U747"/>
          <cell r="V747" t="str">
            <v>Cette recette à base de thé vert évoque un voyage sensoriel au cœur de l’Inde, de ses marchés et de ses nuits festives. Les saveurs enivrantes et lactées de la noix de coco contrastent délicieusement avec la fraîcheur de la citronnelle et des épices. Fermez les yeux, vous êtes à Goa…</v>
          </cell>
          <cell r="W747" t="str">
            <v>S21</v>
          </cell>
          <cell r="X747" t="str">
            <v>Cette recette à base de thé vert évoque un voyage sensoriel au cœur de l’Inde, de ses marchés et de ses nuits festives. Les saveurs enivrantes et lactées de la noix de coco contrastent délicieusement avec la fraîcheur de la citronnelle et des épices. Fermez les yeux, vous êtes à Goa…</v>
          </cell>
          <cell r="Y747"/>
          <cell r="Z747" t="str">
            <v>Ingrédients : thé vert*, graines de fenouil*, curcuma*,  arôme naturel de noix de coco* 5%, morceaux de noix de coco* 5%, lemongrass* 4%, poivre noir*, pétales de souci*, moringa*. *Issu de l'agriculture biologique</v>
          </cell>
          <cell r="AA747" t="str">
            <v>/</v>
          </cell>
          <cell r="AB747" t="str">
            <v>Membre certifié World Fair Trade Organization, Les Jardins de Gaïa s’engagent pour un commerce plus juste et répondent aux exigences du commerce équitable. Pour en savoir plus : www.wfto.com.</v>
          </cell>
          <cell r="AC747">
            <v>1.5</v>
          </cell>
          <cell r="AD747" t="str">
            <v>3-4</v>
          </cell>
          <cell r="AE747">
            <v>85</v>
          </cell>
          <cell r="AF747">
            <v>2</v>
          </cell>
          <cell r="AG747">
            <v>750</v>
          </cell>
          <cell r="AH747">
            <v>3582810867815</v>
          </cell>
          <cell r="AI747" t="str">
            <v>/</v>
          </cell>
          <cell r="AJ747" t="str">
            <v>INTERNE</v>
          </cell>
          <cell r="AK747" t="str">
            <v>INTERNE</v>
          </cell>
          <cell r="AL747" t="str">
            <v>/</v>
          </cell>
          <cell r="AM747" t="str">
            <v>Création maison</v>
          </cell>
        </row>
        <row r="748">
          <cell r="A748" t="str">
            <v>TA6782</v>
          </cell>
          <cell r="B748"/>
          <cell r="C748" t="str">
            <v>X</v>
          </cell>
          <cell r="D748"/>
          <cell r="E748"/>
          <cell r="F748"/>
          <cell r="G748"/>
          <cell r="H748" t="str">
            <v>LES GRANDS CLASSIQUES</v>
          </cell>
          <cell r="I748"/>
          <cell r="J748" t="str">
            <v>Une nuit à Goa</v>
          </cell>
          <cell r="K748" t="str">
            <v xml:space="preserve">noix de coco, lemongrass </v>
          </cell>
          <cell r="L748" t="str">
            <v>Thé vert aromatisé</v>
          </cell>
          <cell r="M748"/>
          <cell r="N748" t="str">
            <v>AB</v>
          </cell>
          <cell r="O748" t="str">
            <v>WFTO</v>
          </cell>
          <cell r="P748" t="str">
            <v>/</v>
          </cell>
          <cell r="Q748" t="str">
            <v>/</v>
          </cell>
          <cell r="R748" t="str">
            <v>/</v>
          </cell>
          <cell r="S748" t="str">
            <v>/</v>
          </cell>
          <cell r="T748" t="str">
            <v>Agriculture UE/non UE</v>
          </cell>
          <cell r="U748"/>
          <cell r="V748" t="str">
            <v>Cette recette à base de thé vert évoque un voyage sensoriel au cœur de l’Inde, de ses marchés et de ses nuits festives. Les saveurs enivrantes et lactées de la noix de coco contrastent délicieusement avec la fraîcheur de la citronnelle et des épices. Fermez les yeux, vous êtes à Goa…</v>
          </cell>
          <cell r="W748" t="str">
            <v>S21</v>
          </cell>
          <cell r="X748" t="str">
            <v>Cette recette à base de thé vert évoque un voyage sensoriel au cœur de l’Inde, de ses marchés et de ses nuits festives. Les saveurs enivrantes et lactées de la noix de coco contrastent délicieusement avec la fraîcheur de la citronnelle et des épices. Fermez les yeux, vous êtes à Goa…</v>
          </cell>
          <cell r="Y748"/>
          <cell r="Z748" t="str">
            <v>Ingrédients : thé vert*, graines de fenouil*, curcuma*,  arôme naturel de noix de coco* 5%, morceaux de noix de coco* 5%, lemongrass* 4%, poivre noir*, pétales de souci*, moringa*. *Issu de l'agriculture biologique</v>
          </cell>
          <cell r="AA748" t="str">
            <v>/</v>
          </cell>
          <cell r="AB748" t="str">
            <v>Membre certifié World Fair Trade Organization, Les Jardins de Gaïa s’engagent pour un commerce plus juste et répondent aux exigences du commerce équitable. Pour en savoir plus : www.wfto.com.</v>
          </cell>
          <cell r="AC748" t="str">
            <v>100</v>
          </cell>
          <cell r="AD748" t="str">
            <v>3-4</v>
          </cell>
          <cell r="AE748">
            <v>85</v>
          </cell>
          <cell r="AF748">
            <v>2</v>
          </cell>
          <cell r="AG748" t="str">
            <v>50</v>
          </cell>
          <cell r="AH748">
            <v>3582810867822</v>
          </cell>
          <cell r="AI748" t="str">
            <v>/</v>
          </cell>
          <cell r="AJ748" t="str">
            <v>ETVA678V5</v>
          </cell>
          <cell r="AK748" t="str">
            <v>ETVA678V5</v>
          </cell>
          <cell r="AL748" t="str">
            <v>ETCVA6782V5</v>
          </cell>
          <cell r="AM748" t="str">
            <v>Création maison</v>
          </cell>
        </row>
        <row r="749">
          <cell r="A749" t="str">
            <v>TO1225</v>
          </cell>
          <cell r="B749"/>
          <cell r="C749"/>
          <cell r="D749"/>
          <cell r="E749"/>
          <cell r="F749"/>
          <cell r="G749"/>
          <cell r="H749" t="str">
            <v>LES GRAND CRUS</v>
          </cell>
          <cell r="I749"/>
          <cell r="J749" t="str">
            <v>Venerable wulong</v>
          </cell>
          <cell r="K749" t="str">
            <v>/</v>
          </cell>
          <cell r="L749" t="str">
            <v>Thé wulong d'origine</v>
          </cell>
          <cell r="M749" t="str">
            <v>Nouvelle-Zélande - Waikato</v>
          </cell>
          <cell r="N749" t="str">
            <v>AB</v>
          </cell>
          <cell r="O749" t="str">
            <v>/</v>
          </cell>
          <cell r="P749" t="str">
            <v>/</v>
          </cell>
          <cell r="Q749" t="str">
            <v>/</v>
          </cell>
          <cell r="R749" t="str">
            <v>/</v>
          </cell>
          <cell r="S749" t="str">
            <v>/</v>
          </cell>
          <cell r="T749" t="str">
            <v>/</v>
          </cell>
          <cell r="U749"/>
          <cell r="V749" t="str">
            <v>wulong exceptionnel maturé en pots d'argile. Notes de bois, figue, raisin, noisettes grillées caramélisées.</v>
          </cell>
          <cell r="W749" t="str">
            <v>S26</v>
          </cell>
          <cell r="X749" t="str">
            <v>Patiemment maturé en pots d'argile, ce vénérable wulong offre une belle richesse organoleptique. Après une attaque boisée qui marque intensément le palais, son infusion libère des arômes agréablement fruités de figue, de raisin et de noisettes caramélisées. Un thé aussi élégant que gourmand…</v>
          </cell>
          <cell r="Y749"/>
          <cell r="Z749" t="str">
            <v>Ingrédient : thé wulong*. *Issu de l’agriculture biologique.</v>
          </cell>
          <cell r="AA749" t="str">
            <v>/</v>
          </cell>
          <cell r="AB749" t="str">
            <v>/</v>
          </cell>
          <cell r="AC749">
            <v>500</v>
          </cell>
          <cell r="AD749" t="str">
            <v>3-4</v>
          </cell>
          <cell r="AE749">
            <v>95</v>
          </cell>
          <cell r="AF749">
            <v>2</v>
          </cell>
          <cell r="AG749">
            <v>250</v>
          </cell>
          <cell r="AH749">
            <v>3582810712252</v>
          </cell>
          <cell r="AI749" t="str">
            <v>Plusieurs infusions</v>
          </cell>
          <cell r="AJ749" t="str">
            <v>INTERNE</v>
          </cell>
          <cell r="AK749" t="str">
            <v>INTERNE</v>
          </cell>
          <cell r="AL749" t="str">
            <v>/</v>
          </cell>
          <cell r="AM749" t="str">
            <v>Zealong Tea Estate LTD</v>
          </cell>
        </row>
        <row r="750">
          <cell r="A750" t="str">
            <v>TO1222</v>
          </cell>
          <cell r="B750"/>
          <cell r="C750"/>
          <cell r="D750"/>
          <cell r="E750"/>
          <cell r="F750"/>
          <cell r="G750"/>
          <cell r="H750" t="str">
            <v>LES GRAND CRUS</v>
          </cell>
          <cell r="I750"/>
          <cell r="J750" t="str">
            <v>Venerable wulong</v>
          </cell>
          <cell r="K750" t="str">
            <v>/</v>
          </cell>
          <cell r="L750" t="str">
            <v>Thé wulong d'origine</v>
          </cell>
          <cell r="M750" t="str">
            <v>Nouvelle-Zélande - Waikato</v>
          </cell>
          <cell r="N750" t="str">
            <v>AB</v>
          </cell>
          <cell r="O750" t="str">
            <v>/</v>
          </cell>
          <cell r="P750" t="str">
            <v>/</v>
          </cell>
          <cell r="Q750" t="str">
            <v>/</v>
          </cell>
          <cell r="R750" t="str">
            <v>/</v>
          </cell>
          <cell r="S750" t="str">
            <v>/</v>
          </cell>
          <cell r="T750" t="str">
            <v>/</v>
          </cell>
          <cell r="U750"/>
          <cell r="V750" t="str">
            <v>wulong exceptionnel maturé en pots d'argile. Notes de bois, figue, raisin, noisettes grillées caramélisées.</v>
          </cell>
          <cell r="W750" t="str">
            <v>S26</v>
          </cell>
          <cell r="X750" t="str">
            <v>Patiemment maturé en pots d'argile, ce vénérable wulong offre une belle richesse organoleptique. Après une attaque boisée qui marque intensément le palais, son infusion libère des arômes agréablement fruités de figue, de raisin et de noisettes caramélisées. Un thé aussi élégant que gourmand…</v>
          </cell>
          <cell r="Y750"/>
          <cell r="Z750" t="str">
            <v>Ingrédient : thé wulong*. *Issu de l’agriculture biologique.</v>
          </cell>
          <cell r="AA750" t="str">
            <v>/</v>
          </cell>
          <cell r="AB750" t="str">
            <v>/</v>
          </cell>
          <cell r="AC750">
            <v>80</v>
          </cell>
          <cell r="AD750" t="str">
            <v>3-4</v>
          </cell>
          <cell r="AE750">
            <v>95</v>
          </cell>
          <cell r="AF750">
            <v>2</v>
          </cell>
          <cell r="AG750">
            <v>40</v>
          </cell>
          <cell r="AH750">
            <v>3582810712221</v>
          </cell>
          <cell r="AI750" t="str">
            <v>Plusieurs infusions</v>
          </cell>
          <cell r="AJ750" t="str">
            <v>ETON122V5</v>
          </cell>
          <cell r="AK750" t="str">
            <v>ETON122V5</v>
          </cell>
          <cell r="AL750" t="str">
            <v>/</v>
          </cell>
          <cell r="AM750" t="str">
            <v>Zealong Tea Estate LTD</v>
          </cell>
        </row>
        <row r="751">
          <cell r="A751" t="str">
            <v>TV6601</v>
          </cell>
          <cell r="B751"/>
          <cell r="C751"/>
          <cell r="D751"/>
          <cell r="E751"/>
          <cell r="F751"/>
          <cell r="G751"/>
          <cell r="H751" t="str">
            <v>LES GRANDS CLASSIQUES</v>
          </cell>
          <cell r="I751"/>
          <cell r="J751" t="str">
            <v>Vert de Chine</v>
          </cell>
          <cell r="K751" t="str">
            <v>Chun Xiang
Senteurs printanières</v>
          </cell>
          <cell r="L751" t="str">
            <v>Thé vert d'origine</v>
          </cell>
          <cell r="M751" t="str">
            <v>Chine - Hubei</v>
          </cell>
          <cell r="N751" t="str">
            <v>AB</v>
          </cell>
          <cell r="O751" t="str">
            <v>WFTO</v>
          </cell>
          <cell r="P751" t="str">
            <v>/</v>
          </cell>
          <cell r="Q751" t="str">
            <v>/</v>
          </cell>
          <cell r="R751" t="str">
            <v>/</v>
          </cell>
          <cell r="S751" t="str">
            <v>/</v>
          </cell>
          <cell r="T751" t="str">
            <v>Agriculture Chine</v>
          </cell>
          <cell r="U751"/>
          <cell r="V751" t="str">
            <v>Ce thé vert printanier récolté dans la province montagneuse du Hubei est représentatif du savoir-faire millénaire du pays berceau du thé. L’infusion jaune citron est d’une belle ampleur aromatique. Après une attaque sur des notes torréfiées, elle libère des saveurs lactées et de fruit à coque évoquant avec gourmandise le beurre de cacahuète.</v>
          </cell>
          <cell r="W751" t="str">
            <v>S21</v>
          </cell>
          <cell r="X751" t="str">
            <v>Ce thé vert printanier récolté dans la province montagneuse du Hubei est représentatif du savoir-faire millénaire du pays berceau du thé. Son infusion jaune citron offre une attaque sur des notes torréfiées, puis libère des saveurs lactées et de fruit à coque tout en gourmandise.</v>
          </cell>
          <cell r="Y751"/>
          <cell r="Z751" t="str">
            <v xml:space="preserve">Ingrédient : thé vert*. *Issu de l'agriculture biologique. </v>
          </cell>
          <cell r="AA751" t="str">
            <v>/</v>
          </cell>
          <cell r="AB751" t="str">
            <v>Membre certifié World Fair Trade Organization, Les Jardins de Gaïa s’engagent pour un commerce plus juste et répondent aux exigences du commerce équitable. Pour en savoir plus : www.wfto.com.</v>
          </cell>
          <cell r="AC751">
            <v>1.5</v>
          </cell>
          <cell r="AD751" t="str">
            <v>3</v>
          </cell>
          <cell r="AE751">
            <v>85</v>
          </cell>
          <cell r="AF751">
            <v>2</v>
          </cell>
          <cell r="AG751">
            <v>750</v>
          </cell>
          <cell r="AH751">
            <v>3582810366011</v>
          </cell>
          <cell r="AI751" t="str">
            <v>/</v>
          </cell>
          <cell r="AJ751" t="str">
            <v>INTERNE</v>
          </cell>
          <cell r="AK751" t="str">
            <v>INTERNE</v>
          </cell>
          <cell r="AL751" t="str">
            <v>/</v>
          </cell>
          <cell r="AM751" t="str">
            <v>Xuan En Yisheng Tea Cooperative</v>
          </cell>
        </row>
        <row r="752">
          <cell r="A752" t="str">
            <v>TV6602</v>
          </cell>
          <cell r="B752"/>
          <cell r="C752" t="str">
            <v>X</v>
          </cell>
          <cell r="D752"/>
          <cell r="E752"/>
          <cell r="F752"/>
          <cell r="G752"/>
          <cell r="H752" t="str">
            <v>LES GRANDS CLASSIQUES</v>
          </cell>
          <cell r="I752"/>
          <cell r="J752" t="str">
            <v>Vert de Chine</v>
          </cell>
          <cell r="K752" t="str">
            <v>Chun Xiang
Senteurs printanières</v>
          </cell>
          <cell r="L752" t="str">
            <v>Thé vert d'origine</v>
          </cell>
          <cell r="M752" t="str">
            <v>Chine - Hubei</v>
          </cell>
          <cell r="N752" t="str">
            <v>AB</v>
          </cell>
          <cell r="O752" t="str">
            <v>WFTO</v>
          </cell>
          <cell r="P752" t="str">
            <v>/</v>
          </cell>
          <cell r="Q752" t="str">
            <v>/</v>
          </cell>
          <cell r="R752" t="str">
            <v>/</v>
          </cell>
          <cell r="S752" t="str">
            <v>/</v>
          </cell>
          <cell r="T752" t="str">
            <v>Agriculture Chine</v>
          </cell>
          <cell r="U752"/>
          <cell r="V752" t="str">
            <v>Ce thé vert printanier récolté dans la province montagneuse du Hubei est représentatif du savoir-faire millénaire du pays berceau du thé. L’infusion jaune citron est d’une belle ampleur aromatique. Après une attaque sur des notes torréfiées, elle libère des saveurs lactées et de fruit à coque évoquant avec gourmandise le beurre de cacahuète.</v>
          </cell>
          <cell r="W752" t="str">
            <v>S21</v>
          </cell>
          <cell r="X752" t="str">
            <v>Ce thé vert printanier récolté dans la province montagneuse du Hubei est représentatif du savoir-faire millénaire du pays berceau du thé. Son infusion jaune citron offre une attaque sur des notes torréfiées, puis libère des saveurs lactées et de fruit à coque tout en gourmandise.</v>
          </cell>
          <cell r="Y752"/>
          <cell r="Z752" t="str">
            <v xml:space="preserve">Ingrédient : thé vert*. *Issu de l'agriculture biologique. </v>
          </cell>
          <cell r="AA752" t="str">
            <v>/</v>
          </cell>
          <cell r="AB752" t="str">
            <v>Membre certifié World Fair Trade Organization, Les Jardins de Gaïa s’engagent pour un commerce plus juste et répondent aux exigences du commerce équitable. Pour en savoir plus : www.wfto.com.</v>
          </cell>
          <cell r="AC752">
            <v>100</v>
          </cell>
          <cell r="AD752" t="str">
            <v>3</v>
          </cell>
          <cell r="AE752">
            <v>85</v>
          </cell>
          <cell r="AF752">
            <v>2</v>
          </cell>
          <cell r="AG752">
            <v>50</v>
          </cell>
          <cell r="AH752">
            <v>3582810366028</v>
          </cell>
          <cell r="AI752" t="str">
            <v>/</v>
          </cell>
          <cell r="AJ752" t="str">
            <v>ETVN660</v>
          </cell>
          <cell r="AK752" t="str">
            <v>ETVN660V5</v>
          </cell>
          <cell r="AL752" t="str">
            <v>ETCVN6602V5</v>
          </cell>
          <cell r="AM752" t="str">
            <v>Xuan En Yisheng Tea Cooperative</v>
          </cell>
        </row>
        <row r="753">
          <cell r="A753" t="str">
            <v>TV6611</v>
          </cell>
          <cell r="B753"/>
          <cell r="C753"/>
          <cell r="D753"/>
          <cell r="E753"/>
          <cell r="F753"/>
          <cell r="G753"/>
          <cell r="H753" t="str">
            <v>LES GRANDS CLASSIQUES</v>
          </cell>
          <cell r="I753"/>
          <cell r="J753" t="str">
            <v>Vert de printemps</v>
          </cell>
          <cell r="K753" t="str">
            <v>/</v>
          </cell>
          <cell r="L753" t="str">
            <v>Thé vert d'origine</v>
          </cell>
          <cell r="M753" t="str">
            <v>Chine - Hubei</v>
          </cell>
          <cell r="N753" t="str">
            <v>AB</v>
          </cell>
          <cell r="O753" t="str">
            <v>WFTO</v>
          </cell>
          <cell r="P753" t="str">
            <v>/</v>
          </cell>
          <cell r="Q753" t="str">
            <v>/</v>
          </cell>
          <cell r="R753" t="str">
            <v>/</v>
          </cell>
          <cell r="S753" t="str">
            <v>/</v>
          </cell>
          <cell r="T753" t="str">
            <v>Agriculture Chine</v>
          </cell>
          <cell r="U753"/>
          <cell r="V753" t="str">
            <v>Ce succulent thé vert chinois est le fruit d’une récolte printanière au cœur du terroir d’Enshi, réputé pour ses sols riches en oligo-éléments et son climat de montagne favorable à l’épanouissement des théiers. Après une attaque citronnée tout en fraîcheur, sa liqueur limpide et souple en bouche offre des saveurs complexes de légumes verts cuits qui se développent lentement sur un joli fond lacté.</v>
          </cell>
          <cell r="W753" t="str">
            <v>S17</v>
          </cell>
          <cell r="X753" t="str">
            <v>Ce thé vert de Chine est le fruit d’une récolte printanière au cœur du terroir d’Enshi, réputé pour ses sols riches et son climat de montagne favorable à l’épanouissement des théiers. Sa liqueur limpide, fraîche et souple offre des saveurs complexes de légumes verts cuits sur un joli fond lacté.</v>
          </cell>
          <cell r="Y753"/>
          <cell r="Z753" t="str">
            <v xml:space="preserve">Ingrédient : thé vert*. *Issu de l'agriculture biologique. </v>
          </cell>
          <cell r="AA753" t="str">
            <v>/</v>
          </cell>
          <cell r="AB753" t="str">
            <v>Membre certifié World Fair Trade Organization, Les Jardins de Gaïa s’engagent pour un commerce plus juste et répondent aux exigences du commerce équitable. Pour en savoir plus : www.wfto.com.</v>
          </cell>
          <cell r="AC753">
            <v>1.5</v>
          </cell>
          <cell r="AD753" t="str">
            <v>3</v>
          </cell>
          <cell r="AE753">
            <v>80</v>
          </cell>
          <cell r="AF753">
            <v>2</v>
          </cell>
          <cell r="AG753">
            <v>750</v>
          </cell>
          <cell r="AH753">
            <v>3582810366110</v>
          </cell>
          <cell r="AI753" t="str">
            <v>/</v>
          </cell>
          <cell r="AJ753" t="str">
            <v>INTERNE</v>
          </cell>
          <cell r="AK753" t="str">
            <v>INTERNE</v>
          </cell>
          <cell r="AL753" t="str">
            <v>/</v>
          </cell>
          <cell r="AM753" t="str">
            <v>Xuan En Yisheng Tea Cooperative</v>
          </cell>
        </row>
        <row r="754">
          <cell r="A754" t="str">
            <v>TV6612</v>
          </cell>
          <cell r="B754"/>
          <cell r="C754" t="str">
            <v>X</v>
          </cell>
          <cell r="D754" t="str">
            <v>X</v>
          </cell>
          <cell r="E754" t="str">
            <v>X</v>
          </cell>
          <cell r="F754" t="str">
            <v>BRODART</v>
          </cell>
          <cell r="G754"/>
          <cell r="H754" t="str">
            <v>LES GRANDS CLASSIQUES</v>
          </cell>
          <cell r="I754"/>
          <cell r="J754" t="str">
            <v>Vert de printemps</v>
          </cell>
          <cell r="K754" t="str">
            <v>/</v>
          </cell>
          <cell r="L754" t="str">
            <v>Thé vert d'origine</v>
          </cell>
          <cell r="M754" t="str">
            <v>Chine - Hubei</v>
          </cell>
          <cell r="N754" t="str">
            <v>AB</v>
          </cell>
          <cell r="O754" t="str">
            <v>WFTO</v>
          </cell>
          <cell r="P754" t="str">
            <v>/</v>
          </cell>
          <cell r="Q754" t="str">
            <v>/</v>
          </cell>
          <cell r="R754" t="str">
            <v>/</v>
          </cell>
          <cell r="S754" t="str">
            <v>/</v>
          </cell>
          <cell r="T754" t="str">
            <v>Agriculture Chine</v>
          </cell>
          <cell r="U754"/>
          <cell r="V754" t="str">
            <v>Ce succulent thé vert chinois est le fruit d’une récolte printanière au cœur du terroir d’Enshi, réputé pour ses sols riches en oligo-éléments et son climat de montagne favorable à l’épanouissement des théiers. Après une attaque citronnée tout en fraîcheur, sa liqueur limpide et souple en bouche offre des saveurs complexes de légumes verts cuits qui se développent lentement sur un joli fond lacté.</v>
          </cell>
          <cell r="W754" t="str">
            <v>S17</v>
          </cell>
          <cell r="X754" t="str">
            <v>Ce thé vert de Chine est le fruit d’une récolte printanière au cœur du terroir d’Enshi, réputé pour ses sols riches et son climat de montagne favorable à l’épanouissement des théiers. Sa liqueur limpide, fraîche et souple offre des saveurs complexes de légumes verts cuits sur un joli fond lacté.</v>
          </cell>
          <cell r="Y754"/>
          <cell r="Z754" t="str">
            <v xml:space="preserve">Ingrédient : thé vert*. *Issu de l'agriculture biologique. </v>
          </cell>
          <cell r="AA754" t="str">
            <v>/</v>
          </cell>
          <cell r="AB754" t="str">
            <v>Membre certifié World Fair Trade Organization, Les Jardins de Gaïa s’engagent pour un commerce plus juste et répondent aux exigences du commerce équitable. Pour en savoir plus : www.wfto.com.</v>
          </cell>
          <cell r="AC754">
            <v>100</v>
          </cell>
          <cell r="AD754" t="str">
            <v>3</v>
          </cell>
          <cell r="AE754">
            <v>80</v>
          </cell>
          <cell r="AF754">
            <v>2</v>
          </cell>
          <cell r="AG754">
            <v>50</v>
          </cell>
          <cell r="AH754">
            <v>3582810366127</v>
          </cell>
          <cell r="AI754" t="str">
            <v>/</v>
          </cell>
          <cell r="AJ754" t="str">
            <v>ETVN661</v>
          </cell>
          <cell r="AK754" t="str">
            <v>ETVN661V5</v>
          </cell>
          <cell r="AL754" t="str">
            <v>ETCVN6612V5</v>
          </cell>
          <cell r="AM754" t="str">
            <v>Xuan En Yisheng Tea Cooperative</v>
          </cell>
        </row>
        <row r="755">
          <cell r="A755" t="str">
            <v>TV5011</v>
          </cell>
          <cell r="B755"/>
          <cell r="C755"/>
          <cell r="D755"/>
          <cell r="E755"/>
          <cell r="F755"/>
          <cell r="G755"/>
          <cell r="H755" t="str">
            <v>LES GRANDS CLASSIQUES</v>
          </cell>
          <cell r="I755"/>
          <cell r="J755" t="str">
            <v>Vert du Laos</v>
          </cell>
          <cell r="K755" t="str">
            <v>OP</v>
          </cell>
          <cell r="L755" t="str">
            <v>Thé vert d'origine</v>
          </cell>
          <cell r="M755" t="str">
            <v>Laos - Phongsaly</v>
          </cell>
          <cell r="N755" t="str">
            <v>AB</v>
          </cell>
          <cell r="O755" t="str">
            <v>WFTO</v>
          </cell>
          <cell r="P755" t="str">
            <v>/</v>
          </cell>
          <cell r="Q755" t="str">
            <v>/</v>
          </cell>
          <cell r="R755" t="str">
            <v>/</v>
          </cell>
          <cell r="S755" t="str">
            <v>/</v>
          </cell>
          <cell r="T755" t="str">
            <v>Agriculture Laos</v>
          </cell>
          <cell r="U755"/>
          <cell r="V755" t="str">
            <v>Issu de feuilles de théiers anciens semblables à ceux du Yunnan proche, cet excellent thé vert est produit dans la province particulièrement préservée de Phongsaly, au nord du Laos. Sa liqueur jaune citron légèrement lactée libère des saveurs iodées et végétales qui évoquent les légumes verts primeurs. Un thé gourmand pourvu d'une remarquable longueur en bouche.</v>
          </cell>
          <cell r="W755" t="str">
            <v>S16</v>
          </cell>
          <cell r="X755" t="str">
            <v>Issu de feuilles de théiers anciens, ce thé vert est produit dans la province préservée de Phongsaly, au nord du Laos. Sa liqueur jaune citron offre des saveurs végétales, lactées et légèrement iodées qui évoquent les légumes verts primeurs. Un thé gourmand d’une belle longueur en bouche.</v>
          </cell>
          <cell r="Y755"/>
          <cell r="Z755" t="str">
            <v xml:space="preserve">Ingrédient : thé vert*. *Issu de l'agriculture biologique. </v>
          </cell>
          <cell r="AA755" t="str">
            <v>/</v>
          </cell>
          <cell r="AB755" t="str">
            <v>Membre certifié World Fair Trade Organization, Les Jardins de Gaïa s’engagent pour un commerce plus juste et répondent aux exigences du commerce équitable. Pour en savoir plus : www.wfto.com.</v>
          </cell>
          <cell r="AC755">
            <v>1.5</v>
          </cell>
          <cell r="AD755" t="str">
            <v>3</v>
          </cell>
          <cell r="AE755">
            <v>85</v>
          </cell>
          <cell r="AF755">
            <v>2</v>
          </cell>
          <cell r="AG755">
            <v>750</v>
          </cell>
          <cell r="AH755">
            <v>3582810350119</v>
          </cell>
          <cell r="AI755" t="str">
            <v>/</v>
          </cell>
          <cell r="AJ755" t="str">
            <v>INTERNE</v>
          </cell>
          <cell r="AK755" t="str">
            <v>INTERNE</v>
          </cell>
          <cell r="AL755" t="str">
            <v>/</v>
          </cell>
          <cell r="AM755" t="str">
            <v>Phongsaly green tea Factory</v>
          </cell>
        </row>
        <row r="756">
          <cell r="A756" t="str">
            <v>TV5012</v>
          </cell>
          <cell r="B756"/>
          <cell r="C756" t="str">
            <v>X</v>
          </cell>
          <cell r="D756" t="str">
            <v>X</v>
          </cell>
          <cell r="E756" t="str">
            <v>X</v>
          </cell>
          <cell r="F756" t="str">
            <v>BRODART</v>
          </cell>
          <cell r="G756"/>
          <cell r="H756" t="str">
            <v>LES GRANDS CLASSIQUES</v>
          </cell>
          <cell r="I756"/>
          <cell r="J756" t="str">
            <v>Vert du Laos</v>
          </cell>
          <cell r="K756" t="str">
            <v>OP</v>
          </cell>
          <cell r="L756" t="str">
            <v>Thé vert d'origine</v>
          </cell>
          <cell r="M756" t="str">
            <v>Laos - Phongsaly</v>
          </cell>
          <cell r="N756" t="str">
            <v>AB</v>
          </cell>
          <cell r="O756" t="str">
            <v>WFTO</v>
          </cell>
          <cell r="P756" t="str">
            <v>/</v>
          </cell>
          <cell r="Q756" t="str">
            <v>/</v>
          </cell>
          <cell r="R756" t="str">
            <v>/</v>
          </cell>
          <cell r="S756" t="str">
            <v>/</v>
          </cell>
          <cell r="T756" t="str">
            <v>Agriculture Laos</v>
          </cell>
          <cell r="U756"/>
          <cell r="V756" t="str">
            <v>Issu de feuilles de théiers anciens semblables à ceux du Yunnan proche, cet excellent thé vert est produit dans la province particulièrement préservée de Phongsaly, au nord du Laos. Sa liqueur jaune citron légèrement lactée libère des saveurs iodées et végétales qui évoquent les légumes verts primeurs. Un thé gourmand pourvu d'une remarquable longueur en bouche.</v>
          </cell>
          <cell r="W756" t="str">
            <v>S16</v>
          </cell>
          <cell r="X756" t="str">
            <v>Issu de feuilles de théiers anciens, ce thé vert est produit dans la province préservée de Phongsaly, au nord du Laos. Sa liqueur jaune citron offre des saveurs végétales, lactées et légèrement iodées qui évoquent les légumes verts primeurs. Un thé gourmand d’une belle longueur en bouche.</v>
          </cell>
          <cell r="Y756"/>
          <cell r="Z756" t="str">
            <v xml:space="preserve">Ingrédient : thé vert*. *Issu de l'agriculture biologique. </v>
          </cell>
          <cell r="AA756" t="str">
            <v>/</v>
          </cell>
          <cell r="AB756" t="str">
            <v>Membre certifié World Fair Trade Organization, Les Jardins de Gaïa s’engagent pour un commerce plus juste et répondent aux exigences du commerce équitable. Pour en savoir plus : www.wfto.com.</v>
          </cell>
          <cell r="AC756">
            <v>90</v>
          </cell>
          <cell r="AD756" t="str">
            <v>3</v>
          </cell>
          <cell r="AE756">
            <v>85</v>
          </cell>
          <cell r="AF756">
            <v>2</v>
          </cell>
          <cell r="AG756">
            <v>45</v>
          </cell>
          <cell r="AH756">
            <v>3582810350126</v>
          </cell>
          <cell r="AI756" t="str">
            <v>/</v>
          </cell>
          <cell r="AJ756" t="str">
            <v>ETVN501</v>
          </cell>
          <cell r="AK756" t="str">
            <v>ETVN501V5</v>
          </cell>
          <cell r="AL756" t="str">
            <v>ETCVN5012V5</v>
          </cell>
          <cell r="AM756" t="str">
            <v>Phongsaly green tea Factory</v>
          </cell>
        </row>
        <row r="757">
          <cell r="A757" t="str">
            <v>TH2201</v>
          </cell>
          <cell r="B757"/>
          <cell r="C757"/>
          <cell r="D757"/>
          <cell r="E757"/>
          <cell r="F757"/>
          <cell r="G757"/>
          <cell r="H757" t="str">
            <v>LES BIENFAITRICES</v>
          </cell>
          <cell r="I757" t="str">
            <v>LES INFUSIONS DE PLANTES</v>
          </cell>
          <cell r="J757" t="str">
            <v>Verveine</v>
          </cell>
          <cell r="K757" t="str">
            <v>Fortifiante</v>
          </cell>
          <cell r="L757" t="str">
            <v>Infusion de plante</v>
          </cell>
          <cell r="M757" t="str">
            <v>Portugal</v>
          </cell>
          <cell r="N757" t="str">
            <v>AB</v>
          </cell>
          <cell r="O757" t="str">
            <v>/</v>
          </cell>
          <cell r="P757" t="str">
            <v>/</v>
          </cell>
          <cell r="Q757" t="str">
            <v>/</v>
          </cell>
          <cell r="R757" t="str">
            <v>/</v>
          </cell>
          <cell r="S757" t="str">
            <v>/</v>
          </cell>
          <cell r="T757" t="str">
            <v>Agriculture UE</v>
          </cell>
          <cell r="U757"/>
          <cell r="V757" t="str">
            <v>Grande séductrice des papilles, la verveine est appréciée des pâtissiers pour ses saveurs gourmandes autant que des herboristes pour ses nombreuses vertus. Propriétés antioxydantes, favorables au système immunitaire, au bien-être général, à la souplesse articulaire, au soulagement des effets des cycles prémenstruels et de la ménopause, la liste de ses qualités est longue… Une plante aussi savoureuse qu'indispensable à la maison !</v>
          </cell>
          <cell r="W757" t="str">
            <v>S13</v>
          </cell>
          <cell r="X757" t="str">
            <v>Grande séductrice des papilles, la verveine produit une infusion savoureuse aux propriétés antioxydantes, favorables au système immunitaire, au bien-être général, à la souplesse articulaire, au soulagement des effets des cycles prémenstruels et de la ménopause. Une plante indispensable à la maison !</v>
          </cell>
          <cell r="Y757"/>
          <cell r="Z757" t="str">
            <v>Ingrédient : verveine odorante* (Aloysia citrodora). *Issu de l'agriculture biologique.</v>
          </cell>
          <cell r="AA757"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757" t="str">
            <v>/</v>
          </cell>
          <cell r="AC757">
            <v>200</v>
          </cell>
          <cell r="AD757" t="str">
            <v>5-10</v>
          </cell>
          <cell r="AE757">
            <v>95</v>
          </cell>
          <cell r="AF757">
            <v>2</v>
          </cell>
          <cell r="AG757">
            <v>100</v>
          </cell>
          <cell r="AH757">
            <v>3582811022015</v>
          </cell>
          <cell r="AI757" t="str">
            <v>/</v>
          </cell>
          <cell r="AJ757" t="str">
            <v>INTERNE</v>
          </cell>
          <cell r="AK757" t="str">
            <v>INTERNE</v>
          </cell>
          <cell r="AL757" t="str">
            <v>/</v>
          </cell>
          <cell r="AM757" t="str">
            <v>Carlos</v>
          </cell>
        </row>
        <row r="758">
          <cell r="A758" t="str">
            <v>TH220</v>
          </cell>
          <cell r="B758"/>
          <cell r="C758" t="str">
            <v>X</v>
          </cell>
          <cell r="D758" t="str">
            <v>X</v>
          </cell>
          <cell r="E758"/>
          <cell r="F758" t="str">
            <v>GRAI</v>
          </cell>
          <cell r="G758">
            <v>45408</v>
          </cell>
          <cell r="H758" t="str">
            <v>LES BIENFAITRICES</v>
          </cell>
          <cell r="I758" t="str">
            <v>LES INFUSIONS DE PLANTES</v>
          </cell>
          <cell r="J758" t="str">
            <v>Verveine</v>
          </cell>
          <cell r="K758" t="str">
            <v>Fortifiante</v>
          </cell>
          <cell r="L758" t="str">
            <v>Infusion de plante</v>
          </cell>
          <cell r="M758" t="str">
            <v>Portugal</v>
          </cell>
          <cell r="N758" t="str">
            <v>AB</v>
          </cell>
          <cell r="O758" t="str">
            <v>/</v>
          </cell>
          <cell r="P758" t="str">
            <v>/</v>
          </cell>
          <cell r="Q758" t="str">
            <v>/</v>
          </cell>
          <cell r="R758" t="str">
            <v>/</v>
          </cell>
          <cell r="S758" t="str">
            <v>/</v>
          </cell>
          <cell r="T758" t="str">
            <v>Agriculture UE</v>
          </cell>
          <cell r="U758"/>
          <cell r="V758" t="str">
            <v>Grande séductrice des papilles, la verveine est appréciée des pâtissiers pour ses saveurs gourmandes autant que des herboristes pour ses nombreuses vertus. Propriétés antioxydantes, favorables au système immunitaire, au bien-être général, à la souplesse articulaire, au soulagement des effets des cycles prémenstruels et de la ménopause, la liste de ses qualités est longue… Une plante aussi savoureuse qu'indispensable à la maison !</v>
          </cell>
          <cell r="W758" t="str">
            <v>S13</v>
          </cell>
          <cell r="X758" t="str">
            <v>Grande séductrice des papilles, la verveine produit une infusion savoureuse aux propriétés antioxydantes, favorables au système immunitaire, au bien-être général, à la souplesse articulaire, au soulagement des effets des cycles prémenstruels et de la ménopause. Une plante indispensable à la maison !</v>
          </cell>
          <cell r="Y758"/>
          <cell r="Z758" t="str">
            <v>Ingrédient : verveine odorante* (Aloysia citrodora). *Issu de l'agriculture biologique.</v>
          </cell>
          <cell r="AA758"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758" t="str">
            <v>/</v>
          </cell>
          <cell r="AC758">
            <v>30</v>
          </cell>
          <cell r="AD758" t="str">
            <v>5-10</v>
          </cell>
          <cell r="AE758">
            <v>95</v>
          </cell>
          <cell r="AF758">
            <v>2</v>
          </cell>
          <cell r="AG758">
            <v>15</v>
          </cell>
          <cell r="AH758">
            <v>3582811002208</v>
          </cell>
          <cell r="AI758" t="str">
            <v>/</v>
          </cell>
          <cell r="AJ758" t="str">
            <v>ETHN2200V5</v>
          </cell>
          <cell r="AK758" t="str">
            <v>ETHN2200V5</v>
          </cell>
          <cell r="AL758" t="str">
            <v>/</v>
          </cell>
          <cell r="AM758" t="str">
            <v>Carlos</v>
          </cell>
        </row>
        <row r="759">
          <cell r="A759" t="str">
            <v>TH2645</v>
          </cell>
          <cell r="B759"/>
          <cell r="C759"/>
          <cell r="D759"/>
          <cell r="E759"/>
          <cell r="F759"/>
          <cell r="G759"/>
          <cell r="H759" t="str">
            <v>LES BIENFAITRICES</v>
          </cell>
          <cell r="I759" t="str">
            <v>LES INFUSIONS DE PLANTES</v>
          </cell>
          <cell r="J759" t="str">
            <v>Vigne rouge</v>
          </cell>
          <cell r="K759" t="str">
            <v>Circulation</v>
          </cell>
          <cell r="L759" t="str">
            <v>Infusion de plante</v>
          </cell>
          <cell r="M759" t="str">
            <v>France</v>
          </cell>
          <cell r="N759" t="str">
            <v>AB</v>
          </cell>
          <cell r="O759" t="str">
            <v>/</v>
          </cell>
          <cell r="P759" t="str">
            <v>/</v>
          </cell>
          <cell r="Q759" t="str">
            <v>/</v>
          </cell>
          <cell r="R759" t="str">
            <v>/</v>
          </cell>
          <cell r="S759" t="str">
            <v>/</v>
          </cell>
          <cell r="T759" t="str">
            <v>Agriculture UE</v>
          </cell>
          <cell r="U759"/>
          <cell r="V759" t="str">
            <v>Son splendide rougissement en automne rappelle celui des érables… Depuis la nuit des temps, la vigne rouge est cultivée pour ses bienfaits. Douce et agréable, l’infusion de ses feuilles riches en polyphénols favorise la circulation sanguine et réduit la sensation de fatigue dans les jambes. À boire tout au long de la journée pour conserver des veines saines et toniques !</v>
          </cell>
          <cell r="W759" t="str">
            <v>S13</v>
          </cell>
          <cell r="X759" t="str">
            <v>Connue et appréciée depuis la nuit des temps, la vigne rouge aux feuilles gorgées de polyphénols offre une infusion douce et végétale qui favorise la circulation sanguine et réduit la sensation de fatigue dans les jambes. À boire tout au long de la journée pour prendre soin de ses veines !</v>
          </cell>
          <cell r="Y759"/>
          <cell r="Z759" t="str">
            <v>Ingrédient : vigne rouge* (Vitis vinifera). *Issu de l’agriculture biologique.</v>
          </cell>
          <cell r="AA759"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759" t="str">
            <v>/</v>
          </cell>
          <cell r="AC759">
            <v>500</v>
          </cell>
          <cell r="AD759" t="str">
            <v>5-10</v>
          </cell>
          <cell r="AE759">
            <v>95</v>
          </cell>
          <cell r="AF759">
            <v>2</v>
          </cell>
          <cell r="AG759">
            <v>250</v>
          </cell>
          <cell r="AH759">
            <v>3582811026457</v>
          </cell>
          <cell r="AI759" t="str">
            <v>/</v>
          </cell>
          <cell r="AJ759" t="str">
            <v>INTERNE</v>
          </cell>
          <cell r="AK759" t="str">
            <v>INTERNE</v>
          </cell>
          <cell r="AL759" t="str">
            <v>/</v>
          </cell>
          <cell r="AM759" t="str">
            <v>Coopérative Siccarappam</v>
          </cell>
        </row>
        <row r="760">
          <cell r="A760" t="str">
            <v>TH2646</v>
          </cell>
          <cell r="B760"/>
          <cell r="C760" t="str">
            <v>X</v>
          </cell>
          <cell r="D760" t="str">
            <v>X</v>
          </cell>
          <cell r="E760"/>
          <cell r="F760" t="str">
            <v>GRAI</v>
          </cell>
          <cell r="G760">
            <v>45408</v>
          </cell>
          <cell r="H760" t="str">
            <v>LES BIENFAITRICES</v>
          </cell>
          <cell r="I760" t="str">
            <v>LES INFUSIONS DE PLANTES</v>
          </cell>
          <cell r="J760" t="str">
            <v>Vigne rouge</v>
          </cell>
          <cell r="K760" t="str">
            <v>Circulation</v>
          </cell>
          <cell r="L760" t="str">
            <v>Infusion de plante</v>
          </cell>
          <cell r="M760" t="str">
            <v>France</v>
          </cell>
          <cell r="N760" t="str">
            <v>AB</v>
          </cell>
          <cell r="O760" t="str">
            <v>/</v>
          </cell>
          <cell r="P760" t="str">
            <v>/</v>
          </cell>
          <cell r="Q760" t="str">
            <v>/</v>
          </cell>
          <cell r="R760" t="str">
            <v>/</v>
          </cell>
          <cell r="S760" t="str">
            <v>/</v>
          </cell>
          <cell r="T760" t="str">
            <v>Agriculture UE</v>
          </cell>
          <cell r="U760"/>
          <cell r="V760" t="str">
            <v>Son splendide rougissement en automne rappelle celui des érables… Depuis la nuit des temps, la vigne rouge est cultivée pour ses bienfaits. Douce et agréable, l’infusion de ses feuilles riches en polyphénols favorise la circulation sanguine et réduit la sensation de fatigue dans les jambes. À boire tout au long de la journée pour conserver des veines saines et toniques !</v>
          </cell>
          <cell r="W760" t="str">
            <v>S13</v>
          </cell>
          <cell r="X760" t="str">
            <v>Connue et appréciée depuis la nuit des temps, la vigne rouge aux feuilles gorgées de polyphénols offre une infusion douce et végétale qui favorise la circulation sanguine et réduit la sensation de fatigue dans les jambes. À boire tout au long de la journée pour prendre soin de ses veines !</v>
          </cell>
          <cell r="Y760"/>
          <cell r="Z760" t="str">
            <v>Ingrédient : vigne rouge* (Vitis vinifera). *Issu de l’agriculture biologique.</v>
          </cell>
          <cell r="AA760" t="str">
            <v>Consommation journalière conseillée : 3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760" t="str">
            <v>/</v>
          </cell>
          <cell r="AC760">
            <v>50</v>
          </cell>
          <cell r="AD760" t="str">
            <v>5-10</v>
          </cell>
          <cell r="AE760">
            <v>95</v>
          </cell>
          <cell r="AF760">
            <v>2</v>
          </cell>
          <cell r="AG760">
            <v>25</v>
          </cell>
          <cell r="AH760">
            <v>3582811026464</v>
          </cell>
          <cell r="AI760" t="str">
            <v>/</v>
          </cell>
          <cell r="AJ760" t="str">
            <v>ETHN2640V5</v>
          </cell>
          <cell r="AK760" t="str">
            <v>ETHN2640V5</v>
          </cell>
          <cell r="AL760" t="str">
            <v>/</v>
          </cell>
          <cell r="AM760" t="str">
            <v>Coopérative Siccarappam</v>
          </cell>
        </row>
        <row r="761">
          <cell r="A761" t="str">
            <v>TH5191</v>
          </cell>
          <cell r="B761"/>
          <cell r="C761"/>
          <cell r="D761"/>
          <cell r="E761"/>
          <cell r="F761"/>
          <cell r="G761"/>
          <cell r="H761" t="str">
            <v>LES BIENFAITRICES</v>
          </cell>
          <cell r="I761" t="str">
            <v>LES INFUSIONS DE PLANTES</v>
          </cell>
          <cell r="J761" t="str">
            <v>Vitalité</v>
          </cell>
          <cell r="K761" t="str">
            <v>Maté
Stimulante et drainante</v>
          </cell>
          <cell r="L761" t="str">
            <v>Infusion de plantes</v>
          </cell>
          <cell r="M761" t="str">
            <v>/</v>
          </cell>
          <cell r="N761" t="str">
            <v>AB</v>
          </cell>
          <cell r="O761" t="str">
            <v>/</v>
          </cell>
          <cell r="P761" t="str">
            <v>/</v>
          </cell>
          <cell r="Q761" t="str">
            <v>/</v>
          </cell>
          <cell r="R761" t="str">
            <v>/</v>
          </cell>
          <cell r="S761" t="str">
            <v>/</v>
          </cell>
          <cell r="T761" t="str">
            <v xml:space="preserve">Agriculture UE/non UE
</v>
          </cell>
          <cell r="U761"/>
          <cell r="V761" t="str">
            <v>Cette recette revitalisante et rafraîchissante est à l'image de ses saveurs pétillantes ! Son action drainante aide à retrouver la ligne en se désaltérant avec plaisir. Une excellente compagne pour traverser les intersaisons !</v>
          </cell>
          <cell r="W761" t="str">
            <v>S13</v>
          </cell>
          <cell r="X761" t="str">
            <v>Cette tisane revitalisante et rafraîchissante est à l'image de ses saveurs pétillantes aux jolies notes herbacées et citronnées ! Son action drainante aide à retrouver la ligne en se désaltérant avec plaisir. Une excellente compagne pour traverser les intersaisons !</v>
          </cell>
          <cell r="Y761"/>
          <cell r="Z761" t="str">
            <v>Ingrédients : maté* 30% (Ilex paraguariensis), lemongrass* (Cymbopogon citratus), morceaux de pomme* (Malus domestica), hysope* (Hyssopus officinalis), amarante* (Gomphrena globosa). *Issu de l'agriculture biologique.</v>
          </cell>
          <cell r="AA761" t="str">
            <v>Consommation journalière conseillée : 5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761" t="str">
            <v>/</v>
          </cell>
          <cell r="AC761" t="str">
            <v>?</v>
          </cell>
          <cell r="AD761" t="str">
            <v>5-10</v>
          </cell>
          <cell r="AE761">
            <v>95</v>
          </cell>
          <cell r="AF761">
            <v>2</v>
          </cell>
          <cell r="AG761" t="str">
            <v>?</v>
          </cell>
          <cell r="AH761" t="str">
            <v>?</v>
          </cell>
          <cell r="AI761" t="str">
            <v>/</v>
          </cell>
          <cell r="AJ761" t="str">
            <v>INTERNE</v>
          </cell>
          <cell r="AK761" t="str">
            <v>INTERNE</v>
          </cell>
          <cell r="AL761" t="str">
            <v>/</v>
          </cell>
          <cell r="AM761" t="str">
            <v>Sonnentor</v>
          </cell>
        </row>
        <row r="762">
          <cell r="A762" t="str">
            <v>TH519</v>
          </cell>
          <cell r="B762"/>
          <cell r="C762" t="str">
            <v>X</v>
          </cell>
          <cell r="D762" t="str">
            <v>X</v>
          </cell>
          <cell r="E762"/>
          <cell r="F762" t="str">
            <v>GRAI</v>
          </cell>
          <cell r="G762">
            <v>45408</v>
          </cell>
          <cell r="H762" t="str">
            <v>LES BIENFAITRICES</v>
          </cell>
          <cell r="I762" t="str">
            <v>LES INFUSIONS DE PLANTES</v>
          </cell>
          <cell r="J762" t="str">
            <v>Vitalité</v>
          </cell>
          <cell r="K762" t="str">
            <v>Maté
Stimulante et drainante</v>
          </cell>
          <cell r="L762" t="str">
            <v>Infusion de plantes</v>
          </cell>
          <cell r="M762" t="str">
            <v>/</v>
          </cell>
          <cell r="N762" t="str">
            <v>AB</v>
          </cell>
          <cell r="O762" t="str">
            <v>/</v>
          </cell>
          <cell r="P762" t="str">
            <v>/</v>
          </cell>
          <cell r="Q762" t="str">
            <v>/</v>
          </cell>
          <cell r="R762" t="str">
            <v>/</v>
          </cell>
          <cell r="S762" t="str">
            <v>/</v>
          </cell>
          <cell r="T762" t="str">
            <v xml:space="preserve">Agriculture UE/non UE
</v>
          </cell>
          <cell r="U762"/>
          <cell r="V762" t="str">
            <v>Cette recette revitalisante et rafraîchissante est à l'image de ses saveurs pétillantes ! Son action drainante aide à retrouver la ligne en se désaltérant avec plaisir. Une excellente compagne pour traverser les intersaisons !</v>
          </cell>
          <cell r="W762" t="str">
            <v>S13</v>
          </cell>
          <cell r="X762" t="str">
            <v>Cette tisane revitalisante et rafraîchissante est à l'image de ses saveurs pétillantes aux jolies notes herbacées et citronnées ! Son action drainante aide à retrouver la ligne en se désaltérant avec plaisir. Une excellente compagne pour traverser les intersaisons !</v>
          </cell>
          <cell r="Y762"/>
          <cell r="Z762" t="str">
            <v>Ingrédients : maté* 30% (Ilex paraguariensis), lemongrass* (Cymbopogon citratus), morceaux de pomme* (Malus domestica), hysope* (Hyssopus officinalis), amarante* (Gomphrena globosa). *Issu de l'agriculture biologique.</v>
          </cell>
          <cell r="AA762" t="str">
            <v>Consommation journalière conseillée : 5 tasses de 25 cl.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762" t="str">
            <v>/</v>
          </cell>
          <cell r="AC762">
            <v>100</v>
          </cell>
          <cell r="AD762" t="str">
            <v>5-10</v>
          </cell>
          <cell r="AE762">
            <v>95</v>
          </cell>
          <cell r="AF762">
            <v>2</v>
          </cell>
          <cell r="AG762">
            <v>50</v>
          </cell>
          <cell r="AH762">
            <v>3582811005193</v>
          </cell>
          <cell r="AI762" t="str">
            <v>/</v>
          </cell>
          <cell r="AJ762" t="str">
            <v>ETHN5190V5</v>
          </cell>
          <cell r="AK762" t="str">
            <v>ETHN5190V5</v>
          </cell>
          <cell r="AL762" t="str">
            <v>/</v>
          </cell>
          <cell r="AM762" t="str">
            <v>Sonnentor</v>
          </cell>
        </row>
        <row r="763">
          <cell r="A763" t="str">
            <v>TA9031</v>
          </cell>
          <cell r="B763"/>
          <cell r="C763"/>
          <cell r="D763"/>
          <cell r="E763"/>
          <cell r="F763"/>
          <cell r="G763"/>
          <cell r="H763" t="str">
            <v>LES GRANDS CLASSIQUES</v>
          </cell>
          <cell r="I763"/>
          <cell r="J763" t="str">
            <v>Volupté d’Orient</v>
          </cell>
          <cell r="K763" t="str">
            <v>Saveur fleur d'oranger</v>
          </cell>
          <cell r="L763" t="str">
            <v>Thé wulong aromatisé</v>
          </cell>
          <cell r="M763" t="str">
            <v>Chine</v>
          </cell>
          <cell r="N763" t="str">
            <v>AB</v>
          </cell>
          <cell r="O763" t="str">
            <v>WFTO</v>
          </cell>
          <cell r="P763" t="str">
            <v>/</v>
          </cell>
          <cell r="Q763" t="str">
            <v>/</v>
          </cell>
          <cell r="R763" t="str">
            <v>/</v>
          </cell>
          <cell r="S763" t="str">
            <v>/</v>
          </cell>
          <cell r="T763" t="str">
            <v>Agriculture UE/non UE</v>
          </cell>
          <cell r="U763"/>
          <cell r="V763" t="str">
            <v>Fermez les yeux, portez cette savoureuse liqueur à vos lèvres et laissez-vous emporter par la magie de la fleur d’oranger… Sur sa base de wulong, cette création délivre d’enivrantes saveurs florales et sucrées accompagnées d'une pointe d'amertume qui rappellent avec gourmandise la douceur de certaines pâtisseries orientales.</v>
          </cell>
          <cell r="W763" t="str">
            <v>S21</v>
          </cell>
          <cell r="X763" t="str">
            <v>Laissez-vous charmer par les parfums enivrants de la fleur d’oranger avec cette création à base de thé wulong. Ses saveurs florales et gourmandes mises en valeur par une touche d'amertume évoquent avec gourmandise la douceur de certaines pâtisseries orientales. Pour des instants voluptueux !</v>
          </cell>
          <cell r="Y763"/>
          <cell r="Z763" t="str">
            <v>Ingrédients : thé wulong*, arôme naturel de fleur d'oranger* 10%, écorces et feuilles de bigaradier*, pétales de souci*. *Issu de l'agriculture biologique.</v>
          </cell>
          <cell r="AA763" t="str">
            <v>/</v>
          </cell>
          <cell r="AB763" t="str">
            <v>Membre certifié World Fair Trade Organization, Les Jardins de Gaïa s’engagent pour un commerce plus juste et répondent aux exigences du commerce équitable. Pour en savoir plus : www.wfto.com.</v>
          </cell>
          <cell r="AC763">
            <v>1.5</v>
          </cell>
          <cell r="AD763" t="str">
            <v>3-4</v>
          </cell>
          <cell r="AE763" t="str">
            <v>90-95</v>
          </cell>
          <cell r="AF763">
            <v>2</v>
          </cell>
          <cell r="AG763">
            <v>750</v>
          </cell>
          <cell r="AH763">
            <v>3582810790311</v>
          </cell>
          <cell r="AI763" t="str">
            <v>/</v>
          </cell>
          <cell r="AJ763" t="str">
            <v>INTERNE</v>
          </cell>
          <cell r="AK763" t="str">
            <v>INTERNE</v>
          </cell>
          <cell r="AL763" t="str">
            <v>/</v>
          </cell>
          <cell r="AM763" t="str">
            <v>Création maison</v>
          </cell>
        </row>
        <row r="764">
          <cell r="A764" t="str">
            <v>TA9036</v>
          </cell>
          <cell r="B764"/>
          <cell r="C764" t="str">
            <v>X</v>
          </cell>
          <cell r="D764"/>
          <cell r="E764"/>
          <cell r="F764"/>
          <cell r="G764"/>
          <cell r="H764" t="str">
            <v>LES GRANDS CLASSIQUES</v>
          </cell>
          <cell r="I764"/>
          <cell r="J764" t="str">
            <v>Volupté d’Orient</v>
          </cell>
          <cell r="K764" t="str">
            <v>Saveur fleur d'oranger</v>
          </cell>
          <cell r="L764" t="str">
            <v>Thé wulong aromatisé</v>
          </cell>
          <cell r="M764" t="str">
            <v>Chine</v>
          </cell>
          <cell r="N764" t="str">
            <v>AB</v>
          </cell>
          <cell r="O764" t="str">
            <v>WFTO</v>
          </cell>
          <cell r="P764" t="str">
            <v>/</v>
          </cell>
          <cell r="Q764" t="str">
            <v>/</v>
          </cell>
          <cell r="R764" t="str">
            <v>/</v>
          </cell>
          <cell r="S764" t="str">
            <v>/</v>
          </cell>
          <cell r="T764" t="str">
            <v>Agriculture UE/non UE</v>
          </cell>
          <cell r="U764"/>
          <cell r="V764" t="str">
            <v>Fermez les yeux, portez cette savoureuse liqueur à vos lèvres et laissez-vous emporter par la magie de la fleur d’oranger… Sur sa base de wulong, cette création délivre d’enivrantes saveurs florales et sucrées accompagnées d'une pointe d'amertume qui rappellent avec gourmandise la douceur de certaines pâtisseries orientales.</v>
          </cell>
          <cell r="W764" t="str">
            <v>S21</v>
          </cell>
          <cell r="X764" t="str">
            <v>Laissez-vous charmer par les parfums enivrants de la fleur d’oranger avec cette création à base de thé wulong. Ses saveurs florales et gourmandes mises en valeur par une touche d'amertume évoquent avec gourmandise la douceur de certaines pâtisseries orientales. Pour des instants voluptueux !</v>
          </cell>
          <cell r="Y764"/>
          <cell r="Z764" t="str">
            <v>Ingrédients : thé wulong*, arôme naturel de fleur d'oranger* 10%, écorces et feuilles de bigaradier*, pétales de souci*. *Issu de l'agriculture biologique.</v>
          </cell>
          <cell r="AA764" t="str">
            <v>/</v>
          </cell>
          <cell r="AB764" t="str">
            <v>Membre certifié World Fair Trade Organization, Les Jardins de Gaïa s’engagent pour un commerce plus juste et répondent aux exigences du commerce équitable. Pour en savoir plus : www.wfto.com.</v>
          </cell>
          <cell r="AC764">
            <v>70</v>
          </cell>
          <cell r="AD764" t="str">
            <v>3-4</v>
          </cell>
          <cell r="AE764" t="str">
            <v>90-95</v>
          </cell>
          <cell r="AF764">
            <v>2</v>
          </cell>
          <cell r="AG764">
            <v>35</v>
          </cell>
          <cell r="AH764">
            <v>3582810790366</v>
          </cell>
          <cell r="AI764" t="str">
            <v>/</v>
          </cell>
          <cell r="AJ764" t="str">
            <v>ETOA903V5</v>
          </cell>
          <cell r="AK764" t="str">
            <v>ETOA903V5</v>
          </cell>
          <cell r="AL764" t="str">
            <v>ETCOA9036V5</v>
          </cell>
          <cell r="AM764" t="str">
            <v>Création maison</v>
          </cell>
        </row>
        <row r="765">
          <cell r="A765" t="str">
            <v>TN5495</v>
          </cell>
          <cell r="B765"/>
          <cell r="C765"/>
          <cell r="D765"/>
          <cell r="E765"/>
          <cell r="F765"/>
          <cell r="G765"/>
          <cell r="H765" t="str">
            <v>LES GRAND CRUS</v>
          </cell>
          <cell r="I765"/>
          <cell r="J765" t="str">
            <v>Waikato Melody</v>
          </cell>
          <cell r="K765" t="str">
            <v>/</v>
          </cell>
          <cell r="L765" t="str">
            <v>Thé noir d'origine</v>
          </cell>
          <cell r="M765" t="str">
            <v>Nouvelle-Zélande - Waikato</v>
          </cell>
          <cell r="N765" t="str">
            <v>AB</v>
          </cell>
          <cell r="O765" t="str">
            <v>/</v>
          </cell>
          <cell r="P765" t="str">
            <v>/</v>
          </cell>
          <cell r="Q765" t="str">
            <v>/</v>
          </cell>
          <cell r="R765" t="str">
            <v>/</v>
          </cell>
          <cell r="S765" t="str">
            <v>/</v>
          </cell>
          <cell r="T765" t="str">
            <v>Agriculture Nouvelle-Zélande</v>
          </cell>
          <cell r="U765"/>
          <cell r="V765" t="str">
            <v>Terroir exceptionnel. Infusion aux notes de fruits jaunes compotés sur fond acidulé, minéral et effervescent.</v>
          </cell>
          <cell r="W765" t="str">
            <v>S26</v>
          </cell>
          <cell r="X765" t="str">
            <v>Elaboré dans la région préservée de Waikato au nord de la Nouvelle-Zélande, ce grand cru de thé noir est d’une richesse organoleptique exceptionnelle. Son infusion souple en bouche délivre des saveurs gourmandes de fruits jaunes compotés au sucre roux, relevé de notes acidulées et effervescentes.</v>
          </cell>
          <cell r="Y765"/>
          <cell r="Z765" t="str">
            <v>Ingrédient : thé noir*. *Issu de l'agriculture biologique.</v>
          </cell>
          <cell r="AA765" t="str">
            <v>/</v>
          </cell>
          <cell r="AB765" t="str">
            <v>/</v>
          </cell>
          <cell r="AC765">
            <v>500</v>
          </cell>
          <cell r="AD765" t="str">
            <v>4-5</v>
          </cell>
          <cell r="AE765">
            <v>95</v>
          </cell>
          <cell r="AF765">
            <v>2</v>
          </cell>
          <cell r="AG765">
            <v>250</v>
          </cell>
          <cell r="AH765">
            <v>3582810254950</v>
          </cell>
          <cell r="AI765" t="str">
            <v>Plusieurs infusions</v>
          </cell>
          <cell r="AJ765" t="str">
            <v>INTERNE</v>
          </cell>
          <cell r="AK765" t="str">
            <v>INTERNE</v>
          </cell>
          <cell r="AL765" t="str">
            <v>/</v>
          </cell>
          <cell r="AM765" t="str">
            <v>Zealong Tea Estate LTD</v>
          </cell>
        </row>
        <row r="766">
          <cell r="A766" t="str">
            <v>TN5492</v>
          </cell>
          <cell r="B766"/>
          <cell r="C766"/>
          <cell r="D766"/>
          <cell r="E766"/>
          <cell r="F766"/>
          <cell r="G766"/>
          <cell r="H766" t="str">
            <v>LES GRAND CRUS</v>
          </cell>
          <cell r="I766"/>
          <cell r="J766" t="str">
            <v>Waikato Melody</v>
          </cell>
          <cell r="K766" t="str">
            <v>/</v>
          </cell>
          <cell r="L766" t="str">
            <v>Thé noir d'origine</v>
          </cell>
          <cell r="M766" t="str">
            <v>Nouvelle-Zélande - Waikato</v>
          </cell>
          <cell r="N766" t="str">
            <v>AB</v>
          </cell>
          <cell r="O766" t="str">
            <v>/</v>
          </cell>
          <cell r="P766" t="str">
            <v>/</v>
          </cell>
          <cell r="Q766" t="str">
            <v>/</v>
          </cell>
          <cell r="R766" t="str">
            <v>/</v>
          </cell>
          <cell r="S766" t="str">
            <v>/</v>
          </cell>
          <cell r="T766" t="str">
            <v>Agriculture Nouvelle-Zélande</v>
          </cell>
          <cell r="U766"/>
          <cell r="V766" t="str">
            <v>Terroir exceptionnel. Infusion aux notes de fruits jaunes compotés sur fond acidulé, minéral et effervescent.</v>
          </cell>
          <cell r="W766" t="str">
            <v>S26</v>
          </cell>
          <cell r="X766" t="str">
            <v>Elaboré dans la région préservée de Waikato au nord de la Nouvelle-Zélande, ce grand cru de thé noir est d’une richesse organoleptique exceptionnelle. Son infusion souple en bouche délivre des saveurs gourmandes de fruits jaunes compotés au sucre roux, relevé de notes acidulées et effervescentes.</v>
          </cell>
          <cell r="Y766"/>
          <cell r="Z766" t="str">
            <v>Ingrédient : thé noir*. *Issu de l'agriculture biologique.</v>
          </cell>
          <cell r="AA766" t="str">
            <v>/</v>
          </cell>
          <cell r="AB766" t="str">
            <v>/</v>
          </cell>
          <cell r="AC766">
            <v>80</v>
          </cell>
          <cell r="AD766" t="str">
            <v>4-5</v>
          </cell>
          <cell r="AE766">
            <v>95</v>
          </cell>
          <cell r="AF766">
            <v>2</v>
          </cell>
          <cell r="AG766">
            <v>40</v>
          </cell>
          <cell r="AH766">
            <v>3582810254929</v>
          </cell>
          <cell r="AI766" t="str">
            <v>Plusieurs infusions</v>
          </cell>
          <cell r="AJ766" t="str">
            <v>ETNN549</v>
          </cell>
          <cell r="AK766" t="str">
            <v>ETNN549V5</v>
          </cell>
          <cell r="AL766" t="str">
            <v>Q de tube</v>
          </cell>
          <cell r="AM766" t="str">
            <v>Zealong Tea Estate LTD</v>
          </cell>
        </row>
        <row r="767">
          <cell r="A767" t="str">
            <v>TV5025</v>
          </cell>
          <cell r="B767"/>
          <cell r="C767"/>
          <cell r="D767"/>
          <cell r="E767"/>
          <cell r="F767"/>
          <cell r="G767"/>
          <cell r="H767" t="str">
            <v>LES GRAND CRUS</v>
          </cell>
          <cell r="I767"/>
          <cell r="J767" t="str">
            <v>Waikato Pleasure</v>
          </cell>
          <cell r="K767" t="str">
            <v>/</v>
          </cell>
          <cell r="L767" t="str">
            <v>Thé vert d'origine</v>
          </cell>
          <cell r="M767" t="str">
            <v>Nouvelle-Zélande - Waikato</v>
          </cell>
          <cell r="N767" t="str">
            <v>AB</v>
          </cell>
          <cell r="O767" t="str">
            <v>/</v>
          </cell>
          <cell r="P767" t="str">
            <v>/</v>
          </cell>
          <cell r="Q767" t="str">
            <v>/</v>
          </cell>
          <cell r="R767" t="str">
            <v>/</v>
          </cell>
          <cell r="S767" t="str">
            <v>/</v>
          </cell>
          <cell r="T767" t="str">
            <v>Agriculture Nouvelle-Zélande</v>
          </cell>
          <cell r="U767"/>
          <cell r="V767" t="str">
            <v>Terroir exceptionnel. Infusion cristalline et complexe. Notes végétales, iodées, d'agrumes et de confiserie.</v>
          </cell>
          <cell r="W767" t="str">
            <v>S26</v>
          </cell>
          <cell r="X767" t="str">
            <v xml:space="preserve">En provenance de la région préservée de Waikato au nord de la Nouvelle-Zélande, ce thé vert confidentiel puise sa richesse dans son terroir unique. Son infusion cristalline offre des saveurs végétales et iodées accompagnées de notes d’agrumes et de confiseries tout en gourmandise ! </v>
          </cell>
          <cell r="Y767"/>
          <cell r="Z767" t="str">
            <v>Ingrédient : thé vert*. *Issu de l'agriculture biologique.</v>
          </cell>
          <cell r="AA767" t="str">
            <v>/</v>
          </cell>
          <cell r="AB767" t="str">
            <v>/</v>
          </cell>
          <cell r="AC767">
            <v>500</v>
          </cell>
          <cell r="AD767" t="str">
            <v>3-4</v>
          </cell>
          <cell r="AE767">
            <v>80</v>
          </cell>
          <cell r="AF767">
            <v>2</v>
          </cell>
          <cell r="AG767">
            <v>250</v>
          </cell>
          <cell r="AH767">
            <v>3582810350256</v>
          </cell>
          <cell r="AI767" t="str">
            <v>Plusieurs infusions</v>
          </cell>
          <cell r="AJ767" t="str">
            <v>INTERNE</v>
          </cell>
          <cell r="AK767" t="str">
            <v>INTERNE</v>
          </cell>
          <cell r="AL767" t="str">
            <v>/</v>
          </cell>
          <cell r="AM767" t="str">
            <v>Zealong Tea Estate LTD</v>
          </cell>
        </row>
        <row r="768">
          <cell r="A768" t="str">
            <v>TV5022</v>
          </cell>
          <cell r="B768"/>
          <cell r="C768"/>
          <cell r="D768"/>
          <cell r="E768"/>
          <cell r="F768"/>
          <cell r="G768"/>
          <cell r="H768" t="str">
            <v>LES GRAND CRUS</v>
          </cell>
          <cell r="I768"/>
          <cell r="J768" t="str">
            <v>Waikato Pleasure</v>
          </cell>
          <cell r="K768" t="str">
            <v>/</v>
          </cell>
          <cell r="L768" t="str">
            <v>Thé vert d'origine</v>
          </cell>
          <cell r="M768" t="str">
            <v>Nouvelle-Zélande - Waikato</v>
          </cell>
          <cell r="N768" t="str">
            <v>AB</v>
          </cell>
          <cell r="O768" t="str">
            <v>/</v>
          </cell>
          <cell r="P768" t="str">
            <v>/</v>
          </cell>
          <cell r="Q768" t="str">
            <v>/</v>
          </cell>
          <cell r="R768" t="str">
            <v>/</v>
          </cell>
          <cell r="S768" t="str">
            <v>/</v>
          </cell>
          <cell r="T768" t="str">
            <v>Agriculture Nouvelle-Zélande</v>
          </cell>
          <cell r="U768"/>
          <cell r="V768" t="str">
            <v>Terroir exceptionnel. Infusion cristalline et complexe. Notes végétales, iodées, d'agrumes et de confiserie.</v>
          </cell>
          <cell r="W768" t="str">
            <v>S26</v>
          </cell>
          <cell r="X768" t="str">
            <v xml:space="preserve">En provenance de la région préservée de Waikato au nord de la Nouvelle-Zélande, ce thé vert confidentiel puise sa richesse dans son terroir unique. Son infusion cristalline offre des saveurs végétales et iodées accompagnées de notes d’agrumes et de confiseries tout en gourmandise ! </v>
          </cell>
          <cell r="Y768"/>
          <cell r="Z768" t="str">
            <v>Ingrédient : thé vert*. *Issu de l'agriculture biologique.</v>
          </cell>
          <cell r="AA768" t="str">
            <v>/</v>
          </cell>
          <cell r="AB768" t="str">
            <v>/</v>
          </cell>
          <cell r="AC768">
            <v>80</v>
          </cell>
          <cell r="AD768" t="str">
            <v>3-4</v>
          </cell>
          <cell r="AE768">
            <v>80</v>
          </cell>
          <cell r="AF768">
            <v>2</v>
          </cell>
          <cell r="AG768">
            <v>40</v>
          </cell>
          <cell r="AH768">
            <v>3582810350225</v>
          </cell>
          <cell r="AI768" t="str">
            <v>Plusieurs infusions</v>
          </cell>
          <cell r="AJ768" t="str">
            <v>ETVN502V5</v>
          </cell>
          <cell r="AK768" t="str">
            <v>ETVN502V5</v>
          </cell>
          <cell r="AL768" t="str">
            <v>Q de tube</v>
          </cell>
          <cell r="AM768" t="str">
            <v>Zealong Tea Estate LTD</v>
          </cell>
        </row>
        <row r="769">
          <cell r="A769" t="str">
            <v>TB4017</v>
          </cell>
          <cell r="B769"/>
          <cell r="C769"/>
          <cell r="D769"/>
          <cell r="E769"/>
          <cell r="F769"/>
          <cell r="G769"/>
          <cell r="H769" t="str">
            <v>LES GRANDS CLASSIQUES</v>
          </cell>
          <cell r="I769"/>
          <cell r="J769" t="str">
            <v>White Monkey</v>
          </cell>
          <cell r="K769" t="str">
            <v>Bai Mao Hou</v>
          </cell>
          <cell r="L769" t="str">
            <v>Thé blanc d'origine</v>
          </cell>
          <cell r="M769"/>
          <cell r="N769"/>
          <cell r="O769"/>
          <cell r="P769"/>
          <cell r="Q769"/>
          <cell r="R769"/>
          <cell r="S769"/>
          <cell r="T769"/>
          <cell r="U769"/>
          <cell r="V769"/>
          <cell r="W769"/>
          <cell r="X769"/>
          <cell r="Y769"/>
          <cell r="Z769"/>
          <cell r="AA769"/>
          <cell r="AB769"/>
          <cell r="AC769"/>
          <cell r="AD769"/>
          <cell r="AE769"/>
          <cell r="AF769"/>
          <cell r="AG769"/>
          <cell r="AH769"/>
          <cell r="AI769"/>
          <cell r="AJ769"/>
          <cell r="AK769"/>
          <cell r="AL769"/>
          <cell r="AM769" t="str">
            <v>Guzhang Gaofeng</v>
          </cell>
        </row>
        <row r="770">
          <cell r="A770" t="str">
            <v>TB4016</v>
          </cell>
          <cell r="B770"/>
          <cell r="C770"/>
          <cell r="D770"/>
          <cell r="E770"/>
          <cell r="F770"/>
          <cell r="G770"/>
          <cell r="H770" t="str">
            <v>LES GRANDS CLASSIQUES</v>
          </cell>
          <cell r="I770"/>
          <cell r="J770" t="str">
            <v>White Monkey</v>
          </cell>
          <cell r="K770" t="str">
            <v>Bai Mao Hou</v>
          </cell>
          <cell r="L770" t="str">
            <v>Thé blanc d'origine</v>
          </cell>
          <cell r="M770"/>
          <cell r="N770"/>
          <cell r="O770"/>
          <cell r="P770"/>
          <cell r="Q770"/>
          <cell r="R770"/>
          <cell r="S770"/>
          <cell r="T770"/>
          <cell r="U770"/>
          <cell r="V770"/>
          <cell r="W770"/>
          <cell r="X770"/>
          <cell r="Y770"/>
          <cell r="Z770"/>
          <cell r="AA770"/>
          <cell r="AB770"/>
          <cell r="AC770"/>
          <cell r="AD770"/>
          <cell r="AE770"/>
          <cell r="AF770"/>
          <cell r="AG770"/>
          <cell r="AH770"/>
          <cell r="AI770"/>
          <cell r="AJ770"/>
          <cell r="AK770"/>
          <cell r="AL770"/>
          <cell r="AM770" t="str">
            <v>Guzhang Gaofeng</v>
          </cell>
        </row>
        <row r="771">
          <cell r="A771" t="str">
            <v>TV4547</v>
          </cell>
          <cell r="B771"/>
          <cell r="C771"/>
          <cell r="D771"/>
          <cell r="E771"/>
          <cell r="F771"/>
          <cell r="G771"/>
          <cell r="H771" t="str">
            <v>LES GRANDS CLASSIQUES</v>
          </cell>
          <cell r="I771"/>
          <cell r="J771" t="str">
            <v>Wu Lü Spécial</v>
          </cell>
          <cell r="K771" t="str">
            <v>Brume de jade 雾绿</v>
          </cell>
          <cell r="L771" t="str">
            <v>Thé vert d'origine</v>
          </cell>
          <cell r="M771" t="str">
            <v>Chine - Hubei</v>
          </cell>
          <cell r="N771" t="str">
            <v>AB</v>
          </cell>
          <cell r="O771" t="str">
            <v>WFTO</v>
          </cell>
          <cell r="P771" t="str">
            <v>/</v>
          </cell>
          <cell r="Q771" t="str">
            <v>/</v>
          </cell>
          <cell r="R771" t="str">
            <v>/</v>
          </cell>
          <cell r="S771" t="str">
            <v>/</v>
          </cell>
          <cell r="T771" t="str">
            <v>Agriculture Chine</v>
          </cell>
          <cell r="U771"/>
          <cell r="V771" t="str">
            <v xml:space="preserve">Protégé des rayons du soleil par les brumes de montagne, ce grand cru du Hubei a bénéficié des conditions particulièrement favorables de son terroir pour développer de succulents arômes fruités. Ses parfums chaleureux évoquent les fruits à coque teintés de subtiles notes lactées. En bouche, sa liqueur fine et soyeuse développe immédiatement des saveurs de sirop de sucre et de melon avec une finale zestée typique qui ponctue agréablement la dégustation.   </v>
          </cell>
          <cell r="W771" t="str">
            <v>S21</v>
          </cell>
          <cell r="X771" t="str">
            <v xml:space="preserve">À l’abri des brumes de montagne, ce grand cru de thé vert du Hubei a bénéficié des conditions particulièrement favorables de son terroir pour développer ses arômes fruités. Sa liqueur fine et soyeuse offre des saveurs douces évoquant le melon ponctué par une jolie finale zestée. </v>
          </cell>
          <cell r="Y771"/>
          <cell r="Z771" t="str">
            <v>Ingrédient : thé vert*. *Issu de l'agriculture biologique.</v>
          </cell>
          <cell r="AA771" t="str">
            <v>/</v>
          </cell>
          <cell r="AB771" t="str">
            <v>Membre certifié World Fair Trade Organization, Les Jardins de Gaïa s’engagent pour un commerce plus juste et répondent aux exigences du commerce équitable. Pour en savoir plus : www.wfto.com.</v>
          </cell>
          <cell r="AC771">
            <v>1</v>
          </cell>
          <cell r="AD771" t="str">
            <v>2-3</v>
          </cell>
          <cell r="AE771">
            <v>80</v>
          </cell>
          <cell r="AF771">
            <v>2</v>
          </cell>
          <cell r="AG771">
            <v>500</v>
          </cell>
          <cell r="AH771">
            <v>3582810345474</v>
          </cell>
          <cell r="AI771" t="str">
            <v>Plusieurs infusions</v>
          </cell>
          <cell r="AJ771" t="str">
            <v>INTERNE</v>
          </cell>
          <cell r="AK771" t="str">
            <v>INTERNE</v>
          </cell>
          <cell r="AL771" t="str">
            <v>/</v>
          </cell>
          <cell r="AM771" t="str">
            <v>Xuan En Yisheng Tea Cooperative</v>
          </cell>
        </row>
        <row r="772">
          <cell r="A772" t="str">
            <v>TV4542</v>
          </cell>
          <cell r="B772"/>
          <cell r="C772" t="str">
            <v>X</v>
          </cell>
          <cell r="D772"/>
          <cell r="E772"/>
          <cell r="F772"/>
          <cell r="G772"/>
          <cell r="H772" t="str">
            <v>LES GRANDS CLASSIQUES</v>
          </cell>
          <cell r="I772"/>
          <cell r="J772" t="str">
            <v>Wu Lü Spécial</v>
          </cell>
          <cell r="K772" t="str">
            <v>Brume de jade 雾绿</v>
          </cell>
          <cell r="L772" t="str">
            <v>Thé vert d'origine</v>
          </cell>
          <cell r="M772" t="str">
            <v>Chine - Hubei</v>
          </cell>
          <cell r="N772" t="str">
            <v>AB</v>
          </cell>
          <cell r="O772" t="str">
            <v>WFTO</v>
          </cell>
          <cell r="P772" t="str">
            <v>/</v>
          </cell>
          <cell r="Q772" t="str">
            <v>/</v>
          </cell>
          <cell r="R772" t="str">
            <v>/</v>
          </cell>
          <cell r="S772" t="str">
            <v>/</v>
          </cell>
          <cell r="T772" t="str">
            <v>Agriculture Chine</v>
          </cell>
          <cell r="U772"/>
          <cell r="V772" t="str">
            <v xml:space="preserve">Protégé des rayons du soleil par les brumes de montagne, ce grand cru du Hubei a bénéficié des conditions particulièrement favorables de son terroir pour développer de succulents arômes fruités. Ses parfums chaleureux évoquent les fruits à coque teintés de subtiles notes lactées. En bouche, sa liqueur fine et soyeuse développe immédiatement des saveurs de sirop de sucre et de melon avec une finale zestée typique qui ponctue agréablement la dégustation.   </v>
          </cell>
          <cell r="W772" t="str">
            <v>S21</v>
          </cell>
          <cell r="X772" t="str">
            <v xml:space="preserve">À l’abri des brumes de montagne, ce grand cru de thé vert du Hubei a bénéficié des conditions particulièrement favorables de son terroir pour développer ses arômes fruités. Sa liqueur fine et soyeuse offre des saveurs douces évoquant le melon ponctué par une jolie finale zestée. </v>
          </cell>
          <cell r="Y772"/>
          <cell r="Z772" t="str">
            <v>Ingrédient : thé vert*. *Issu de l'agriculture biologique.</v>
          </cell>
          <cell r="AA772" t="str">
            <v>/</v>
          </cell>
          <cell r="AB772" t="str">
            <v>Membre certifié World Fair Trade Organization, Les Jardins de Gaïa s’engagent pour un commerce plus juste et répondent aux exigences du commerce équitable. Pour en savoir plus : www.wfto.com.</v>
          </cell>
          <cell r="AC772">
            <v>100</v>
          </cell>
          <cell r="AD772" t="str">
            <v>2-3</v>
          </cell>
          <cell r="AE772">
            <v>80</v>
          </cell>
          <cell r="AF772">
            <v>2</v>
          </cell>
          <cell r="AG772">
            <v>50</v>
          </cell>
          <cell r="AH772">
            <v>3582810345429</v>
          </cell>
          <cell r="AI772" t="str">
            <v>Plusieurs infusions</v>
          </cell>
          <cell r="AJ772" t="str">
            <v>ETVN454V5</v>
          </cell>
          <cell r="AK772" t="str">
            <v>ETVN454V5</v>
          </cell>
          <cell r="AL772" t="str">
            <v>ETCVN4542V5</v>
          </cell>
          <cell r="AM772" t="str">
            <v>Xuan En Yisheng Tea Cooperative</v>
          </cell>
        </row>
        <row r="773">
          <cell r="A773" t="str">
            <v>TV4546</v>
          </cell>
          <cell r="B773"/>
          <cell r="C773" t="str">
            <v>X</v>
          </cell>
          <cell r="D773"/>
          <cell r="E773"/>
          <cell r="F773"/>
          <cell r="G773"/>
          <cell r="H773" t="str">
            <v>LES GRANDS CLASSIQUES</v>
          </cell>
          <cell r="I773"/>
          <cell r="J773" t="str">
            <v>Wu Lü Spécial</v>
          </cell>
          <cell r="K773" t="str">
            <v>Brume de jade 雾绿</v>
          </cell>
          <cell r="L773" t="str">
            <v>Thé vert d'origine</v>
          </cell>
          <cell r="M773" t="str">
            <v>Chine - Hubei</v>
          </cell>
          <cell r="N773" t="str">
            <v>AB</v>
          </cell>
          <cell r="O773" t="str">
            <v>WFTO</v>
          </cell>
          <cell r="P773" t="str">
            <v>/</v>
          </cell>
          <cell r="Q773" t="str">
            <v>/</v>
          </cell>
          <cell r="R773" t="str">
            <v>/</v>
          </cell>
          <cell r="S773" t="str">
            <v>/</v>
          </cell>
          <cell r="T773" t="str">
            <v>Agriculture Chine</v>
          </cell>
          <cell r="U773"/>
          <cell r="V773" t="str">
            <v xml:space="preserve">Protégé des rayons du soleil par les brumes de montagne, ce grand cru du Hubei a bénéficié des conditions particulièrement favorables de son terroir pour développer de succulents arômes fruités. Ses parfums chaleureux évoquent les fruits à coque teintés de subtiles notes lactées. En bouche, sa liqueur fine et soyeuse développe immédiatement des saveurs de sirop de sucre et de melon avec une finale zestée typique qui ponctue agréablement la dégustation.   </v>
          </cell>
          <cell r="W773" t="str">
            <v>S21</v>
          </cell>
          <cell r="X773" t="str">
            <v xml:space="preserve">À l’abri des brumes de montagne, ce grand cru de thé vert du Hubei a bénéficié des conditions particulièrement favorables de son terroir pour développer ses arômes fruités. Sa liqueur fine et soyeuse offre des saveurs douces évoquant le melon ponctué par une jolie finale zestée. </v>
          </cell>
          <cell r="Y773"/>
          <cell r="Z773" t="str">
            <v>Ingrédient : thé vert*. *Issu de l'agriculture biologique.</v>
          </cell>
          <cell r="AA773" t="str">
            <v>/</v>
          </cell>
          <cell r="AB773" t="str">
            <v>Membre certifié World Fair Trade Organization, Les Jardins de Gaïa s’engagent pour un commerce plus juste et répondent aux exigences du commerce équitable. Pour en savoir plus : www.wfto.com.</v>
          </cell>
          <cell r="AC773">
            <v>50</v>
          </cell>
          <cell r="AD773" t="str">
            <v>2-3</v>
          </cell>
          <cell r="AE773">
            <v>80</v>
          </cell>
          <cell r="AF773">
            <v>2</v>
          </cell>
          <cell r="AG773">
            <v>25</v>
          </cell>
          <cell r="AH773">
            <v>3582810345467</v>
          </cell>
          <cell r="AI773" t="str">
            <v>Plusieurs infusions</v>
          </cell>
          <cell r="AJ773" t="str">
            <v>ETVN454V5</v>
          </cell>
          <cell r="AK773" t="str">
            <v>ETVN454V5</v>
          </cell>
          <cell r="AL773" t="str">
            <v>ETCVN4546V5</v>
          </cell>
          <cell r="AM773" t="str">
            <v>Xuan En Yisheng Tea Cooperative</v>
          </cell>
        </row>
        <row r="774">
          <cell r="A774" t="str">
            <v>TUTV4542</v>
          </cell>
          <cell r="B774"/>
          <cell r="C774"/>
          <cell r="D774"/>
          <cell r="E774"/>
          <cell r="F774"/>
          <cell r="G774"/>
          <cell r="H774" t="str">
            <v>LES GRANDS CLASSIQUES</v>
          </cell>
          <cell r="I774"/>
          <cell r="J774" t="str">
            <v>Wu Lü Spécial</v>
          </cell>
          <cell r="K774" t="str">
            <v>Brume de jade 雾绿</v>
          </cell>
          <cell r="L774" t="str">
            <v>Thé vert d'origine</v>
          </cell>
          <cell r="M774" t="str">
            <v>Chine - Hubei</v>
          </cell>
          <cell r="N774" t="str">
            <v>AB</v>
          </cell>
          <cell r="O774" t="str">
            <v>WFTO</v>
          </cell>
          <cell r="P774" t="str">
            <v>/</v>
          </cell>
          <cell r="Q774" t="str">
            <v>/</v>
          </cell>
          <cell r="R774" t="str">
            <v>/</v>
          </cell>
          <cell r="S774" t="str">
            <v>/</v>
          </cell>
          <cell r="T774" t="str">
            <v>Agriculture Chine</v>
          </cell>
          <cell r="U774"/>
          <cell r="V774" t="str">
            <v xml:space="preserve">Protégé des rayons du soleil par les brumes de montagne, ce grand cru du Hubei a bénéficié des conditions particulièrement favorables de son terroir pour développer de succulents arômes fruités. Ses parfums chaleureux évoquent les fruits à coque teintés de subtiles notes lactées. En bouche, sa liqueur fine et soyeuse développe immédiatement des saveurs de sirop de sucre et de melon avec une finale zestée typique qui ponctue agréablement la dégustation.   </v>
          </cell>
          <cell r="W774" t="str">
            <v>S21</v>
          </cell>
          <cell r="X774" t="str">
            <v xml:space="preserve">À l’abri des brumes de montagne, ce grand cru de thé vert du Hubei a bénéficié des conditions particulièrement favorables de son terroir pour développer ses arômes fruités. Sa liqueur fine et soyeuse offre des saveurs douces évoquant le melon ponctué par une jolie finale zestée. </v>
          </cell>
          <cell r="Y774"/>
          <cell r="Z774" t="str">
            <v>Ingrédient : thé vert*. *Issu de l'agriculture biologique.</v>
          </cell>
          <cell r="AA774" t="str">
            <v>/</v>
          </cell>
          <cell r="AB774" t="str">
            <v>Membre certifié World Fair Trade Organization, Les Jardins de Gaïa s’engagent pour un commerce plus juste et répondent aux exigences du commerce équitable. Pour en savoir plus : www.wfto.com.</v>
          </cell>
          <cell r="AC774">
            <v>90</v>
          </cell>
          <cell r="AD774" t="str">
            <v>2-3</v>
          </cell>
          <cell r="AE774">
            <v>80</v>
          </cell>
          <cell r="AF774">
            <v>2</v>
          </cell>
          <cell r="AG774">
            <v>45</v>
          </cell>
          <cell r="AH774">
            <v>3582815645425</v>
          </cell>
          <cell r="AI774" t="str">
            <v>Plusieurs infusions</v>
          </cell>
          <cell r="AJ774" t="str">
            <v>ETTUVN4542V5</v>
          </cell>
          <cell r="AK774" t="str">
            <v>ETTUVN4542V5</v>
          </cell>
          <cell r="AL774" t="str">
            <v>/</v>
          </cell>
          <cell r="AM774" t="str">
            <v>Xuan En Yisheng Tea Cooperative</v>
          </cell>
        </row>
        <row r="775">
          <cell r="A775" t="str">
            <v>TV1255</v>
          </cell>
          <cell r="B775"/>
          <cell r="C775"/>
          <cell r="D775"/>
          <cell r="E775"/>
          <cell r="F775"/>
          <cell r="G775"/>
          <cell r="H775" t="str">
            <v>LES GRAND CRUS</v>
          </cell>
          <cell r="I775"/>
          <cell r="J775" t="str">
            <v>Yu Lü</v>
          </cell>
          <cell r="K775" t="str">
            <v>Rosée de jade 玉露</v>
          </cell>
          <cell r="L775" t="str">
            <v>Thé vert d'origine</v>
          </cell>
          <cell r="M775" t="str">
            <v>Chine - Hubei</v>
          </cell>
          <cell r="N775" t="str">
            <v>AB</v>
          </cell>
          <cell r="O775" t="str">
            <v>WFTO</v>
          </cell>
          <cell r="P775" t="str">
            <v>/</v>
          </cell>
          <cell r="Q775" t="str">
            <v>/</v>
          </cell>
          <cell r="R775" t="str">
            <v>/</v>
          </cell>
          <cell r="S775" t="str">
            <v>/</v>
          </cell>
          <cell r="T775" t="str">
            <v>Agriculture Chine</v>
          </cell>
          <cell r="U775"/>
          <cell r="V775" t="str">
            <v>Rare cru chinois étuvé. Feuilles torsadées à la liqueur généreuse. Notes florales, citronnées et de fruits jaunes.</v>
          </cell>
          <cell r="W775" t="str">
            <v>S26</v>
          </cell>
          <cell r="X775" t="str">
            <v xml:space="preserve">Surnommé le « Gyokuro chinois », ce grand cru de thé vert est une spécialité historique de la région montagneuse d’Enshi dans le Hubei. C’est un des rares thés chinois fixés à la vapeur. Son infusion claire et brillante offre des arômes floraux et citronnés évoluant agréablement vers les fruits jaunes. </v>
          </cell>
          <cell r="Y775"/>
          <cell r="Z775" t="str">
            <v>Ingrédient : thé vert*. *Issu de l'agriculture biologique.</v>
          </cell>
          <cell r="AA775" t="str">
            <v>/</v>
          </cell>
          <cell r="AB775" t="str">
            <v>Membre certifié World Fair Trade Organization, Les Jardins de Gaïa s’engagent pour un commerce plus juste et répondent aux exigences du commerce équitable. Pour en savoir plus : www.wfto.com.</v>
          </cell>
          <cell r="AC775">
            <v>500</v>
          </cell>
          <cell r="AD775" t="str">
            <v>3</v>
          </cell>
          <cell r="AE775">
            <v>75</v>
          </cell>
          <cell r="AF775">
            <v>2</v>
          </cell>
          <cell r="AG775">
            <v>250</v>
          </cell>
          <cell r="AH775">
            <v>3582810312551</v>
          </cell>
          <cell r="AI775" t="str">
            <v>/</v>
          </cell>
          <cell r="AJ775" t="str">
            <v>INTERNE</v>
          </cell>
          <cell r="AK775" t="str">
            <v>INTERNE</v>
          </cell>
          <cell r="AL775" t="str">
            <v>/</v>
          </cell>
          <cell r="AM775" t="str">
            <v>Xuan En Yisheng Tea Cooperative</v>
          </cell>
        </row>
        <row r="776">
          <cell r="A776" t="str">
            <v>TV1252</v>
          </cell>
          <cell r="B776"/>
          <cell r="C776"/>
          <cell r="D776"/>
          <cell r="E776"/>
          <cell r="F776"/>
          <cell r="G776"/>
          <cell r="H776" t="str">
            <v>LES GRAND CRUS</v>
          </cell>
          <cell r="I776"/>
          <cell r="J776" t="str">
            <v>Yu Lü</v>
          </cell>
          <cell r="K776" t="str">
            <v>Rosée de jade 玉露</v>
          </cell>
          <cell r="L776" t="str">
            <v>Thé vert d'origine</v>
          </cell>
          <cell r="M776" t="str">
            <v>Chine - Hubei</v>
          </cell>
          <cell r="N776" t="str">
            <v>AB</v>
          </cell>
          <cell r="O776" t="str">
            <v>WFTO</v>
          </cell>
          <cell r="P776" t="str">
            <v>/</v>
          </cell>
          <cell r="Q776" t="str">
            <v>/</v>
          </cell>
          <cell r="R776" t="str">
            <v>/</v>
          </cell>
          <cell r="S776" t="str">
            <v>/</v>
          </cell>
          <cell r="T776" t="str">
            <v>Agriculture Chine</v>
          </cell>
          <cell r="U776"/>
          <cell r="V776" t="str">
            <v>Rare cru chinois étuvé. Feuilles torsadées à la liqueur généreuse. Notes florales, citronnées et de fruits jaunes.</v>
          </cell>
          <cell r="W776" t="str">
            <v>S26</v>
          </cell>
          <cell r="X776" t="str">
            <v xml:space="preserve">Surnommé le « Gyokuro chinois », ce grand cru de thé vert est une spécialité historique de la région montagneuse d’Enshi dans le Hubei. C’est un des rares thés chinois fixés à la vapeur. Son infusion claire et brillante offre des arômes floraux et citronnés évoluant agréablement vers les fruits jaunes. </v>
          </cell>
          <cell r="Y776"/>
          <cell r="Z776" t="str">
            <v>Ingrédient : thé vert*. *Issu de l'agriculture biologique.</v>
          </cell>
          <cell r="AA776" t="str">
            <v>/</v>
          </cell>
          <cell r="AB776" t="str">
            <v>Membre certifié World Fair Trade Organization, Les Jardins de Gaïa s’engagent pour un commerce plus juste et répondent aux exigences du commerce équitable. Pour en savoir plus : www.wfto.com.</v>
          </cell>
          <cell r="AC776">
            <v>100</v>
          </cell>
          <cell r="AD776" t="str">
            <v>3</v>
          </cell>
          <cell r="AE776">
            <v>75</v>
          </cell>
          <cell r="AF776">
            <v>2</v>
          </cell>
          <cell r="AG776">
            <v>50</v>
          </cell>
          <cell r="AH776">
            <v>3582810312520</v>
          </cell>
          <cell r="AI776" t="str">
            <v>/</v>
          </cell>
          <cell r="AJ776" t="str">
            <v>ETVN125V5</v>
          </cell>
          <cell r="AK776" t="str">
            <v>ETVN125V5</v>
          </cell>
          <cell r="AL776" t="str">
            <v>Q de tube</v>
          </cell>
          <cell r="AM776" t="str">
            <v>Xuan En Yisheng Tea Cooperative</v>
          </cell>
        </row>
        <row r="777">
          <cell r="A777" t="str">
            <v>TB7105</v>
          </cell>
          <cell r="B777"/>
          <cell r="C777"/>
          <cell r="D777"/>
          <cell r="E777"/>
          <cell r="F777"/>
          <cell r="G777"/>
          <cell r="H777" t="str">
            <v>LES GRAND CRUS</v>
          </cell>
          <cell r="I777"/>
          <cell r="J777" t="str">
            <v>Yue Guang Bai Yunnan</v>
          </cell>
          <cell r="K777" t="str">
            <v>Reflet blanc de lune</v>
          </cell>
          <cell r="L777" t="str">
            <v>Thé blanc d'origine</v>
          </cell>
          <cell r="M777"/>
          <cell r="N777"/>
          <cell r="O777"/>
          <cell r="P777"/>
          <cell r="Q777"/>
          <cell r="R777"/>
          <cell r="S777"/>
          <cell r="T777"/>
          <cell r="U777"/>
          <cell r="V777"/>
          <cell r="W777"/>
          <cell r="X777"/>
          <cell r="Y777"/>
          <cell r="Z777"/>
          <cell r="AA777"/>
          <cell r="AB777"/>
          <cell r="AC777"/>
          <cell r="AD777"/>
          <cell r="AE777"/>
          <cell r="AF777"/>
          <cell r="AG777"/>
          <cell r="AH777"/>
          <cell r="AI777"/>
          <cell r="AJ777"/>
          <cell r="AK777"/>
          <cell r="AL777"/>
          <cell r="AM777"/>
        </row>
        <row r="778">
          <cell r="A778" t="str">
            <v>TB7106</v>
          </cell>
          <cell r="B778"/>
          <cell r="C778"/>
          <cell r="D778"/>
          <cell r="E778"/>
          <cell r="F778"/>
          <cell r="G778"/>
          <cell r="H778" t="str">
            <v>LES GRAND CRUS</v>
          </cell>
          <cell r="I778"/>
          <cell r="J778" t="str">
            <v>Yue Guang Bai Yunnan</v>
          </cell>
          <cell r="K778" t="str">
            <v>Reflet blanc de lune</v>
          </cell>
          <cell r="L778" t="str">
            <v>Thé blanc d'origine</v>
          </cell>
          <cell r="M778"/>
          <cell r="N778"/>
          <cell r="O778"/>
          <cell r="P778"/>
          <cell r="Q778"/>
          <cell r="R778"/>
          <cell r="S778"/>
          <cell r="T778"/>
          <cell r="U778"/>
          <cell r="V778"/>
          <cell r="W778"/>
          <cell r="X778"/>
          <cell r="Y778"/>
          <cell r="Z778"/>
          <cell r="AA778"/>
          <cell r="AB778"/>
          <cell r="AC778"/>
          <cell r="AD778"/>
          <cell r="AE778"/>
          <cell r="AF778"/>
          <cell r="AG778"/>
          <cell r="AH778"/>
          <cell r="AI778"/>
          <cell r="AJ778"/>
          <cell r="AK778"/>
          <cell r="AL778"/>
          <cell r="AM778"/>
        </row>
        <row r="779">
          <cell r="A779" t="str">
            <v>TN4021</v>
          </cell>
          <cell r="B779"/>
          <cell r="C779"/>
          <cell r="D779"/>
          <cell r="E779"/>
          <cell r="F779"/>
          <cell r="G779"/>
          <cell r="H779" t="str">
            <v>LES GRANDS CLASSIQUES</v>
          </cell>
          <cell r="I779"/>
          <cell r="J779" t="str">
            <v>Yunnan</v>
          </cell>
          <cell r="K779" t="str">
            <v>FOP</v>
          </cell>
          <cell r="L779" t="str">
            <v>Thé noir d'origine</v>
          </cell>
          <cell r="M779" t="str">
            <v>Chine - Yunnan</v>
          </cell>
          <cell r="N779" t="str">
            <v>AB</v>
          </cell>
          <cell r="O779" t="str">
            <v>WFTO</v>
          </cell>
          <cell r="P779" t="str">
            <v>/</v>
          </cell>
          <cell r="Q779" t="str">
            <v>WT</v>
          </cell>
          <cell r="R779" t="str">
            <v>/</v>
          </cell>
          <cell r="S779" t="str">
            <v>/</v>
          </cell>
          <cell r="T779" t="str">
            <v>Agriculture Chine</v>
          </cell>
          <cell r="U779"/>
          <cell r="V779" t="str">
            <v>Grand classique de tradition ancestrale… Ce thé aux feuilles fines parsemées de pointes dorées, libère une liqueur ambrée, fruitée, relevée d'une légère note poivrée. Tasse délicieuse avec beaucoup de corps, qui convient tout au long de la journée.</v>
          </cell>
          <cell r="W779"/>
          <cell r="X779" t="str">
            <v>Produit dans le berceau historique du thé, en Chine, ce thé noir du Yunnan témoigne du grand savoir-faire local dans le domaine de la transformation des feuilles du Camellia sinensis. Sa liqueur fruitée relevée d'une légère note poivrée est la promesse d’instants savoureux.</v>
          </cell>
          <cell r="Y779"/>
          <cell r="Z779" t="str">
            <v>Ingrédient : thé noir*. *Issu de l'agriculture biologique.</v>
          </cell>
          <cell r="AA779" t="str">
            <v>/</v>
          </cell>
          <cell r="AB779" t="str">
            <v>Membre certifié World Fair Trade Organization, Les Jardins de Gaïa s’engagent pour un commerce plus juste et répondent aux exigences du commerce équitable. Pour en savoir plus : www.wfto.com.</v>
          </cell>
          <cell r="AC779">
            <v>1.5</v>
          </cell>
          <cell r="AD779" t="str">
            <v>3-4</v>
          </cell>
          <cell r="AE779">
            <v>95</v>
          </cell>
          <cell r="AF779">
            <v>2</v>
          </cell>
          <cell r="AG779">
            <v>750</v>
          </cell>
          <cell r="AH779">
            <v>3582810240212</v>
          </cell>
          <cell r="AI779" t="str">
            <v>/</v>
          </cell>
          <cell r="AJ779" t="str">
            <v>INTERNE</v>
          </cell>
          <cell r="AK779" t="str">
            <v>INTERNE</v>
          </cell>
          <cell r="AL779" t="str">
            <v>/</v>
          </cell>
          <cell r="AM779" t="str">
            <v>Cangyuan Yisheng Organic Tea Specialized Cooperative</v>
          </cell>
        </row>
        <row r="780">
          <cell r="A780" t="str">
            <v>TN4022</v>
          </cell>
          <cell r="B780"/>
          <cell r="C780" t="str">
            <v>X</v>
          </cell>
          <cell r="D780" t="str">
            <v>x</v>
          </cell>
          <cell r="E780" t="str">
            <v>x</v>
          </cell>
          <cell r="F780" t="str">
            <v>GRAI</v>
          </cell>
          <cell r="G780">
            <v>45383</v>
          </cell>
          <cell r="H780" t="str">
            <v>LES GRANDS CLASSIQUES</v>
          </cell>
          <cell r="I780"/>
          <cell r="J780" t="str">
            <v>Yunnan</v>
          </cell>
          <cell r="K780" t="str">
            <v>FOP</v>
          </cell>
          <cell r="L780" t="str">
            <v>Thé noir d'origine</v>
          </cell>
          <cell r="M780" t="str">
            <v>Chine - Yunnan</v>
          </cell>
          <cell r="N780" t="str">
            <v>AB</v>
          </cell>
          <cell r="O780" t="str">
            <v>WFTO</v>
          </cell>
          <cell r="P780" t="str">
            <v>/</v>
          </cell>
          <cell r="Q780" t="str">
            <v>WT</v>
          </cell>
          <cell r="R780" t="str">
            <v>/</v>
          </cell>
          <cell r="S780" t="str">
            <v>/</v>
          </cell>
          <cell r="T780" t="str">
            <v>Agriculture Chine</v>
          </cell>
          <cell r="U780"/>
          <cell r="V780" t="str">
            <v>Grand classique de tradition ancestrale… Ce thé aux feuilles fines parsemées de pointes dorées, libère une liqueur ambrée, fruitée, relevée d'une légère note poivrée. Tasse délicieuse avec beaucoup de corps, qui convient tout au long de la journée.</v>
          </cell>
          <cell r="W780"/>
          <cell r="X780" t="str">
            <v>Produit dans le berceau historique du thé, en Chine, ce thé noir du Yunnan témoigne du grand savoir-faire local dans le domaine de la transformation des feuilles du Camellia sinensis. Sa liqueur fruitée relevée d'une légère note poivrée est la promesse d’instants savoureux.</v>
          </cell>
          <cell r="Y780"/>
          <cell r="Z780" t="str">
            <v>Ingrédient : thé noir*. *Issu de l'agriculture biologique.</v>
          </cell>
          <cell r="AA780" t="str">
            <v>/</v>
          </cell>
          <cell r="AB780" t="str">
            <v>Membre certifié World Fair Trade Organization, Les Jardins de Gaïa s’engagent pour un commerce plus juste et répondent aux exigences du commerce équitable. Pour en savoir plus : www.wfto.com.</v>
          </cell>
          <cell r="AC780">
            <v>100</v>
          </cell>
          <cell r="AD780" t="str">
            <v>3-4</v>
          </cell>
          <cell r="AE780">
            <v>95</v>
          </cell>
          <cell r="AF780">
            <v>2</v>
          </cell>
          <cell r="AG780">
            <v>50</v>
          </cell>
          <cell r="AH780">
            <v>3582810240229</v>
          </cell>
          <cell r="AI780" t="str">
            <v>/</v>
          </cell>
          <cell r="AJ780" t="str">
            <v>ETNN402</v>
          </cell>
          <cell r="AK780" t="str">
            <v>ETNN402V5</v>
          </cell>
          <cell r="AL780" t="str">
            <v>ETCNN4022V5</v>
          </cell>
          <cell r="AM780" t="str">
            <v>Lincang Shuangfeng Organic Tea Specialized  Cooperative</v>
          </cell>
        </row>
        <row r="781">
          <cell r="A781" t="str">
            <v>TN4051</v>
          </cell>
          <cell r="B781"/>
          <cell r="C781"/>
          <cell r="D781"/>
          <cell r="E781"/>
          <cell r="F781"/>
          <cell r="G781"/>
          <cell r="H781" t="str">
            <v>LES GRANDS CLASSIQUES</v>
          </cell>
          <cell r="I781"/>
          <cell r="J781" t="str">
            <v>Yunnan d'Or</v>
          </cell>
          <cell r="K781" t="str">
            <v>金云南</v>
          </cell>
          <cell r="L781" t="str">
            <v>Thé noir d'origine</v>
          </cell>
          <cell r="M781" t="str">
            <v>Chine - Yunnan</v>
          </cell>
          <cell r="N781" t="str">
            <v>AB</v>
          </cell>
          <cell r="O781" t="str">
            <v>WFTO</v>
          </cell>
          <cell r="P781" t="str">
            <v>/</v>
          </cell>
          <cell r="Q781" t="str">
            <v>WT</v>
          </cell>
          <cell r="R781" t="str">
            <v>/</v>
          </cell>
          <cell r="S781" t="str">
            <v>/</v>
          </cell>
          <cell r="T781" t="str">
            <v>Agriculture Chine</v>
          </cell>
          <cell r="U781"/>
          <cell r="V781" t="str">
            <v>Récolte de très belle qualité caractérisée par ses feuilles attrayantes, riches en bourgeons dorés. Sa liqueur savoureuse et ronde, rouge sombre au parfum de noisette, à la fois fruitée et épicée est profondément présente en bouche. Un grand classique dont on ne se lasse pas !</v>
          </cell>
          <cell r="W781" t="str">
            <v>S21</v>
          </cell>
          <cell r="X781" t="str">
            <v>Ce savoureux thé noir du Yunnan issu d’une récolte sélective est caractérisé par ses feuilles attrayantes et sa richesse en bourgeons dorés. Sa liqueur rouge sombre au parfum de noisette est à la fois fruitée et épicée et d’une belle souplesse en bouche. Un grand classique dont on ne se lasse pas !</v>
          </cell>
          <cell r="Y781"/>
          <cell r="Z781" t="str">
            <v>Ingrédient : thé noir*. *Issu de l'agriculture biologique.</v>
          </cell>
          <cell r="AA781" t="str">
            <v>/</v>
          </cell>
          <cell r="AB781" t="str">
            <v>Membre certifié World Fair Trade Organization, Les Jardins de Gaïa s’engagent pour un commerce plus juste et répondent aux exigences du commerce équitable. Pour en savoir plus : www.wfto.com.</v>
          </cell>
          <cell r="AC781">
            <v>1.5</v>
          </cell>
          <cell r="AD781" t="str">
            <v>3</v>
          </cell>
          <cell r="AE781">
            <v>95</v>
          </cell>
          <cell r="AF781">
            <v>2</v>
          </cell>
          <cell r="AG781">
            <v>750</v>
          </cell>
          <cell r="AH781">
            <v>3582810240519</v>
          </cell>
          <cell r="AI781" t="str">
            <v>/</v>
          </cell>
          <cell r="AJ781" t="str">
            <v>INTERNE</v>
          </cell>
          <cell r="AK781" t="str">
            <v>INTERNE</v>
          </cell>
          <cell r="AL781" t="str">
            <v>/</v>
          </cell>
          <cell r="AM781" t="str">
            <v>Lincang Shuangfeng Organic Tea Specialized  Cooperative &amp; Cangyuan Yisheng Organic Tea Specialized Cooperative</v>
          </cell>
        </row>
        <row r="782">
          <cell r="A782" t="str">
            <v>TN4052</v>
          </cell>
          <cell r="B782"/>
          <cell r="C782" t="str">
            <v>X</v>
          </cell>
          <cell r="D782"/>
          <cell r="E782"/>
          <cell r="F782"/>
          <cell r="G782"/>
          <cell r="H782" t="str">
            <v>LES GRANDS CLASSIQUES</v>
          </cell>
          <cell r="I782"/>
          <cell r="J782" t="str">
            <v>Yunnan d'Or</v>
          </cell>
          <cell r="K782" t="str">
            <v>金云南</v>
          </cell>
          <cell r="L782" t="str">
            <v>Thé noir d'origine</v>
          </cell>
          <cell r="M782" t="str">
            <v>Chine - Yunnan</v>
          </cell>
          <cell r="N782" t="str">
            <v>AB</v>
          </cell>
          <cell r="O782" t="str">
            <v>WFTO</v>
          </cell>
          <cell r="P782" t="str">
            <v>/</v>
          </cell>
          <cell r="Q782" t="str">
            <v>WT</v>
          </cell>
          <cell r="R782" t="str">
            <v>/</v>
          </cell>
          <cell r="S782" t="str">
            <v>/</v>
          </cell>
          <cell r="T782" t="str">
            <v>Agriculture Chine</v>
          </cell>
          <cell r="U782"/>
          <cell r="V782" t="str">
            <v>Récolte de très belle qualité caractérisée par ses feuilles attrayantes, riches en bourgeons dorés. Sa liqueur savoureuse et ronde, rouge sombre au parfum de noisette, à la fois fruitée et épicée est profondément présente en bouche. Un grand classique dont on ne se lasse pas !</v>
          </cell>
          <cell r="W782" t="str">
            <v>S21</v>
          </cell>
          <cell r="X782" t="str">
            <v>Ce savoureux thé noir du Yunnan issu d’une récolte sélective est caractérisé par ses feuilles attrayantes et sa richesse en bourgeons dorés. Sa liqueur rouge sombre au parfum de noisette est à la fois fruitée et épicée et d’une belle souplesse en bouche. Un grand classique dont on ne se lasse pas !</v>
          </cell>
          <cell r="Y782"/>
          <cell r="Z782" t="str">
            <v>Ingrédient : thé noir*. *Issu de l'agriculture biologique.</v>
          </cell>
          <cell r="AA782" t="str">
            <v>/</v>
          </cell>
          <cell r="AB782" t="str">
            <v>Membre certifié World Fair Trade Organization, Les Jardins de Gaïa s’engagent pour un commerce plus juste et répondent aux exigences du commerce équitable. Pour en savoir plus : www.wfto.com.</v>
          </cell>
          <cell r="AC782">
            <v>100</v>
          </cell>
          <cell r="AD782" t="str">
            <v>3</v>
          </cell>
          <cell r="AE782">
            <v>95</v>
          </cell>
          <cell r="AF782">
            <v>2</v>
          </cell>
          <cell r="AG782">
            <v>50</v>
          </cell>
          <cell r="AH782">
            <v>3582810240526</v>
          </cell>
          <cell r="AI782" t="str">
            <v>/</v>
          </cell>
          <cell r="AJ782" t="str">
            <v>ETNN405V5</v>
          </cell>
          <cell r="AK782" t="str">
            <v>ETNN405V5</v>
          </cell>
          <cell r="AL782" t="str">
            <v>ETCNN4052V5</v>
          </cell>
          <cell r="AM782" t="str">
            <v>Mannong Tea Association</v>
          </cell>
        </row>
        <row r="783">
          <cell r="A783" t="str">
            <v>TV1231</v>
          </cell>
          <cell r="B783"/>
          <cell r="C783"/>
          <cell r="D783"/>
          <cell r="E783"/>
          <cell r="F783"/>
          <cell r="G783"/>
          <cell r="H783" t="str">
            <v>LES GRANDS CLASSIQUES</v>
          </cell>
          <cell r="I783"/>
          <cell r="J783" t="str">
            <v>Yunnan Green</v>
          </cell>
          <cell r="K783" t="str">
            <v>/</v>
          </cell>
          <cell r="L783" t="str">
            <v>Thé vert d'origine</v>
          </cell>
          <cell r="M783" t="str">
            <v>Chine - Yunnan</v>
          </cell>
          <cell r="N783" t="str">
            <v>AB</v>
          </cell>
          <cell r="O783" t="str">
            <v>WFTO</v>
          </cell>
          <cell r="P783" t="str">
            <v>/</v>
          </cell>
          <cell r="Q783" t="str">
            <v>WT</v>
          </cell>
          <cell r="R783" t="str">
            <v>/</v>
          </cell>
          <cell r="S783" t="str">
            <v>/</v>
          </cell>
          <cell r="T783" t="str">
            <v>Agriculture Chine</v>
          </cell>
          <cell r="U783"/>
          <cell r="V783" t="str">
            <v>En provenance de théiers originels, cette récolte de grandes feuilles torsadées vert sapin libère une infusion vert pâle aux senteurs de mousse des sous-bois. Liqueur suave qui révèle une saveur fraîche et végétale soulignée par une légère note amère. Boisson digeste et rafraîchissante pour toute la journée.</v>
          </cell>
          <cell r="W783" t="str">
            <v>S21</v>
          </cell>
          <cell r="X783" t="str">
            <v>Cueillies sur des théiers anciens, les grandes feuilles de ce thé vert du Yunnan libèrent une infusion rafraîchissante aux senteurs de mousse de sous-bois. Sa liqueur souple révèle des saveurs florales et végétales soulignées par une légère note amère et boisée. Un excellent thé du quotidien.</v>
          </cell>
          <cell r="Y783"/>
          <cell r="Z783" t="str">
            <v>Ingrédient : thé vert*. *Issu de l'agriculture biologique.</v>
          </cell>
          <cell r="AA783" t="str">
            <v>/</v>
          </cell>
          <cell r="AB783" t="str">
            <v>Membre certifié World Fair Trade Organization, Les Jardins de Gaïa s’engagent pour un commerce plus juste et répondent aux exigences du commerce équitable. Pour en savoir plus : www.wfto.com.</v>
          </cell>
          <cell r="AC783">
            <v>1.5</v>
          </cell>
          <cell r="AD783" t="str">
            <v>3</v>
          </cell>
          <cell r="AE783">
            <v>75</v>
          </cell>
          <cell r="AF783">
            <v>2</v>
          </cell>
          <cell r="AG783">
            <v>750</v>
          </cell>
          <cell r="AH783">
            <v>3582810312315</v>
          </cell>
          <cell r="AI783" t="str">
            <v>/</v>
          </cell>
          <cell r="AJ783" t="str">
            <v>INTERNE</v>
          </cell>
          <cell r="AK783" t="str">
            <v>INTERNE</v>
          </cell>
          <cell r="AL783" t="str">
            <v>/</v>
          </cell>
          <cell r="AM783" t="str">
            <v>Cangyuan Yisheng Organic Tea Specialized Cooperative</v>
          </cell>
        </row>
        <row r="784">
          <cell r="A784" t="str">
            <v>TV1232</v>
          </cell>
          <cell r="B784"/>
          <cell r="C784" t="str">
            <v>X</v>
          </cell>
          <cell r="D784"/>
          <cell r="E784"/>
          <cell r="F784"/>
          <cell r="G784"/>
          <cell r="H784" t="str">
            <v>LES GRANDS CLASSIQUES</v>
          </cell>
          <cell r="I784"/>
          <cell r="J784" t="str">
            <v>Yunnan Green</v>
          </cell>
          <cell r="K784" t="str">
            <v>/</v>
          </cell>
          <cell r="L784" t="str">
            <v>Thé vert d'origine</v>
          </cell>
          <cell r="M784" t="str">
            <v>Chine - Yunnan</v>
          </cell>
          <cell r="N784" t="str">
            <v>AB</v>
          </cell>
          <cell r="O784" t="str">
            <v>WFTO</v>
          </cell>
          <cell r="P784" t="str">
            <v>/</v>
          </cell>
          <cell r="Q784" t="str">
            <v>WT</v>
          </cell>
          <cell r="R784" t="str">
            <v>/</v>
          </cell>
          <cell r="S784" t="str">
            <v>/</v>
          </cell>
          <cell r="U784"/>
          <cell r="V784" t="str">
            <v>En provenance de théiers originels, cette récolte de grandes feuilles torsadées vert sapin libère une infusion vert pâle aux senteurs de mousse des sous-bois. Liqueur suave qui révèle une saveur fraîche et végétale soulignée par une légère note amère. Boisson digeste et rafraîchissante pour toute la journée.</v>
          </cell>
          <cell r="W784" t="str">
            <v>S21</v>
          </cell>
          <cell r="X784" t="str">
            <v>Cueillies sur des théiers anciens, les grandes feuilles de ce thé vert du Yunnan libèrent une infusion rafraîchissante aux senteurs de mousse de sous-bois. Sa liqueur souple révèle des saveurs florales et végétales soulignées par une légère note amère et boisée. Un excellent thé du quotidien.</v>
          </cell>
          <cell r="Y784"/>
          <cell r="Z784" t="str">
            <v>Ingrédient : thé vert*. *Issu de l'agriculture biologique.</v>
          </cell>
          <cell r="AA784" t="str">
            <v>/</v>
          </cell>
          <cell r="AB784" t="str">
            <v>Membre certifié World Fair Trade Organization, Les Jardins de Gaïa s’engagent pour un commerce plus juste et répondent aux exigences du commerce équitable. Pour en savoir plus : www.wfto.com.</v>
          </cell>
          <cell r="AC784">
            <v>100</v>
          </cell>
          <cell r="AD784" t="str">
            <v>3</v>
          </cell>
          <cell r="AE784">
            <v>75</v>
          </cell>
          <cell r="AF784">
            <v>2</v>
          </cell>
          <cell r="AG784">
            <v>50</v>
          </cell>
          <cell r="AH784">
            <v>3582810312322</v>
          </cell>
          <cell r="AI784" t="str">
            <v>/</v>
          </cell>
          <cell r="AJ784" t="str">
            <v>ETVN123</v>
          </cell>
          <cell r="AK784" t="str">
            <v>ETVN123V5</v>
          </cell>
          <cell r="AL784" t="str">
            <v>ETCVN1232V5</v>
          </cell>
          <cell r="AM784" t="str">
            <v>Cangyuan Yisheng Organic Tea Specialized Cooperative</v>
          </cell>
        </row>
        <row r="785">
          <cell r="A785" t="str">
            <v>TB8136</v>
          </cell>
          <cell r="B785"/>
          <cell r="C785"/>
          <cell r="D785"/>
          <cell r="E785"/>
          <cell r="F785"/>
          <cell r="G785"/>
          <cell r="H785"/>
          <cell r="I785"/>
          <cell r="J785" t="str">
            <v>YU XUE YA Bourgeons de neige</v>
          </cell>
          <cell r="K785"/>
          <cell r="L785"/>
          <cell r="M785" t="str">
            <v>Chine - Yunnan</v>
          </cell>
          <cell r="N785" t="str">
            <v>AB</v>
          </cell>
          <cell r="O785" t="str">
            <v>WFTO</v>
          </cell>
          <cell r="P785" t="str">
            <v>/</v>
          </cell>
          <cell r="Q785" t="str">
            <v>/</v>
          </cell>
          <cell r="R785" t="str">
            <v>/</v>
          </cell>
          <cell r="S785" t="str">
            <v>/</v>
          </cell>
          <cell r="T785" t="str">
            <v>Agriculture Chine</v>
          </cell>
          <cell r="U785"/>
          <cell r="V785"/>
          <cell r="W785"/>
          <cell r="X785"/>
          <cell r="Y785"/>
          <cell r="Z785" t="str">
            <v xml:space="preserve">Ingrédient : thé blanc*. *Issu de l'agriculture biologique. </v>
          </cell>
          <cell r="AA785" t="str">
            <v>/</v>
          </cell>
          <cell r="AB785" t="str">
            <v>Membre certifié World Fair Trade Organization, Les Jardins de Gaïa s’engagent pour un commerce plus juste et répondent aux exigences du commerce équitable. Pour en savoir plus : www.wfto.com.</v>
          </cell>
          <cell r="AC785">
            <v>50</v>
          </cell>
          <cell r="AD785"/>
          <cell r="AE785"/>
          <cell r="AF785">
            <v>2</v>
          </cell>
          <cell r="AG785">
            <v>25</v>
          </cell>
          <cell r="AH785">
            <v>3582810681367</v>
          </cell>
          <cell r="AI785"/>
          <cell r="AJ785"/>
          <cell r="AK785"/>
          <cell r="AL785"/>
          <cell r="AM785" t="str">
            <v>Cangyuan Yisheng Organic Tea Specialized Cooperative</v>
          </cell>
        </row>
        <row r="786">
          <cell r="A786" t="str">
            <v>TA6721</v>
          </cell>
          <cell r="B786"/>
          <cell r="C786"/>
          <cell r="D786"/>
          <cell r="E786"/>
          <cell r="F786"/>
          <cell r="G786"/>
          <cell r="H786" t="str">
            <v>LES GRANDS CLASSIQUES</v>
          </cell>
          <cell r="I786"/>
          <cell r="J786" t="str">
            <v>Zone 51</v>
          </cell>
          <cell r="K786" t="str">
            <v>Mangue - Gingembre</v>
          </cell>
          <cell r="L786" t="str">
            <v>Thé vert aromatisé</v>
          </cell>
          <cell r="M786" t="str">
            <v>Chine</v>
          </cell>
          <cell r="N786" t="str">
            <v>AB</v>
          </cell>
          <cell r="O786" t="str">
            <v>/</v>
          </cell>
          <cell r="P786" t="str">
            <v>/</v>
          </cell>
          <cell r="Q786" t="str">
            <v>/</v>
          </cell>
          <cell r="R786" t="str">
            <v>/</v>
          </cell>
          <cell r="S786" t="str">
            <v>/</v>
          </cell>
          <cell r="T786" t="str">
            <v>Agriculture UE/non UE</v>
          </cell>
          <cell r="U786"/>
          <cell r="V786" t="str">
            <v>Cette recette savoureuse est à l’image de l’association pour laquelle elle a été créée : communicative et festive ! Sur une base détonante de gingembre, de guarana et de ginseng se déroule une belle palette d’arômes chauds et délicieusement fruités.</v>
          </cell>
          <cell r="W786" t="str">
            <v>S21</v>
          </cell>
          <cell r="X786" t="str">
            <v>Communicative et festive, cette recette à base de thé vert est à l’image de l’association pour laquelle elle a été créée ! Sur une base détonante de gingembre, de guarana et de ginseng, elle déroule une belle palette d’arômes chauds, vifs et délicieusement fruités. Que la fête commence !</v>
          </cell>
          <cell r="Y786"/>
          <cell r="Z786" t="str">
            <v>Ingrédients : thé vert*, arômes naturels de (mangue* 4%, pêche*), morceaux de gingembre* 4%, morceaux de mangue* 3%, guarana*, écorces d'orange*, ginseng blanc*, huile essentielle de citron*. *Issu de l'agriculture biologique.</v>
          </cell>
          <cell r="AA786" t="str">
            <v>/</v>
          </cell>
          <cell r="AB786" t="str">
            <v>/</v>
          </cell>
          <cell r="AC786">
            <v>1.5</v>
          </cell>
          <cell r="AD786" t="str">
            <v>3</v>
          </cell>
          <cell r="AE786">
            <v>80</v>
          </cell>
          <cell r="AF786">
            <v>2</v>
          </cell>
          <cell r="AG786">
            <v>750</v>
          </cell>
          <cell r="AH786">
            <v>3582810367216</v>
          </cell>
          <cell r="AI786" t="str">
            <v>/</v>
          </cell>
          <cell r="AJ786" t="str">
            <v>INTERNE</v>
          </cell>
          <cell r="AK786" t="str">
            <v>INTERNE</v>
          </cell>
          <cell r="AL786" t="str">
            <v>/</v>
          </cell>
          <cell r="AM786" t="str">
            <v>Création maison</v>
          </cell>
        </row>
        <row r="787">
          <cell r="A787" t="str">
            <v>TA6722</v>
          </cell>
          <cell r="B787"/>
          <cell r="C787" t="str">
            <v>X</v>
          </cell>
          <cell r="D787"/>
          <cell r="E787"/>
          <cell r="F787"/>
          <cell r="G787"/>
          <cell r="H787" t="str">
            <v>LES GRANDS CLASSIQUES</v>
          </cell>
          <cell r="I787"/>
          <cell r="J787" t="str">
            <v>Zone 51</v>
          </cell>
          <cell r="K787" t="str">
            <v>Mangue - Gingembre</v>
          </cell>
          <cell r="L787" t="str">
            <v>Thé vert aromatisé</v>
          </cell>
          <cell r="M787" t="str">
            <v>Chine</v>
          </cell>
          <cell r="N787" t="str">
            <v>AB</v>
          </cell>
          <cell r="O787" t="str">
            <v>/</v>
          </cell>
          <cell r="P787" t="str">
            <v>/</v>
          </cell>
          <cell r="Q787" t="str">
            <v>/</v>
          </cell>
          <cell r="R787" t="str">
            <v>/</v>
          </cell>
          <cell r="S787" t="str">
            <v>/</v>
          </cell>
          <cell r="T787" t="str">
            <v>Agriculture UE/non UE</v>
          </cell>
          <cell r="U787"/>
          <cell r="V787" t="str">
            <v>Cette recette savoureuse est à l’image de l’association pour laquelle elle a été créée : communicative et festive ! Sur une base détonante de gingembre, de guarana et de ginseng se déroule une belle palette d’arômes chauds et délicieusement fruités.</v>
          </cell>
          <cell r="W787" t="str">
            <v>S21</v>
          </cell>
          <cell r="X787" t="str">
            <v>Communicative et festive, cette recette à base de thé vert est à l’image de l’association pour laquelle elle a été créée ! Sur une base détonante de gingembre, de guarana et de ginseng, elle déroule une belle palette d’arômes chauds, vifs et délicieusement fruités. Que la fête commence !</v>
          </cell>
          <cell r="Y787"/>
          <cell r="Z787" t="str">
            <v>Ingrédients : thé vert*, arômes naturels de (mangue* 4%, pêche*), morceaux de gingembre* 4%, morceaux de mangue* 3%, guarana*, écorces d'orange*, ginseng blanc*, huile essentielle de citron*. *Issu de l'agriculture biologique.</v>
          </cell>
          <cell r="AA787" t="str">
            <v>/</v>
          </cell>
          <cell r="AB787" t="str">
            <v>/</v>
          </cell>
          <cell r="AC787">
            <v>100</v>
          </cell>
          <cell r="AD787" t="str">
            <v>3</v>
          </cell>
          <cell r="AE787">
            <v>80</v>
          </cell>
          <cell r="AF787">
            <v>2</v>
          </cell>
          <cell r="AG787">
            <v>50</v>
          </cell>
          <cell r="AH787">
            <v>3582810367223</v>
          </cell>
          <cell r="AI787" t="str">
            <v>/</v>
          </cell>
          <cell r="AJ787" t="str">
            <v>ETVA672V5</v>
          </cell>
          <cell r="AK787" t="str">
            <v>ETVA672V5</v>
          </cell>
          <cell r="AL787" t="str">
            <v>ETCVA6722V5</v>
          </cell>
          <cell r="AM787" t="str">
            <v>Création maison</v>
          </cell>
        </row>
        <row r="788">
          <cell r="A788" t="str">
            <v>TR2141</v>
          </cell>
          <cell r="B788"/>
          <cell r="C788"/>
          <cell r="D788"/>
          <cell r="E788"/>
          <cell r="F788"/>
          <cell r="G788"/>
          <cell r="H788" t="str">
            <v>LES GRANDS CLASSIQUES</v>
          </cell>
          <cell r="I788"/>
          <cell r="J788" t="str">
            <v>Zoulou Digest</v>
          </cell>
          <cell r="K788" t="str">
            <v>Digestion
Carvi - Fenouil - Anis</v>
          </cell>
          <cell r="L788" t="str">
            <v>Rooibos parfumé</v>
          </cell>
          <cell r="M788" t="str">
            <v>Afrique du Sud - Cap Occidental</v>
          </cell>
          <cell r="N788" t="str">
            <v>AB</v>
          </cell>
          <cell r="O788" t="str">
            <v>WFTO</v>
          </cell>
          <cell r="P788" t="str">
            <v>/</v>
          </cell>
          <cell r="Q788" t="str">
            <v>/</v>
          </cell>
          <cell r="R788" t="str">
            <v>/</v>
          </cell>
          <cell r="S788" t="str">
            <v>/</v>
          </cell>
          <cell r="T788" t="str">
            <v>Agriculture UE/non UE</v>
          </cell>
          <cell r="U788"/>
          <cell r="V788" t="str">
            <v>Voyage au cœur des peuples et traditions d'Afrique du Sud, ce merveilleux breuvage est né du mariage du rooibos et d’épices digestives à la saveur anisée. Raffinée et dépaysante, cette boisson est à savourer à tout moment, chaude ou glacée.</v>
          </cell>
          <cell r="W788"/>
          <cell r="X788" t="str">
            <v>Cette tisane digestive qui marie agréablement la douceur du rooibos avec les notes épicées du mélange carvi, fenouil, anis et coriandre est un véritable coup de pouce en fin de repas. Elle réunit des plantes qui stimulent la digestion et s’apprécie aussi bien chaude que glacée.</v>
          </cell>
          <cell r="Y788"/>
          <cell r="Z788" t="str">
            <v>Ingrédients : rooibos*, carvi* 8%, fenouil* 6%, anis* 6%, coriandre*. *Issu de l'agriculture biologique.</v>
          </cell>
          <cell r="AA788" t="str">
            <v>Consommation journalière conseillée : 1,5 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788" t="str">
            <v>Membre certifié World Fair Trade Organization, Les Jardins de Gaïa s’engagent pour un commerce plus juste et répondent aux exigences du commerce équitable. Pour en savoir plus : www.wfto.com.</v>
          </cell>
          <cell r="AC788">
            <v>1.5</v>
          </cell>
          <cell r="AD788" t="str">
            <v>5-10</v>
          </cell>
          <cell r="AE788">
            <v>95</v>
          </cell>
          <cell r="AF788">
            <v>2</v>
          </cell>
          <cell r="AG788">
            <v>750</v>
          </cell>
          <cell r="AH788">
            <v>3582810921418</v>
          </cell>
          <cell r="AI788" t="str">
            <v>/</v>
          </cell>
          <cell r="AJ788" t="str">
            <v>INTERNE</v>
          </cell>
          <cell r="AK788" t="str">
            <v>INTERNE</v>
          </cell>
          <cell r="AL788" t="str">
            <v>/</v>
          </cell>
          <cell r="AM788" t="str">
            <v>Création maison</v>
          </cell>
        </row>
        <row r="789">
          <cell r="A789" t="str">
            <v>TR2142</v>
          </cell>
          <cell r="B789"/>
          <cell r="C789" t="str">
            <v>X</v>
          </cell>
          <cell r="D789" t="str">
            <v>X</v>
          </cell>
          <cell r="E789" t="str">
            <v>X</v>
          </cell>
          <cell r="F789" t="str">
            <v>GRAI</v>
          </cell>
          <cell r="G789">
            <v>45383</v>
          </cell>
          <cell r="H789" t="str">
            <v>LES GRANDS CLASSIQUES</v>
          </cell>
          <cell r="I789"/>
          <cell r="J789" t="str">
            <v>Zoulou Digest</v>
          </cell>
          <cell r="K789" t="str">
            <v>Digestion
Carvi - Fenouil - Anis</v>
          </cell>
          <cell r="L789" t="str">
            <v>Rooibos parfumé</v>
          </cell>
          <cell r="M789" t="str">
            <v>Afrique du Sud - Cap Occidental</v>
          </cell>
          <cell r="N789" t="str">
            <v>AB</v>
          </cell>
          <cell r="O789" t="str">
            <v>WFTO</v>
          </cell>
          <cell r="P789" t="str">
            <v>/</v>
          </cell>
          <cell r="Q789" t="str">
            <v>/</v>
          </cell>
          <cell r="R789" t="str">
            <v>/</v>
          </cell>
          <cell r="S789" t="str">
            <v>/</v>
          </cell>
          <cell r="T789" t="str">
            <v>Agriculture UE/non UE</v>
          </cell>
          <cell r="U789"/>
          <cell r="V789" t="str">
            <v>Voyage au cœur des peuples et traditions d'Afrique du Sud, ce merveilleux breuvage est né du mariage du rooibos et d’épices digestives à la saveur anisée. Raffinée et dépaysante, cette boisson est à savourer à tout moment, chaude ou glacée.</v>
          </cell>
          <cell r="W789"/>
          <cell r="X789" t="str">
            <v>Cette tisane digestive qui marie agréablement la douceur du rooibos avec les notes épicées du mélange carvi, fenouil, anis et coriandre est un véritable coup de pouce en fin de repas. Elle réunit des plantes qui stimulent la digestion et s’apprécie aussi bien chaude que glacée.</v>
          </cell>
          <cell r="Y789"/>
          <cell r="Z789" t="str">
            <v>Ingrédients : rooibos*, carvi* 8%, fenouil* 6%, anis* 6%, coriandre*. *Issu de l'agriculture biologique.</v>
          </cell>
          <cell r="AA789" t="str">
            <v>Consommation journalière conseillée : 1,5 L.
Il est recommandé d'adopter un mode de vie sain et une alimentation variée et équilibrée pour profiter pleinement des vertus de cette infusion. Informations nutritionnelles moyennes pour 100 ml : Énergie 3 kJ/1 kcal. Cette infusion contient des quantités négligeables de matières grasses dont acides gras saturés, de glucides dont sucres, de protéines et de sel.</v>
          </cell>
          <cell r="AB789" t="str">
            <v>Membre certifié World Fair Trade Organization, Les Jardins de Gaïa s’engagent pour un commerce plus juste et répondent aux exigences du commerce équitable. Pour en savoir plus : www.wfto.com.</v>
          </cell>
          <cell r="AC789">
            <v>100</v>
          </cell>
          <cell r="AD789" t="str">
            <v>5-10</v>
          </cell>
          <cell r="AE789">
            <v>95</v>
          </cell>
          <cell r="AF789">
            <v>2</v>
          </cell>
          <cell r="AG789">
            <v>50</v>
          </cell>
          <cell r="AH789">
            <v>3582810921425</v>
          </cell>
          <cell r="AI789" t="str">
            <v>/</v>
          </cell>
          <cell r="AJ789" t="str">
            <v>ETRM214</v>
          </cell>
          <cell r="AK789" t="str">
            <v>ETRM214V5</v>
          </cell>
          <cell r="AL789" t="str">
            <v>ETCRM2142V5</v>
          </cell>
          <cell r="AM789" t="str">
            <v>Heiveld Cooperative</v>
          </cell>
        </row>
      </sheetData>
      <sheetData sheetId="5">
        <row r="1">
          <cell r="A1" t="str">
            <v>CODE PF</v>
          </cell>
          <cell r="B1" t="str">
            <v>DÉNOMINATION FR</v>
          </cell>
          <cell r="C1" t="str">
            <v>SOUS-DÉS FR</v>
          </cell>
          <cell r="D1" t="str">
            <v>DÉNOMINATION EN</v>
          </cell>
          <cell r="E1" t="str">
            <v>SOUS-DÉS EN</v>
          </cell>
          <cell r="F1" t="str">
            <v>TYPE DE THÉ EN</v>
          </cell>
          <cell r="G1" t="str">
            <v>LISTE D'INGRÉDIENTS EN</v>
          </cell>
          <cell r="H1" t="str">
            <v>ALLÉGATIONS SANTÉ EN</v>
          </cell>
          <cell r="I1" t="str">
            <v>PHRASE WFTO EN</v>
          </cell>
          <cell r="J1" t="str">
            <v>INFO EN</v>
          </cell>
          <cell r="K1" t="str">
            <v>SERVERAL INFUSIONS</v>
          </cell>
          <cell r="L1" t="str">
            <v>TEXTE INTRO ÉTIQUETTE EN</v>
          </cell>
        </row>
        <row r="2">
          <cell r="A2" t="str">
            <v>TM7882</v>
          </cell>
          <cell r="B2" t="str">
            <v>… Mon Amour</v>
          </cell>
          <cell r="C2" t="str">
            <v>Second Flush du jardin de Selimbong</v>
          </cell>
          <cell r="D2" t="str">
            <v>… Mon Amour</v>
          </cell>
          <cell r="E2" t="str">
            <v>Selimbong Garden Second Flush</v>
          </cell>
          <cell r="F2" t="str">
            <v>Organic Original Black Tea</v>
          </cell>
          <cell r="G2" t="str">
            <v>Ingredient: black tea**. **From organic and biodynamic farming. demeter is the brand for products from biodynamic agriculture.</v>
          </cell>
          <cell r="H2" t="str">
            <v>/</v>
          </cell>
          <cell r="I2" t="str">
            <v>As a certified member of the World Fair Trade Organization, Les Jardins de Gaïa is committed to fairer trade and meets the requirements of fair trade. For more information: www.wfto.com.</v>
          </cell>
          <cell r="J2" t="str">
            <v>Loose leaf tea</v>
          </cell>
          <cell r="K2" t="str">
            <v>/</v>
          </cell>
          <cell r="L2"/>
        </row>
        <row r="3">
          <cell r="A3" t="str">
            <v>TH5601</v>
          </cell>
          <cell r="B3" t="str">
            <v>À 40 ans la femme</v>
          </cell>
          <cell r="C3" t="str">
            <v>Relaxante
Mélisse - Lavande</v>
          </cell>
          <cell r="D3" t="str">
            <v>Fabulous at 40</v>
          </cell>
          <cell r="E3" t="str">
            <v>Relaxing
Lemon balm - Lavender</v>
          </cell>
          <cell r="F3" t="str">
            <v>Organic Herbal Tea Infusion</v>
          </cell>
          <cell r="G3" t="str">
            <v>Ingredients: lemon balm* 42% (Melissa officinalis), sage* (Salvia officinalis), rosemary* (Rosmarinus officinalis), lavender* 12% (Lavandula augustifolia), hyssop* (Hyssopus officinalis), rosebuds* (Rosa damascena), cornflower petals* (Centaurea cyanus). *From organic farming.</v>
          </cell>
          <cell r="H3" t="str">
            <v>Recommended daily consumption: four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3" t="str">
            <v>/</v>
          </cell>
          <cell r="J3" t="str">
            <v>Loose Infusion</v>
          </cell>
          <cell r="K3" t="str">
            <v>/</v>
          </cell>
          <cell r="L3" t="str">
            <v>/</v>
          </cell>
        </row>
        <row r="4">
          <cell r="A4" t="str">
            <v>TH560</v>
          </cell>
          <cell r="B4" t="str">
            <v>À 40 ans la femme</v>
          </cell>
          <cell r="C4" t="str">
            <v>Relaxante
Mélisse - Lavande</v>
          </cell>
          <cell r="D4" t="str">
            <v>Fabulous at 40</v>
          </cell>
          <cell r="E4" t="str">
            <v>Relaxing
Lemon balm - Lavender</v>
          </cell>
          <cell r="F4" t="str">
            <v>Organic Herbal Tea Infusion</v>
          </cell>
          <cell r="G4" t="str">
            <v>Ingredients: lemon balm* 42% (Melissa officinalis), sage* (Salvia officinalis), rosemary* (Rosmarinus officinalis), lavender* 12% (Lavandula augustifolia), hyssop* (Hyssopus officinalis), rosebuds* (Rosa damascena), cornflower petals* (Centaurea cyanus). *From organic farming.</v>
          </cell>
          <cell r="H4" t="str">
            <v>Recommended daily consumption: four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4" t="str">
            <v>/</v>
          </cell>
          <cell r="J4" t="str">
            <v>Loose Infusion</v>
          </cell>
          <cell r="K4" t="str">
            <v>/</v>
          </cell>
          <cell r="L4" t="str">
            <v>/</v>
          </cell>
        </row>
        <row r="5">
          <cell r="A5" t="str">
            <v>TA7092</v>
          </cell>
          <cell r="B5" t="str">
            <v>À l’ombre des amandiers</v>
          </cell>
          <cell r="C5" t="str">
            <v>Amande</v>
          </cell>
          <cell r="D5" t="str">
            <v>In the shade of the almond trees</v>
          </cell>
          <cell r="E5" t="str">
            <v>Almond</v>
          </cell>
          <cell r="F5" t="str">
            <v>Organic Flavoured Black Tea</v>
          </cell>
          <cell r="G5" t="str">
            <v>Ingredients: black tea*, natural almond* flavouring 7%, flaked almonds* 3%, strawberry plant leaves*. *From organic farming.</v>
          </cell>
          <cell r="H5" t="str">
            <v>/</v>
          </cell>
          <cell r="I5" t="str">
            <v>As a certified member of the World Fair Trade Organization, Les Jardins de Gaïa is committed to fairer trade and meets the requirements of fair trade. For more information: www.wfto.com.</v>
          </cell>
          <cell r="J5" t="str">
            <v>Loose leaf tea</v>
          </cell>
          <cell r="K5" t="str">
            <v>/</v>
          </cell>
          <cell r="L5"/>
        </row>
        <row r="6">
          <cell r="A6" t="str">
            <v>TH0641</v>
          </cell>
          <cell r="B6" t="str">
            <v>À pleins poumons</v>
          </cell>
          <cell r="C6" t="str">
            <v>Respiratoire
Thym vulgaire - Hysope - Menthe poivrée - Pétales de souci</v>
          </cell>
          <cell r="D6" t="str">
            <v>Lungful</v>
          </cell>
          <cell r="E6" t="str">
            <v>Respiratory
Common thyme - Hyssop - Peppermint - Marigold petals</v>
          </cell>
          <cell r="F6" t="str">
            <v>Organic Herbal Tea Infusion</v>
          </cell>
          <cell r="G6" t="str">
            <v>Ingredients: lemon thyme* (Thymus citriodorus), thyme* 17% (Thymus vulgaris), hyssop* 17% (Hyssopus officinalis), amaranth* (Gomphrena globosa), elderflowers* (Sambucus nigra L.), peppermint* 7% (Mentha piperita), marigold petals* 5% (Calendula officinalis), pennyroyal* (Mentha pulegium), mauve* (Malva sylvestris). *From organic farming.</v>
          </cell>
          <cell r="H6"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6" t="str">
            <v>/</v>
          </cell>
          <cell r="J6" t="str">
            <v>Loose Infusion</v>
          </cell>
          <cell r="K6" t="str">
            <v>/</v>
          </cell>
          <cell r="L6" t="str">
            <v>/</v>
          </cell>
        </row>
        <row r="7">
          <cell r="A7" t="str">
            <v>TH0646</v>
          </cell>
          <cell r="B7" t="str">
            <v>À pleins poumons</v>
          </cell>
          <cell r="C7" t="str">
            <v>Respiratoire
Thym vulgaire - Hysope - Menthe poivrée - Pétales de souci</v>
          </cell>
          <cell r="D7" t="str">
            <v>Lungful</v>
          </cell>
          <cell r="E7" t="str">
            <v>Respiratory
Common thyme - Hyssop - Peppermint - Marigold petals</v>
          </cell>
          <cell r="F7" t="str">
            <v>Organic Herbal Tea Infusion</v>
          </cell>
          <cell r="G7" t="str">
            <v>Ingredients: lemon thyme* (Thymus citriodorus), thyme* 17% (Thymus vulgaris), hyssop* 17% (Hyssopus officinalis), amaranth* (Gomphrena globosa), elderflowers* (Sambucus nigra L.), peppermint* 7% (Mentha piperita), marigold petals* 5% (Calendula officinalis), pennyroyal* (Mentha pulegium), mauve* (Malva sylvestris). *From organic farming.</v>
          </cell>
          <cell r="H7"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7" t="str">
            <v>/</v>
          </cell>
          <cell r="J7" t="str">
            <v>Loose Infusion</v>
          </cell>
          <cell r="K7" t="str">
            <v>/</v>
          </cell>
          <cell r="L7" t="str">
            <v>/</v>
          </cell>
        </row>
        <row r="8">
          <cell r="A8" t="str">
            <v>TR2242</v>
          </cell>
          <cell r="B8" t="str">
            <v>African Grey</v>
          </cell>
          <cell r="C8" t="str">
            <v>Huile essentielle de bergamote</v>
          </cell>
          <cell r="D8" t="str">
            <v>African Grey</v>
          </cell>
          <cell r="E8" t="str">
            <v>Bergamot essential oil</v>
          </cell>
          <cell r="F8" t="str">
            <v>Organic Flavoured Rooibos</v>
          </cell>
          <cell r="G8" t="str">
            <v>Ingredients: rooibos**, bergamot essential oil* 2%. *From organic farming. **From organic and biodynamic farming. demeter is the brand for products from biodynamic agriculture.</v>
          </cell>
          <cell r="H8" t="str">
            <v>/</v>
          </cell>
          <cell r="I8" t="str">
            <v>As a certified member of the World Fair Trade Organization, Les Jardins de Gaïa is committed to fairer trade and meets the requirements of fair trade. For more information: www.wfto.com.</v>
          </cell>
          <cell r="J8" t="str">
            <v>Loose rooibos</v>
          </cell>
          <cell r="K8" t="str">
            <v>/</v>
          </cell>
          <cell r="L8" t="str">
            <v>/</v>
          </cell>
        </row>
        <row r="9">
          <cell r="A9" t="str">
            <v>TR2202</v>
          </cell>
          <cell r="B9" t="str">
            <v>African Masala</v>
          </cell>
          <cell r="C9" t="str">
            <v>Épices</v>
          </cell>
          <cell r="D9" t="str">
            <v>African Masala</v>
          </cell>
          <cell r="E9" t="str">
            <v>Spices</v>
          </cell>
          <cell r="F9" t="str">
            <v>Organic Perfumed Rooibos</v>
          </cell>
          <cell r="G9" t="str">
            <v>Ingredients: rooibos**, spices (cinnamon**, ginger**, black pepper**, cloves**, cardamom**) 15%. **From organic and biodynamic farming. demeter is the brand for products from biodynamic agriculture.</v>
          </cell>
          <cell r="H9" t="str">
            <v>/</v>
          </cell>
          <cell r="I9" t="str">
            <v>As a certified member of the World Fair Trade Organization, Les Jardins de Gaïa is committed to fairer trade and meets the requirements of fair trade. For more information: www.wfto.com.</v>
          </cell>
          <cell r="J9" t="str">
            <v>Loose rooibos</v>
          </cell>
          <cell r="K9" t="str">
            <v>/</v>
          </cell>
          <cell r="L9" t="str">
            <v>/</v>
          </cell>
        </row>
        <row r="10">
          <cell r="A10" t="str">
            <v>TB7166</v>
          </cell>
          <cell r="B10" t="str">
            <v>Aiguilles d'argent de Fuding</v>
          </cell>
          <cell r="C10" t="str">
            <v>Silver needles 福鼎银针</v>
          </cell>
          <cell r="D10" t="str">
            <v>Fuding Silver Needle</v>
          </cell>
          <cell r="E10" t="str">
            <v>福鼎银针</v>
          </cell>
          <cell r="F10" t="str">
            <v>Singel Estate Organic Mingqian White Tea</v>
          </cell>
          <cell r="G10" t="str">
            <v xml:space="preserve">Ingredient: white tea*. *From organic farming. </v>
          </cell>
          <cell r="H10" t="str">
            <v>/</v>
          </cell>
          <cell r="I10" t="str">
            <v>/</v>
          </cell>
          <cell r="J10" t="str">
            <v>Loose leaf tea</v>
          </cell>
          <cell r="K10" t="str">
            <v>Several infusions</v>
          </cell>
          <cell r="L10"/>
        </row>
        <row r="11">
          <cell r="A11" t="str">
            <v>TB7166R</v>
          </cell>
          <cell r="B11" t="str">
            <v>Aiguilles d'argent de Fuding</v>
          </cell>
          <cell r="C11" t="str">
            <v>Silver needles 福鼎银针</v>
          </cell>
          <cell r="D11" t="str">
            <v>Fuding Silver Needle</v>
          </cell>
          <cell r="E11" t="str">
            <v>福鼎银针</v>
          </cell>
          <cell r="F11" t="str">
            <v>Singel Estate Organic Mingqian White Tea</v>
          </cell>
          <cell r="G11" t="str">
            <v xml:space="preserve">Ingredient: white tea*. *From organic farming. </v>
          </cell>
          <cell r="H11" t="str">
            <v>/</v>
          </cell>
          <cell r="I11" t="str">
            <v>/</v>
          </cell>
          <cell r="J11" t="str">
            <v>Loose leaf tea</v>
          </cell>
          <cell r="K11" t="str">
            <v>Several infusions</v>
          </cell>
          <cell r="L11"/>
        </row>
        <row r="12">
          <cell r="A12" t="str">
            <v>TB7165</v>
          </cell>
          <cell r="B12" t="str">
            <v>Aiguilles d'argent de Fuding</v>
          </cell>
          <cell r="C12" t="str">
            <v>Silver needles 福鼎银针</v>
          </cell>
          <cell r="D12" t="str">
            <v>Fuding Silver Needle</v>
          </cell>
          <cell r="E12" t="str">
            <v>福鼎银针</v>
          </cell>
          <cell r="F12" t="str">
            <v>Singel Estate Organic Mingqian White Tea</v>
          </cell>
          <cell r="G12" t="str">
            <v xml:space="preserve">Ingredient: white tea*. *From organic farming. </v>
          </cell>
          <cell r="H12" t="str">
            <v>/</v>
          </cell>
          <cell r="I12" t="str">
            <v>/</v>
          </cell>
          <cell r="J12" t="str">
            <v>Loose leaf tea</v>
          </cell>
          <cell r="K12" t="str">
            <v>Several infusions</v>
          </cell>
          <cell r="L12"/>
        </row>
        <row r="13">
          <cell r="A13" t="str">
            <v>TB7166</v>
          </cell>
          <cell r="B13" t="str">
            <v>Aiguilles d'argent de Fuding</v>
          </cell>
          <cell r="C13" t="str">
            <v>Silver needles 福鼎银针</v>
          </cell>
          <cell r="D13" t="str">
            <v>Fuding Silver Needle</v>
          </cell>
          <cell r="E13" t="str">
            <v>福鼎银针</v>
          </cell>
          <cell r="F13" t="str">
            <v>Singel Estate Organic Mingqian White Tea</v>
          </cell>
          <cell r="G13" t="str">
            <v xml:space="preserve">Ingredient: white tea*. *From organic farming. </v>
          </cell>
          <cell r="H13" t="str">
            <v>/</v>
          </cell>
          <cell r="I13" t="str">
            <v>/</v>
          </cell>
          <cell r="J13" t="str">
            <v>Loose leaf tea</v>
          </cell>
          <cell r="K13" t="str">
            <v>Several infusions</v>
          </cell>
          <cell r="L13"/>
        </row>
        <row r="14">
          <cell r="A14" t="str">
            <v>TB7166R</v>
          </cell>
          <cell r="B14" t="str">
            <v>Aiguilles d'argent de Fuding</v>
          </cell>
          <cell r="C14" t="str">
            <v>Silver needles 福鼎银针</v>
          </cell>
          <cell r="D14" t="str">
            <v>Fuding Silver Needle</v>
          </cell>
          <cell r="E14" t="str">
            <v>福鼎银针</v>
          </cell>
          <cell r="F14" t="str">
            <v>Singel Estate Organic Mingqian White Tea</v>
          </cell>
          <cell r="G14" t="str">
            <v xml:space="preserve">Ingredient: white tea*. *From organic farming. </v>
          </cell>
          <cell r="H14" t="str">
            <v>/</v>
          </cell>
          <cell r="I14" t="str">
            <v>/</v>
          </cell>
          <cell r="J14" t="str">
            <v>Loose leaf tea</v>
          </cell>
          <cell r="K14" t="str">
            <v>Several infusions</v>
          </cell>
          <cell r="L14"/>
        </row>
        <row r="15">
          <cell r="A15" t="str">
            <v>TJ2152</v>
          </cell>
          <cell r="B15" t="str">
            <v>Aki Bancha</v>
          </cell>
          <cell r="C15" t="str">
            <v>/</v>
          </cell>
          <cell r="D15" t="str">
            <v>Aki Bancha</v>
          </cell>
          <cell r="E15" t="str">
            <v>/</v>
          </cell>
          <cell r="F15" t="str">
            <v>Organic Original Green Tea</v>
          </cell>
          <cell r="G15" t="str">
            <v>Ingredient: green tea*. *From organic farming.</v>
          </cell>
          <cell r="H15" t="str">
            <v>/</v>
          </cell>
          <cell r="I15" t="str">
            <v>/</v>
          </cell>
          <cell r="J15" t="str">
            <v>Loose leaf tea</v>
          </cell>
          <cell r="K15" t="str">
            <v>/</v>
          </cell>
          <cell r="L15"/>
        </row>
        <row r="16">
          <cell r="A16" t="str">
            <v>TR2322</v>
          </cell>
          <cell r="B16" t="str">
            <v>Asimbonanga</v>
          </cell>
          <cell r="C16" t="str">
            <v>Mangue - Saveurs pêche - citron</v>
          </cell>
          <cell r="D16" t="str">
            <v>Asimbonanga</v>
          </cell>
          <cell r="E16" t="str">
            <v>Mango - Peach - lemon flavours</v>
          </cell>
          <cell r="F16" t="str">
            <v>Organic Flavoured Rooibos</v>
          </cell>
          <cell r="G16" t="str">
            <v>Ingredients: rooibos*, natural (mango*, peach*) flavourings 10% , mango pieces* 3%, lemon essential oil* 1%, marigold petals*. *From organic farming.</v>
          </cell>
          <cell r="H16" t="str">
            <v>/</v>
          </cell>
          <cell r="I16" t="str">
            <v>As a certified member of the World Fair Trade Organization, Les Jardins de Gaïa is committed to fairer trade and meets the requirements of fair trade. For more information: www.wfto.com.</v>
          </cell>
          <cell r="J16" t="str">
            <v>Loose rooibos</v>
          </cell>
          <cell r="K16" t="str">
            <v>/</v>
          </cell>
          <cell r="L16" t="str">
            <v>/</v>
          </cell>
        </row>
        <row r="17">
          <cell r="A17" t="str">
            <v>TUTR2322</v>
          </cell>
          <cell r="B17" t="str">
            <v>Asimbonanga</v>
          </cell>
          <cell r="C17" t="str">
            <v>Mangue - Saveurs pêche - citron</v>
          </cell>
          <cell r="D17" t="str">
            <v>Asimbonanga</v>
          </cell>
          <cell r="E17" t="str">
            <v>Mango - Peach - lemon flavours</v>
          </cell>
          <cell r="F17" t="str">
            <v>Organic Flavoured Rooibos</v>
          </cell>
          <cell r="G17" t="str">
            <v>Ingredients: rooibos*, natural (mango*, peach*) flavourings 10% , mango pieces* 3%, lemon essential oil* 1%, marigold petals*. *From organic farming.</v>
          </cell>
          <cell r="H17" t="str">
            <v>/</v>
          </cell>
          <cell r="I17" t="str">
            <v>As a certified member of the World Fair Trade Organization, Les Jardins de Gaïa is committed to fairer trade and meets the requirements of fair trade. For more information: www.wfto.com.</v>
          </cell>
          <cell r="J17" t="str">
            <v>Loose rooibos</v>
          </cell>
          <cell r="K17" t="str">
            <v>/</v>
          </cell>
          <cell r="L17" t="str">
            <v>/</v>
          </cell>
        </row>
        <row r="18">
          <cell r="A18" t="str">
            <v>TR2212</v>
          </cell>
          <cell r="B18" t="str">
            <v xml:space="preserve">Au coin du feu remplace Bushmen
juillet 2023 </v>
          </cell>
          <cell r="C18" t="str">
            <v>Cannelle</v>
          </cell>
          <cell r="D18" t="str">
            <v>At the fireside</v>
          </cell>
          <cell r="E18" t="str">
            <v>Cinnamon</v>
          </cell>
          <cell r="F18" t="str">
            <v>Organic Perfumed Rooibos</v>
          </cell>
          <cell r="G18" t="str">
            <v xml:space="preserve">Ingredients: rooibos*, cinnamon* 16%, marigold petals*, amaranth*. *From organic farming.  </v>
          </cell>
          <cell r="H18" t="str">
            <v>/</v>
          </cell>
          <cell r="I18" t="str">
            <v>As a certified member of the World Fair Trade Organization, Les Jardins de Gaïa is committed to fairer trade and meets the requirements of fair trade. For more information: www.wfto.com.</v>
          </cell>
          <cell r="J18" t="str">
            <v>Loose rooibos</v>
          </cell>
          <cell r="K18" t="str">
            <v>/</v>
          </cell>
          <cell r="L18" t="str">
            <v>/</v>
          </cell>
        </row>
        <row r="19">
          <cell r="A19" t="str">
            <v>TUTR2212</v>
          </cell>
          <cell r="B19" t="str">
            <v xml:space="preserve">Au coin du feu remplace Bushmen
juillet 2023 </v>
          </cell>
          <cell r="C19" t="str">
            <v>Cannelle</v>
          </cell>
          <cell r="D19" t="str">
            <v>At the fireside</v>
          </cell>
          <cell r="E19" t="str">
            <v>Cinnamon</v>
          </cell>
          <cell r="F19" t="str">
            <v>Organic Perfumed Rooibos</v>
          </cell>
          <cell r="G19" t="str">
            <v xml:space="preserve">Ingredients: rooibos*, cinnamon* 16%, marigold petals*, amaranth*. *From organic farming.  </v>
          </cell>
          <cell r="H19" t="str">
            <v>/</v>
          </cell>
          <cell r="I19" t="str">
            <v>As a certified member of the World Fair Trade Organization, Les Jardins de Gaïa is committed to fairer trade and meets the requirements of fair trade. For more information: www.wfto.com.</v>
          </cell>
          <cell r="J19" t="str">
            <v>Loose rooibos</v>
          </cell>
          <cell r="K19" t="str">
            <v>/</v>
          </cell>
          <cell r="L19" t="str">
            <v>/</v>
          </cell>
        </row>
        <row r="20">
          <cell r="A20" t="str">
            <v>TM6922</v>
          </cell>
          <cell r="B20" t="str">
            <v>Aux racines du calme</v>
          </cell>
          <cell r="C20" t="str">
            <v>Ginseng</v>
          </cell>
          <cell r="D20" t="str">
            <v>The roots of calmess</v>
          </cell>
          <cell r="E20" t="str">
            <v>Ginseng</v>
          </cell>
          <cell r="F20" t="str">
            <v>Organic Perfumed Green Tea</v>
          </cell>
          <cell r="G20" t="str">
            <v>Ingredients: green tea*, ginseng* 16.5%. *From organic farming.</v>
          </cell>
          <cell r="H20" t="str">
            <v>/</v>
          </cell>
          <cell r="I20" t="str">
            <v>/</v>
          </cell>
          <cell r="J20" t="str">
            <v>Loose leaf tea</v>
          </cell>
          <cell r="K20" t="str">
            <v>/</v>
          </cell>
          <cell r="L20"/>
        </row>
        <row r="21">
          <cell r="A21" t="str">
            <v>TM0202</v>
          </cell>
          <cell r="B21" t="str">
            <v>Avec les Anges</v>
          </cell>
          <cell r="C21" t="str">
            <v>Rose - Saveur vanille</v>
          </cell>
          <cell r="D21" t="str">
            <v>Tea with the Angels</v>
          </cell>
          <cell r="E21" t="str">
            <v>Rose - Vanilla flavour</v>
          </cell>
          <cell r="F21" t="str">
            <v>Organic Flavoured White Tea</v>
          </cell>
          <cell r="G21" t="str">
            <v xml:space="preserve">Ingredients: white tea*, extract (rose* 3%, vanilla* 2%), flower petals (rose* 0.5%, mallow*, lavender*, marigold*, sunflower*, cornflower*). *From organic farming. </v>
          </cell>
          <cell r="H21" t="str">
            <v>/</v>
          </cell>
          <cell r="I21" t="str">
            <v>As a certified member of the World Fair Trade Organization, Les Jardins de Gaïa is committed to fairer trade and meets the requirements of fair trade. For more information: www.wfto.com.</v>
          </cell>
          <cell r="J21" t="str">
            <v>Loose leaf tea</v>
          </cell>
          <cell r="K21" t="str">
            <v>/</v>
          </cell>
          <cell r="L21"/>
        </row>
        <row r="22">
          <cell r="A22" t="str">
            <v>TM0206</v>
          </cell>
          <cell r="B22" t="str">
            <v>Avec les Anges</v>
          </cell>
          <cell r="C22" t="str">
            <v>Rose - Saveur vanille</v>
          </cell>
          <cell r="D22" t="str">
            <v>Tea with the Angels</v>
          </cell>
          <cell r="E22" t="str">
            <v>Rose - Vanilla flavour</v>
          </cell>
          <cell r="F22" t="str">
            <v>Organic Flavoured White Tea</v>
          </cell>
          <cell r="G22" t="str">
            <v xml:space="preserve">Ingredients: white tea*, extract (rose* 3%, vanilla* 2%), flower petals (rose* 0.5%, mallow*, lavender*, marigold*, sunflower*, cornflower*). *From organic farming. </v>
          </cell>
          <cell r="H22" t="str">
            <v>/</v>
          </cell>
          <cell r="I22" t="str">
            <v>As a certified member of the World Fair Trade Organization, Les Jardins de Gaïa is committed to fairer trade and meets the requirements of fair trade. For more information: www.wfto.com.</v>
          </cell>
          <cell r="J22" t="str">
            <v>Loose leaf tea</v>
          </cell>
          <cell r="K22" t="str">
            <v>/</v>
          </cell>
          <cell r="L22"/>
        </row>
        <row r="23">
          <cell r="A23" t="str">
            <v>TM0206</v>
          </cell>
          <cell r="B23" t="str">
            <v>Avec les Anges</v>
          </cell>
          <cell r="C23" t="str">
            <v>Rose - Saveur vanille</v>
          </cell>
          <cell r="D23" t="str">
            <v>Tea with the Angels</v>
          </cell>
          <cell r="E23" t="str">
            <v>Rose - Vanilla flavour</v>
          </cell>
          <cell r="F23" t="str">
            <v>Organic Flavoured White Tea</v>
          </cell>
          <cell r="G23" t="str">
            <v xml:space="preserve">Ingredients: white tea*, extract (rose* 3%, vanilla* 2%), flower petals (rose* 0.5%, mallow*, lavender*, marigold*, sunflower*, cornflower*). *From organic farming. </v>
          </cell>
          <cell r="H23" t="str">
            <v>/</v>
          </cell>
          <cell r="I23" t="str">
            <v>As a certified member of the World Fair Trade Organization, Les Jardins de Gaïa is committed to fairer trade and meets the requirements of fair trade. For more information: www.wfto.com.</v>
          </cell>
          <cell r="J23" t="str">
            <v>Loose leaf tea</v>
          </cell>
          <cell r="K23" t="str">
            <v>/</v>
          </cell>
          <cell r="L23"/>
        </row>
        <row r="24">
          <cell r="A24" t="str">
            <v>TA7332</v>
          </cell>
          <cell r="B24" t="str">
            <v>Babouchka</v>
          </cell>
          <cell r="C24" t="str">
            <v>Goût russe</v>
          </cell>
          <cell r="D24" t="str">
            <v>Babouchka</v>
          </cell>
          <cell r="E24" t="str">
            <v>Russian Flavour</v>
          </cell>
          <cell r="F24" t="str">
            <v>Organic Flavoured Black Tea</v>
          </cell>
          <cell r="G24" t="str">
            <v xml:space="preserve">Ingredients : black tea*, essential oils (grapefruit*, bergamot*, orange*, lemon*, mandarin*) 2%, strawberry leaves*. *From organic farming. </v>
          </cell>
          <cell r="H24" t="str">
            <v>/</v>
          </cell>
          <cell r="I24" t="str">
            <v>As a certified member of the World Fair Trade Organization, Les Jardins de Gaïa is committed to fairer trade and meets the requirements of fair trade. For more information: www.wfto.com.</v>
          </cell>
          <cell r="J24" t="str">
            <v>Loose leaf tea</v>
          </cell>
          <cell r="K24" t="str">
            <v>/</v>
          </cell>
          <cell r="L24"/>
        </row>
        <row r="25">
          <cell r="A25" t="str">
            <v>TB7916</v>
          </cell>
          <cell r="B25" t="str">
            <v>Bai Mu Dan</v>
          </cell>
          <cell r="C25" t="str">
            <v>Pivoine blanche</v>
          </cell>
          <cell r="D25" t="str">
            <v>Bai Mu Dan</v>
          </cell>
          <cell r="E25" t="str">
            <v>White peony</v>
          </cell>
          <cell r="F25" t="str">
            <v>Organic Original White Tea</v>
          </cell>
          <cell r="G25" t="str">
            <v xml:space="preserve">Ingredient: white tea*. *From organic farming. </v>
          </cell>
          <cell r="H25" t="str">
            <v>/</v>
          </cell>
          <cell r="I25" t="str">
            <v>/</v>
          </cell>
          <cell r="J25" t="str">
            <v>Loose leaf tea</v>
          </cell>
          <cell r="K25" t="str">
            <v>/</v>
          </cell>
          <cell r="L25"/>
        </row>
        <row r="26">
          <cell r="A26" t="str">
            <v>TB4032</v>
          </cell>
          <cell r="B26" t="str">
            <v>Bai Mu Dan Premium</v>
          </cell>
          <cell r="C26" t="str">
            <v>Pivoine blanche</v>
          </cell>
          <cell r="D26" t="str">
            <v>Bai Mu Dan Premium</v>
          </cell>
          <cell r="E26" t="str">
            <v>White peony</v>
          </cell>
          <cell r="F26" t="str">
            <v>Organic Original White Tea</v>
          </cell>
          <cell r="G26" t="str">
            <v xml:space="preserve">Ingredient: white tea*. *From organic farming. </v>
          </cell>
          <cell r="H26" t="str">
            <v>/</v>
          </cell>
          <cell r="I26" t="str">
            <v>As a certified member of the World Fair Trade Organization, Les Jardins de Gaïa is committed to fairer trade and meets the requirements of fair trade. For more information: www.wfto.com.</v>
          </cell>
          <cell r="J26" t="str">
            <v>Loose leaf tea</v>
          </cell>
          <cell r="K26" t="str">
            <v>/</v>
          </cell>
          <cell r="L26"/>
        </row>
        <row r="27">
          <cell r="A27" t="str">
            <v>TB4036</v>
          </cell>
          <cell r="B27" t="str">
            <v>Bai Mu Dan Premium</v>
          </cell>
          <cell r="C27" t="str">
            <v>Pivoine blanche</v>
          </cell>
          <cell r="D27" t="str">
            <v>Bai Mu Dan Premium</v>
          </cell>
          <cell r="E27" t="str">
            <v>White peony</v>
          </cell>
          <cell r="F27" t="str">
            <v>Organic Original White Tea</v>
          </cell>
          <cell r="G27" t="str">
            <v xml:space="preserve">Ingredient: white tea*. *From organic farming. </v>
          </cell>
          <cell r="H27" t="str">
            <v>/</v>
          </cell>
          <cell r="I27" t="str">
            <v>As a certified member of the World Fair Trade Organization, Les Jardins de Gaïa is committed to fairer trade and meets the requirements of fair trade. For more information: www.wfto.com.</v>
          </cell>
          <cell r="J27" t="str">
            <v>Loose leaf tea</v>
          </cell>
          <cell r="K27" t="str">
            <v>/</v>
          </cell>
          <cell r="L27"/>
        </row>
        <row r="28">
          <cell r="A28" t="str">
            <v>TA7252</v>
          </cell>
          <cell r="B28" t="str">
            <v>Baiser gourmand</v>
          </cell>
          <cell r="C28" t="str">
            <v>Fraise - Framboise</v>
          </cell>
          <cell r="D28" t="str">
            <v>Sweet Kiss</v>
          </cell>
          <cell r="E28" t="str">
            <v>Strawberry - Raspberry</v>
          </cell>
          <cell r="F28" t="str">
            <v>Organic Flavoured Black Tea</v>
          </cell>
          <cell r="G28" t="str">
            <v>Ingredients: black tea*, natural (raspberry* 3%, strawberry* 2%, blueberry*) flavourings, fruit pieces (raspberry*, strawberry*) 2%, strawberry plant leaves*, rose petals*. *From organic farming.</v>
          </cell>
          <cell r="H28" t="str">
            <v>/</v>
          </cell>
          <cell r="I28" t="str">
            <v>As a certified member of the World Fair Trade Organization, Les Jardins de Gaïa is committed to fairer trade and meets the requirements of fair trade. For more information: www.wfto.com.</v>
          </cell>
          <cell r="J28" t="str">
            <v>Loose leaf tea</v>
          </cell>
          <cell r="K28" t="str">
            <v>/</v>
          </cell>
          <cell r="L28"/>
        </row>
        <row r="29">
          <cell r="A29" t="str">
            <v>TUTA7252</v>
          </cell>
          <cell r="B29" t="str">
            <v>Baiser gourmand</v>
          </cell>
          <cell r="C29" t="str">
            <v>Fraise - Framboise</v>
          </cell>
          <cell r="D29" t="str">
            <v>Sweet Kiss</v>
          </cell>
          <cell r="E29" t="str">
            <v>Strawberry - Raspberry</v>
          </cell>
          <cell r="F29" t="str">
            <v>Organic Flavoured Black Tea</v>
          </cell>
          <cell r="G29" t="str">
            <v>Ingredients: black tea*, natural (raspberry* 3%, strawberry* 2%, blueberry*) flavourings, fruit pieces (raspberry*, strawberry*) 2%, strawberry plant leaves*, rose petals*. *From organic farming.</v>
          </cell>
          <cell r="H29" t="str">
            <v>/</v>
          </cell>
          <cell r="I29" t="str">
            <v>As a certified member of the World Fair Trade Organization, Les Jardins de Gaïa is committed to fairer trade and meets the requirements of fair trade. For more information: www.wfto.com.</v>
          </cell>
          <cell r="J29" t="str">
            <v>Loose leaf tea</v>
          </cell>
          <cell r="K29" t="str">
            <v>/</v>
          </cell>
          <cell r="L29"/>
        </row>
        <row r="30">
          <cell r="A30" t="str">
            <v>TN3182</v>
          </cell>
          <cell r="B30" t="str">
            <v>Balade dans l’Himalaya</v>
          </cell>
          <cell r="C30" t="str">
            <v>Jardin de Selimbong</v>
          </cell>
          <cell r="D30" t="str">
            <v>Tea in the Himalayas</v>
          </cell>
          <cell r="E30" t="str">
            <v>Selimbong Garden</v>
          </cell>
          <cell r="F30" t="str">
            <v>Organic Original Black Tea</v>
          </cell>
          <cell r="G30" t="str">
            <v xml:space="preserve">Ingredient: black tea**. **From organic and biodynamic farming. demeter is the brand for products from biodynamic agriculture. </v>
          </cell>
          <cell r="H30" t="str">
            <v>/</v>
          </cell>
          <cell r="I30" t="str">
            <v>As a certified member of the World Fair Trade Organization, Les Jardins de Gaïa is committed to fairer trade and meets the requirements of fair trade. For more information: www.wfto.com.</v>
          </cell>
          <cell r="J30" t="str">
            <v>Loose leaf tea</v>
          </cell>
          <cell r="K30" t="str">
            <v>/</v>
          </cell>
          <cell r="L30"/>
        </row>
        <row r="31">
          <cell r="A31" t="str">
            <v>TN5452</v>
          </cell>
          <cell r="B31" t="str">
            <v>Banana Black</v>
          </cell>
          <cell r="C31" t="str">
            <v>/</v>
          </cell>
          <cell r="D31" t="str">
            <v>Banana Black</v>
          </cell>
          <cell r="E31" t="str">
            <v>/</v>
          </cell>
          <cell r="F31" t="str">
            <v>Organic Original Black Tea</v>
          </cell>
          <cell r="G31" t="str">
            <v>Ingredient: black tea*. *From organic farming.</v>
          </cell>
          <cell r="H31" t="str">
            <v>/</v>
          </cell>
          <cell r="I31" t="str">
            <v>As a certified member of the World Fair Trade Organization, Les Jardins de Gaïa is committed to fairer trade and meets the requirements of fair trade. For more information: www.wfto.com.</v>
          </cell>
          <cell r="J31" t="str">
            <v>Loose leaf tea</v>
          </cell>
          <cell r="K31" t="str">
            <v>/</v>
          </cell>
          <cell r="L31"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32">
          <cell r="A32" t="str">
            <v>TN3262</v>
          </cell>
          <cell r="B32" t="str">
            <v xml:space="preserve">Banaspaty </v>
          </cell>
          <cell r="C32" t="str">
            <v>TGFOP1</v>
          </cell>
          <cell r="D32" t="str">
            <v xml:space="preserve">Banaspaty </v>
          </cell>
          <cell r="E32" t="str">
            <v>TGFOP1</v>
          </cell>
          <cell r="F32" t="str">
            <v>Organic Original Black Tea</v>
          </cell>
          <cell r="G32" t="str">
            <v>Ingredient: black tea*. *From organic farming.</v>
          </cell>
          <cell r="H32" t="str">
            <v>/</v>
          </cell>
          <cell r="I32" t="str">
            <v>As a certified member of the World Fair Trade Organization, Les Jardins de Gaïa is committed to fairer trade and meets the requirements of fair trade. For more information: www.wfto.com.</v>
          </cell>
          <cell r="J32" t="str">
            <v>Loose leaf tea</v>
          </cell>
          <cell r="K32" t="str">
            <v>/</v>
          </cell>
          <cell r="L32"/>
        </row>
        <row r="33">
          <cell r="A33" t="str">
            <v>TN3832</v>
          </cell>
          <cell r="B33" t="str">
            <v xml:space="preserve">Banaspaty </v>
          </cell>
          <cell r="C33" t="str">
            <v>FTGFOP1</v>
          </cell>
          <cell r="D33" t="str">
            <v xml:space="preserve">Banaspaty </v>
          </cell>
          <cell r="E33" t="str">
            <v>FTGFOP1</v>
          </cell>
          <cell r="F33" t="str">
            <v>Organic Original Black Tea</v>
          </cell>
          <cell r="G33" t="str">
            <v>Ingredient: black tea*. *From organic farming.</v>
          </cell>
          <cell r="H33" t="str">
            <v>/</v>
          </cell>
          <cell r="I33" t="str">
            <v>As a certified member of the World Fair Trade Organization, Les Jardins de Gaïa is committed to fairer trade and meets the requirements of fair trade. For more information: www.wfto.com.</v>
          </cell>
          <cell r="J33" t="str">
            <v>Loose leaf tea</v>
          </cell>
          <cell r="K33" t="str">
            <v>/</v>
          </cell>
          <cell r="L33"/>
        </row>
        <row r="34">
          <cell r="A34" t="str">
            <v>TO1185</v>
          </cell>
          <cell r="B34" t="str">
            <v>Baozhong</v>
          </cell>
          <cell r="C34" t="str">
            <v>包种</v>
          </cell>
          <cell r="D34" t="str">
            <v>Baozhong</v>
          </cell>
          <cell r="E34" t="str">
            <v>包种</v>
          </cell>
          <cell r="F34" t="str">
            <v>Organic Original Wu Long Tea</v>
          </cell>
          <cell r="G34" t="str">
            <v>Ingredient: wu long tea*. *From organic farming.</v>
          </cell>
          <cell r="H34" t="str">
            <v>/</v>
          </cell>
          <cell r="I34" t="str">
            <v>/</v>
          </cell>
          <cell r="J34" t="str">
            <v>Loose leaf tea</v>
          </cell>
          <cell r="K34" t="str">
            <v>Several infusions</v>
          </cell>
          <cell r="L34"/>
        </row>
        <row r="35">
          <cell r="A35" t="str">
            <v>TO1185</v>
          </cell>
          <cell r="B35" t="str">
            <v>Baozhong</v>
          </cell>
          <cell r="C35" t="str">
            <v>包种</v>
          </cell>
          <cell r="D35" t="str">
            <v>Baozhong</v>
          </cell>
          <cell r="E35" t="str">
            <v>包种</v>
          </cell>
          <cell r="F35" t="str">
            <v>Organic Original Wu Long Tea</v>
          </cell>
          <cell r="G35" t="str">
            <v>Ingredient: wu long tea*. *From organic farming.</v>
          </cell>
          <cell r="H35" t="str">
            <v>/</v>
          </cell>
          <cell r="I35" t="str">
            <v>/</v>
          </cell>
          <cell r="J35" t="str">
            <v>Loose leaf tea</v>
          </cell>
          <cell r="K35" t="str">
            <v>Several infusions</v>
          </cell>
          <cell r="L35"/>
        </row>
        <row r="36">
          <cell r="A36" t="str">
            <v>TA7142</v>
          </cell>
          <cell r="B36" t="str">
            <v>Belle des Îles</v>
          </cell>
          <cell r="C36" t="str">
            <v>Vanille</v>
          </cell>
          <cell r="D36" t="str">
            <v>Glorious Vanilla</v>
          </cell>
          <cell r="E36" t="str">
            <v>Vanilla</v>
          </cell>
          <cell r="F36" t="str">
            <v>Organic Flavoured Black Tea</v>
          </cell>
          <cell r="G36" t="str">
            <v xml:space="preserve">Ingredients: black tea*, vanilla extract* 4%, vanilla pieces* 2%, marigold petals*. *From organic farming. </v>
          </cell>
          <cell r="H36" t="str">
            <v>/</v>
          </cell>
          <cell r="I36" t="str">
            <v>As a certified member of the World Fair Trade Organization, Les Jardins de Gaïa is committed to fairer trade and meets the requirements of fair trade. For more information: www.wfto.com.</v>
          </cell>
          <cell r="J36" t="str">
            <v>Loose leaf tea</v>
          </cell>
          <cell r="K36" t="str">
            <v>/</v>
          </cell>
          <cell r="L36"/>
        </row>
        <row r="37">
          <cell r="A37" t="str">
            <v>TU0012</v>
          </cell>
          <cell r="B37" t="str">
            <v>Belle du Yunnan</v>
          </cell>
          <cell r="C37" t="str">
            <v>Tuo Cha Pu'er compressé en nid ou Tuocha Pu'er compressé en nid ?</v>
          </cell>
          <cell r="D37" t="str">
            <v>Yunnan Beauty</v>
          </cell>
          <cell r="E37" t="str">
            <v>Tuo Cha Compressed Pu'er Tea Nest ou Tuocha Compressed Pu'er Tea Nest ?</v>
          </cell>
          <cell r="F37" t="str">
            <v>Organic Compressed Pu'er Tea</v>
          </cell>
          <cell r="G37" t="str">
            <v xml:space="preserve">Ingredient: pu'er dark tea*. *From organic farming. </v>
          </cell>
          <cell r="H37" t="str">
            <v>/</v>
          </cell>
          <cell r="I37" t="str">
            <v>As a certified member of the World Fair Trade Organization, Les Jardins de Gaïa is committed to fairer trade and meets the requirements of fair trade. For more information: www.wfto.com.</v>
          </cell>
          <cell r="J37" t="str">
            <v>Compressed Pu'er</v>
          </cell>
          <cell r="K37" t="str">
            <v>Several infusions</v>
          </cell>
          <cell r="L37"/>
        </row>
        <row r="38">
          <cell r="A38" t="str">
            <v>TN5332</v>
          </cell>
          <cell r="B38" t="str">
            <v xml:space="preserve">Bherjan </v>
          </cell>
          <cell r="C38" t="str">
            <v>TGBOP</v>
          </cell>
          <cell r="D38" t="str">
            <v xml:space="preserve">Bherjan </v>
          </cell>
          <cell r="E38" t="str">
            <v>TGBOP</v>
          </cell>
          <cell r="F38" t="str">
            <v>Organic Original Black Tea</v>
          </cell>
          <cell r="G38" t="str">
            <v>Ingredient: black tea*. *From organic farming.</v>
          </cell>
          <cell r="H38" t="str">
            <v>/</v>
          </cell>
          <cell r="I38"/>
          <cell r="J38" t="str">
            <v>Loose leaf tea</v>
          </cell>
          <cell r="K38" t="str">
            <v>/</v>
          </cell>
          <cell r="L38"/>
        </row>
        <row r="39">
          <cell r="A39" t="str">
            <v>TV6422</v>
          </cell>
          <cell r="B39" t="str">
            <v>Bherjan Finest</v>
          </cell>
          <cell r="C39" t="str">
            <v>/</v>
          </cell>
          <cell r="D39" t="str">
            <v>Bherjan Finest</v>
          </cell>
          <cell r="E39" t="str">
            <v>/</v>
          </cell>
          <cell r="F39" t="str">
            <v>Organic Original Green Tea</v>
          </cell>
          <cell r="G39" t="str">
            <v>Ingredient: green tea*. *From organic farming.</v>
          </cell>
          <cell r="H39" t="str">
            <v>/</v>
          </cell>
          <cell r="I39" t="str">
            <v>/</v>
          </cell>
          <cell r="J39" t="str">
            <v>Loose leaf tea</v>
          </cell>
          <cell r="K39" t="str">
            <v>/</v>
          </cell>
          <cell r="L39"/>
        </row>
        <row r="40">
          <cell r="A40" t="str">
            <v>TV6785</v>
          </cell>
          <cell r="B40" t="str">
            <v>Bi Luo Chun</v>
          </cell>
          <cell r="C40" t="str">
            <v>Top Grade - Spirale de jade de printemps 碧螺春</v>
          </cell>
          <cell r="D40" t="str">
            <v>Bi Luo Chun</v>
          </cell>
          <cell r="E40" t="str">
            <v>Top Grade - Green spiral spring 碧螺春</v>
          </cell>
          <cell r="F40" t="str">
            <v>Organic Original Green Tea</v>
          </cell>
          <cell r="G40" t="str">
            <v>Ingredient: green tea*. *From organic farming.</v>
          </cell>
          <cell r="H40" t="str">
            <v>/</v>
          </cell>
          <cell r="I40" t="str">
            <v>As a certified member of the World Fair Trade Organization, Les Jardins de Gaïa is committed to fairer trade and meets the requirements of fair trade. For more information: www.wfto.com.</v>
          </cell>
          <cell r="J40" t="str">
            <v>Loose leaf tea</v>
          </cell>
          <cell r="K40" t="str">
            <v>/</v>
          </cell>
          <cell r="L40"/>
        </row>
        <row r="41">
          <cell r="A41" t="str">
            <v>TV6786</v>
          </cell>
          <cell r="B41" t="str">
            <v>Bi Luo Chun</v>
          </cell>
          <cell r="C41" t="str">
            <v>Top Grade - Spirale de jade de printemps 碧螺春</v>
          </cell>
          <cell r="D41" t="str">
            <v>Bi Luo Chun</v>
          </cell>
          <cell r="E41" t="str">
            <v>Top Grade - Green spiral spring 碧螺春</v>
          </cell>
          <cell r="F41" t="str">
            <v>Organic Original Green Tea</v>
          </cell>
          <cell r="G41" t="str">
            <v>Ingredient: green tea*. *From organic farming.</v>
          </cell>
          <cell r="H41" t="str">
            <v>/</v>
          </cell>
          <cell r="I41" t="str">
            <v>As a certified member of the World Fair Trade Organization, Les Jardins de Gaïa is committed to fairer trade and meets the requirements of fair trade. For more information: www.wfto.com.</v>
          </cell>
          <cell r="J41" t="str">
            <v>Loose leaf tea</v>
          </cell>
          <cell r="K41" t="str">
            <v>/</v>
          </cell>
          <cell r="L41"/>
        </row>
        <row r="42">
          <cell r="A42" t="str">
            <v>TV6786R</v>
          </cell>
          <cell r="B42" t="str">
            <v>Bi Luo Chun</v>
          </cell>
          <cell r="C42" t="str">
            <v>Top Grade - Spirale de jade de printemps 碧螺春</v>
          </cell>
          <cell r="D42" t="str">
            <v>Bi Luo Chun</v>
          </cell>
          <cell r="E42" t="str">
            <v>Top Grade - Green spiral spring 碧螺春</v>
          </cell>
          <cell r="F42" t="str">
            <v>Organic Original Green Tea</v>
          </cell>
          <cell r="G42" t="str">
            <v>Ingredient: green tea*. *From organic farming.</v>
          </cell>
          <cell r="H42" t="str">
            <v>/</v>
          </cell>
          <cell r="I42" t="str">
            <v>As a certified member of the World Fair Trade Organization, Les Jardins de Gaïa is committed to fairer trade and meets the requirements of fair trade. For more information: www.wfto.com.</v>
          </cell>
          <cell r="J42" t="str">
            <v>Loose leaf tea</v>
          </cell>
          <cell r="K42" t="str">
            <v>/</v>
          </cell>
          <cell r="L42"/>
        </row>
        <row r="43">
          <cell r="A43" t="str">
            <v>BC0975</v>
          </cell>
          <cell r="B43" t="str">
            <v>Bio Campagne</v>
          </cell>
          <cell r="C43" t="str">
            <v>/</v>
          </cell>
          <cell r="D43" t="str">
            <v>Tea Campaign</v>
          </cell>
          <cell r="E43" t="str">
            <v>/</v>
          </cell>
          <cell r="F43" t="str">
            <v>Organic Black Tea</v>
          </cell>
          <cell r="G43" t="str">
            <v>Ingredient: black tea*. *From organic  farming.</v>
          </cell>
          <cell r="H43" t="str">
            <v>/</v>
          </cell>
          <cell r="I43" t="str">
            <v>As a certified member of the World Fair Trade Organization, Les Jardins de Gaïa is committed to fairer trade and meets the requirements of fair trade. For more information: www.wfto.com.</v>
          </cell>
          <cell r="J43" t="str">
            <v>Loose leaf tea</v>
          </cell>
          <cell r="K43" t="str">
            <v>/</v>
          </cell>
          <cell r="L43"/>
        </row>
        <row r="44">
          <cell r="A44" t="str">
            <v>BC0972</v>
          </cell>
          <cell r="B44" t="str">
            <v>Bio Campagne</v>
          </cell>
          <cell r="C44" t="str">
            <v>/</v>
          </cell>
          <cell r="D44" t="str">
            <v>Tea Campaign</v>
          </cell>
          <cell r="E44" t="str">
            <v>/</v>
          </cell>
          <cell r="F44" t="str">
            <v>Organic Black Tea</v>
          </cell>
          <cell r="G44" t="str">
            <v>Ingredient: black tea*. *From organic  farming.</v>
          </cell>
          <cell r="H44" t="str">
            <v>/</v>
          </cell>
          <cell r="I44" t="str">
            <v>As a certified member of the World Fair Trade Organization, Les Jardins de Gaïa is committed to fairer trade and meets the requirements of fair trade. For more information: www.wfto.com.</v>
          </cell>
          <cell r="J44" t="str">
            <v>Loose leaf tea</v>
          </cell>
          <cell r="K44" t="str">
            <v>/</v>
          </cell>
          <cell r="L44"/>
        </row>
        <row r="45">
          <cell r="A45" t="str">
            <v>TN5505</v>
          </cell>
          <cell r="B45" t="str">
            <v>Black Evidence</v>
          </cell>
          <cell r="C45" t="str">
            <v>/</v>
          </cell>
          <cell r="D45" t="str">
            <v>Black Evidence</v>
          </cell>
          <cell r="E45" t="str">
            <v>/</v>
          </cell>
          <cell r="F45" t="str">
            <v>Organic Original Black Tea</v>
          </cell>
          <cell r="G45" t="str">
            <v>Ingredient: black tea*. *From organic farming.</v>
          </cell>
          <cell r="H45" t="str">
            <v>/</v>
          </cell>
          <cell r="I45" t="str">
            <v>/</v>
          </cell>
          <cell r="J45" t="str">
            <v>Loose leaf tea</v>
          </cell>
          <cell r="K45" t="str">
            <v>Several infusions</v>
          </cell>
          <cell r="L45" t="str">
            <v>/</v>
          </cell>
        </row>
        <row r="46">
          <cell r="A46" t="str">
            <v>TN5502</v>
          </cell>
          <cell r="B46" t="str">
            <v>Black Evidence</v>
          </cell>
          <cell r="C46" t="str">
            <v>/</v>
          </cell>
          <cell r="D46" t="str">
            <v>Black Evidence</v>
          </cell>
          <cell r="E46" t="str">
            <v>/</v>
          </cell>
          <cell r="F46" t="str">
            <v>Organic Original Black Tea</v>
          </cell>
          <cell r="G46" t="str">
            <v>Ingredient: black tea*. *From organic farming.</v>
          </cell>
          <cell r="H46" t="str">
            <v>/</v>
          </cell>
          <cell r="I46" t="str">
            <v>/</v>
          </cell>
          <cell r="J46" t="str">
            <v>Loose leaf tea</v>
          </cell>
          <cell r="K46" t="str">
            <v>Several infusions</v>
          </cell>
          <cell r="L46" t="str">
            <v>/</v>
          </cell>
        </row>
        <row r="47">
          <cell r="A47" t="str">
            <v>TN5502R</v>
          </cell>
          <cell r="B47" t="str">
            <v>Black Evidence</v>
          </cell>
          <cell r="C47" t="str">
            <v>/</v>
          </cell>
          <cell r="D47" t="str">
            <v>Black Evidence</v>
          </cell>
          <cell r="E47" t="str">
            <v>/</v>
          </cell>
          <cell r="F47" t="str">
            <v>Organic Original Black Tea</v>
          </cell>
          <cell r="G47" t="str">
            <v>Ingredient: black tea*. *From organic farming.</v>
          </cell>
          <cell r="H47" t="str">
            <v>/</v>
          </cell>
          <cell r="I47" t="str">
            <v>/</v>
          </cell>
          <cell r="J47" t="str">
            <v>Loose leaf tea</v>
          </cell>
          <cell r="K47" t="str">
            <v>Several infusions</v>
          </cell>
          <cell r="L47" t="str">
            <v>/</v>
          </cell>
        </row>
        <row r="48">
          <cell r="A48" t="str">
            <v>TM0242</v>
          </cell>
          <cell r="B48" t="str">
            <v>Blanche rose et Rose rouge</v>
          </cell>
          <cell r="C48" t="str">
            <v>Rose</v>
          </cell>
          <cell r="D48" t="str">
            <v>White rose and Red rose</v>
          </cell>
          <cell r="E48" t="str">
            <v>Rose</v>
          </cell>
          <cell r="F48" t="str">
            <v>Organic Perfumed Blended Teas</v>
          </cell>
          <cell r="G48" t="str">
            <v>Ingredients: black tea*, green tea*, rose petals* 6%. *From organic farming.</v>
          </cell>
          <cell r="H48" t="str">
            <v>/</v>
          </cell>
          <cell r="I48" t="str">
            <v>/</v>
          </cell>
          <cell r="J48" t="str">
            <v>Loose leaf tea</v>
          </cell>
          <cell r="K48" t="str">
            <v>/</v>
          </cell>
          <cell r="L48"/>
        </row>
        <row r="49">
          <cell r="A49" t="str">
            <v>TA7172</v>
          </cell>
          <cell r="B49" t="str">
            <v>Bleu Citron</v>
          </cell>
          <cell r="C49" t="str">
            <v>Citron</v>
          </cell>
          <cell r="D49" t="str">
            <v>Blue Lemon</v>
          </cell>
          <cell r="E49" t="str">
            <v>Lemon</v>
          </cell>
          <cell r="F49" t="str">
            <v>Organic Flavoured Black Tea</v>
          </cell>
          <cell r="G49" t="str">
            <v xml:space="preserve">Ingredients: black tea*, lemon essential oil * 2%, orange peels*. *From organic farming. </v>
          </cell>
          <cell r="H49" t="str">
            <v>/</v>
          </cell>
          <cell r="I49" t="str">
            <v>As a certified member of the World Fair Trade Organization, Les Jardins de Gaïa is committed to fairer trade and meets the requirements of fair trade. For more information: www.wfto.com.</v>
          </cell>
          <cell r="J49" t="str">
            <v>Loose leaf tea</v>
          </cell>
          <cell r="K49" t="str">
            <v>/</v>
          </cell>
          <cell r="L49"/>
        </row>
        <row r="50">
          <cell r="A50" t="str">
            <v>TM6942</v>
          </cell>
          <cell r="B50" t="str">
            <v>Bollywood flush</v>
          </cell>
          <cell r="C50" t="str">
            <v>Cardamome - Fleurs</v>
          </cell>
          <cell r="D50" t="str">
            <v>Bollywood flush</v>
          </cell>
          <cell r="E50" t="str">
            <v>Cardamom - Flowers</v>
          </cell>
          <cell r="F50" t="str">
            <v>Organic Perfumed Green Tea</v>
          </cell>
          <cell r="G50" t="str">
            <v>Ingredients: green tea**, cardamom* 19%, flowers petals (marigold*, rose*, sunflower*, scarlet beebalm*) 3%. *From organic farming. **From organic and biodynamic farming. demeter is the brand for products from biodynamic agriculture.</v>
          </cell>
          <cell r="H50" t="str">
            <v>/</v>
          </cell>
          <cell r="I50" t="str">
            <v>As a certified member of the World Fair Trade Organization, Les Jardins de Gaïa is committed to fairer trade and meets the requirements of fair trade. For more information: www.wfto.com.</v>
          </cell>
          <cell r="J50" t="str">
            <v>Loose leaf tea</v>
          </cell>
          <cell r="K50" t="str">
            <v>/</v>
          </cell>
          <cell r="L50"/>
        </row>
        <row r="51">
          <cell r="A51" t="str">
            <v>TJ4014</v>
          </cell>
          <cell r="B51" t="str">
            <v>Bonbons Machouillous au thé vert</v>
          </cell>
          <cell r="C51" t="str">
            <v>Green Kiss</v>
          </cell>
          <cell r="D51" t="str">
            <v>Machouillou sweets with green tea</v>
          </cell>
          <cell r="E51" t="str">
            <v>Green Kiss</v>
          </cell>
          <cell r="F51" t="str">
            <v>Organic Matcha Sweets</v>
          </cell>
          <cell r="G51" t="str">
            <v>Ingredients: starch syrup, sugar, matcha (green tea powder).</v>
          </cell>
          <cell r="H51" t="str">
            <v>/</v>
          </cell>
          <cell r="I51" t="str">
            <v>/</v>
          </cell>
          <cell r="J51" t="str">
            <v>/</v>
          </cell>
          <cell r="K51" t="str">
            <v>/</v>
          </cell>
          <cell r="L51"/>
        </row>
        <row r="52">
          <cell r="A52" t="str">
            <v>TH5051</v>
          </cell>
          <cell r="B52" t="str">
            <v>Bonne humeur</v>
          </cell>
          <cell r="C52" t="str">
            <v>/</v>
          </cell>
          <cell r="D52" t="str">
            <v>Good Mood</v>
          </cell>
          <cell r="E52" t="str">
            <v>/</v>
          </cell>
          <cell r="F52" t="str">
            <v>Organic Herbal Tea Infusion</v>
          </cell>
          <cell r="G52" t="str">
            <v>Ingredients: mallow petals* (Malva sylvestris), lemon balm* (Melissa officinalis), yarrow* (Achillea millefolium), chamomile* (Matricaria chamomilla), fennel* (Foeniculum vulgare). *From organic farming.</v>
          </cell>
          <cell r="H52" t="str">
            <v>/</v>
          </cell>
          <cell r="I52" t="str">
            <v>/</v>
          </cell>
          <cell r="J52" t="str">
            <v>Loose Infusion</v>
          </cell>
          <cell r="K52" t="str">
            <v>/</v>
          </cell>
          <cell r="L52" t="str">
            <v>/</v>
          </cell>
        </row>
        <row r="53">
          <cell r="A53" t="str">
            <v>TH505</v>
          </cell>
          <cell r="B53" t="str">
            <v>Bonne humeur</v>
          </cell>
          <cell r="C53" t="str">
            <v>/</v>
          </cell>
          <cell r="D53" t="str">
            <v>Good Mood</v>
          </cell>
          <cell r="E53" t="str">
            <v>/</v>
          </cell>
          <cell r="F53" t="str">
            <v>Organic Herbal Tea Infusion</v>
          </cell>
          <cell r="G53" t="str">
            <v>Ingredients: mallow petals* (Malva sylvestris), lemon balm* (Melissa officinalis), yarrow* (Achillea millefolium), chamomile* (Matricaria chamomilla), fennel* (Foeniculum vulgare). *From organic farming.</v>
          </cell>
          <cell r="H53" t="str">
            <v>/</v>
          </cell>
          <cell r="I53" t="str">
            <v>/</v>
          </cell>
          <cell r="J53" t="str">
            <v>Loose Infusion</v>
          </cell>
          <cell r="K53" t="str">
            <v>/</v>
          </cell>
          <cell r="L53" t="str">
            <v>/</v>
          </cell>
        </row>
        <row r="54">
          <cell r="A54" t="str">
            <v>TH0611</v>
          </cell>
          <cell r="B54" t="str">
            <v>Bonne mine</v>
          </cell>
          <cell r="C54" t="str">
            <v>Antioxydante
Cannelle - Violette - Verveine</v>
          </cell>
          <cell r="D54" t="str">
            <v>Healthy glow</v>
          </cell>
          <cell r="E54" t="str">
            <v>Antioxidant
Cinnamon - Violet - Verbena</v>
          </cell>
          <cell r="F54" t="str">
            <v>Organic Herbal Tea Infusion</v>
          </cell>
          <cell r="G54" t="str">
            <v>Ingredients: fennel* (Foeniculum vulgare), cinnamon* 24% (cinnamomum zeylanicum), hibiscus* (Hibiscus sabdariffa), violet* 12% (Viola odorata), ginger* (Zingiber officinale), verbena* 4% (Aloysia triphylla), stevia* (Stevia rebaudiana). *From organic farming.</v>
          </cell>
          <cell r="H54"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54" t="str">
            <v>/</v>
          </cell>
          <cell r="J54" t="str">
            <v>Loose Infusion</v>
          </cell>
          <cell r="K54" t="str">
            <v>/</v>
          </cell>
          <cell r="L54" t="str">
            <v>/</v>
          </cell>
        </row>
        <row r="55">
          <cell r="A55" t="str">
            <v>TH0612</v>
          </cell>
          <cell r="B55" t="str">
            <v>Bonne mine</v>
          </cell>
          <cell r="C55" t="str">
            <v>Antioxydante
Cannelle - Violette - Verveine</v>
          </cell>
          <cell r="D55" t="str">
            <v>Healthy glow</v>
          </cell>
          <cell r="E55" t="str">
            <v>Antioxidant
Cinnamon - Violet - Verbena</v>
          </cell>
          <cell r="F55" t="str">
            <v>Organic Herbal Tea Infusion</v>
          </cell>
          <cell r="G55" t="str">
            <v>Ingredients: fennel* (Foeniculum vulgare), cinnamon* 24% (cinnamomum zeylanicum), hibiscus* (Hibiscus sabdariffa), violet* 12% (Viola odorata), ginger* (Zingiber officinale), verbena* 4% (Aloysia triphylla), stevia* (Stevia rebaudiana). *From organic farming.</v>
          </cell>
          <cell r="H55"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55" t="str">
            <v>/</v>
          </cell>
          <cell r="J55" t="str">
            <v>Loose Infusion</v>
          </cell>
          <cell r="K55" t="str">
            <v>/</v>
          </cell>
          <cell r="L55" t="str">
            <v>/</v>
          </cell>
        </row>
        <row r="56">
          <cell r="A56" t="str">
            <v>TH5021</v>
          </cell>
          <cell r="B56" t="str">
            <v>Bonne nuit</v>
          </cell>
          <cell r="C56" t="str">
            <v>Apaisante
Mélisse - Tilleul - Lavande</v>
          </cell>
          <cell r="D56" t="str">
            <v>Good night</v>
          </cell>
          <cell r="E56" t="str">
            <v>Soothing
Lemon balm - Linden - Lavander</v>
          </cell>
          <cell r="F56" t="str">
            <v>Organic Herbal Tea Infusion</v>
          </cell>
          <cell r="G56" t="str">
            <v>Ingredients: lemon balm* 30% (Melissa officinalis), linden flowers* 30% (Tiliae flos), chamomile* (Matricaria chamomilla), lavender* 10% (Lavandula angustifolia). *From organic farming.</v>
          </cell>
          <cell r="H56"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56" t="str">
            <v>/</v>
          </cell>
          <cell r="J56" t="str">
            <v>Loose Infusion</v>
          </cell>
          <cell r="K56" t="str">
            <v>/</v>
          </cell>
          <cell r="L56" t="str">
            <v>/</v>
          </cell>
        </row>
        <row r="57">
          <cell r="A57" t="str">
            <v>TH502</v>
          </cell>
          <cell r="B57" t="str">
            <v>Bonne nuit</v>
          </cell>
          <cell r="C57" t="str">
            <v>Apaisante
Mélisse - Tilleul - Lavande</v>
          </cell>
          <cell r="D57" t="str">
            <v>Good night</v>
          </cell>
          <cell r="E57" t="str">
            <v>Soothing
Lemon balm - Linden - Lavander</v>
          </cell>
          <cell r="F57" t="str">
            <v>Organic Herbal Tea Infusion</v>
          </cell>
          <cell r="G57" t="str">
            <v>Ingredients: lemon balm* 30% (Melissa officinalis), linden flowers* 30% (Tiliae flos), chamomile* (Matricaria chamomilla), lavender* 10% (Lavandula angustifolia). *From organic farming.</v>
          </cell>
          <cell r="H57"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57" t="str">
            <v>/</v>
          </cell>
          <cell r="J57" t="str">
            <v>Loose Infusion</v>
          </cell>
          <cell r="K57" t="str">
            <v>/</v>
          </cell>
          <cell r="L57" t="str">
            <v>/</v>
          </cell>
        </row>
        <row r="58">
          <cell r="A58" t="str">
            <v>TUTH5026</v>
          </cell>
          <cell r="B58" t="str">
            <v>Bonne nuit</v>
          </cell>
          <cell r="C58" t="str">
            <v>Apaisante
Mélisse - Tilleul - Lavande</v>
          </cell>
          <cell r="D58" t="str">
            <v>Good night</v>
          </cell>
          <cell r="E58" t="str">
            <v>Soothing
Lemon balm - Linden - Lavander</v>
          </cell>
          <cell r="F58" t="str">
            <v>Organic Herbal Tea Infusion</v>
          </cell>
          <cell r="G58" t="str">
            <v>Ingredients: lemon balm* 30% (Melissa officinalis), linden flowers* 30% (Tiliae flos), chamomile* (Matricaria chamomilla), lavender* 10% (Lavandula angustifolia). *From organic farming.</v>
          </cell>
          <cell r="H58"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58" t="str">
            <v>/</v>
          </cell>
          <cell r="J58" t="str">
            <v>Loose Infusion</v>
          </cell>
          <cell r="K58" t="str">
            <v>/</v>
          </cell>
          <cell r="L58" t="str">
            <v>/</v>
          </cell>
        </row>
        <row r="59">
          <cell r="A59" t="str">
            <v>TH1591</v>
          </cell>
          <cell r="B59" t="str">
            <v>Boutons de rose</v>
          </cell>
          <cell r="C59" t="str">
            <v>Roses de Damas</v>
          </cell>
          <cell r="D59" t="str">
            <v>Rosebuds</v>
          </cell>
          <cell r="E59" t="str">
            <v>Damask roses</v>
          </cell>
          <cell r="F59" t="str">
            <v>Organic Herbal Tea Infusion</v>
          </cell>
          <cell r="G59" t="str">
            <v>Ingredient: rosebuds* (Rosa damascena Mill.). *From organic farming.</v>
          </cell>
          <cell r="H59" t="str">
            <v>/</v>
          </cell>
          <cell r="I59" t="str">
            <v>/</v>
          </cell>
          <cell r="J59" t="str">
            <v>Loose Infusion</v>
          </cell>
          <cell r="K59" t="str">
            <v>/</v>
          </cell>
          <cell r="L59" t="str">
            <v>/</v>
          </cell>
        </row>
        <row r="60">
          <cell r="A60" t="str">
            <v>TH1592</v>
          </cell>
          <cell r="B60" t="str">
            <v>Boutons de rose</v>
          </cell>
          <cell r="C60" t="str">
            <v>Roses de Damas</v>
          </cell>
          <cell r="D60" t="str">
            <v>Rosebuds</v>
          </cell>
          <cell r="E60" t="str">
            <v>Damask roses</v>
          </cell>
          <cell r="F60" t="str">
            <v>Organic Herbal Tea Infusion</v>
          </cell>
          <cell r="G60" t="str">
            <v>Ingredient: rosebuds* (Rosa damascena Mill.). *From organic farming.</v>
          </cell>
          <cell r="H60" t="str">
            <v>/</v>
          </cell>
          <cell r="I60" t="str">
            <v>/</v>
          </cell>
          <cell r="J60" t="str">
            <v>Loose Infusion</v>
          </cell>
          <cell r="K60" t="str">
            <v>/</v>
          </cell>
          <cell r="L60" t="str">
            <v>/</v>
          </cell>
        </row>
        <row r="61">
          <cell r="A61" t="str">
            <v>COF1202</v>
          </cell>
          <cell r="B61" t="str">
            <v>Brique pu'er Amour</v>
          </cell>
          <cell r="C61" t="str">
            <v>Millésime 2007</v>
          </cell>
          <cell r="D61" t="str">
            <v>Love Pu'er Brick</v>
          </cell>
          <cell r="E61" t="str">
            <v>2007 Vintage</v>
          </cell>
          <cell r="F61" t="str">
            <v>Organic Original Compressed Pu'er Dark Tea</v>
          </cell>
          <cell r="G61" t="str">
            <v xml:space="preserve">Ingredient: dark tea pu'er*. *From organic farming. </v>
          </cell>
          <cell r="H61" t="str">
            <v>/</v>
          </cell>
          <cell r="I61" t="str">
            <v>As a certified member of the World Fair Trade Organization, Les Jardins de Gaïa is committed to fairer trade and meets the requirements of fair trade. For more information: www.wfto.com.</v>
          </cell>
          <cell r="J61" t="str">
            <v>Loose leaf tea</v>
          </cell>
          <cell r="K61" t="str">
            <v>Several infusions</v>
          </cell>
          <cell r="L61" t="str">
            <v>/</v>
          </cell>
        </row>
        <row r="62">
          <cell r="A62" t="str">
            <v>COF1200</v>
          </cell>
          <cell r="B62" t="str">
            <v>Brique pu'er Bonne chance</v>
          </cell>
          <cell r="C62" t="str">
            <v>Millésime 2004</v>
          </cell>
          <cell r="D62" t="str">
            <v>Good Luck Pu'er Brick</v>
          </cell>
          <cell r="E62" t="str">
            <v>2004 Vintage</v>
          </cell>
          <cell r="F62" t="str">
            <v>Organic Original Compressed Pu'er Dark Tea</v>
          </cell>
          <cell r="G62" t="str">
            <v xml:space="preserve">Ingredient: dark tea pu'er*. *From organic farming. </v>
          </cell>
          <cell r="H62" t="str">
            <v>/</v>
          </cell>
          <cell r="I62" t="str">
            <v>As a certified member of the World Fair Trade Organization, Les Jardins de Gaïa is committed to fairer trade and meets the requirements of fair trade. For more information: www.wfto.com.</v>
          </cell>
          <cell r="J62" t="str">
            <v>Loose leaf tea</v>
          </cell>
          <cell r="K62" t="str">
            <v>Several infusions</v>
          </cell>
          <cell r="L62" t="str">
            <v>/</v>
          </cell>
        </row>
        <row r="63">
          <cell r="A63" t="str">
            <v>COF1203</v>
          </cell>
          <cell r="B63" t="str">
            <v>Brique pu'er Harmonie</v>
          </cell>
          <cell r="C63" t="str">
            <v>Millésime 2008</v>
          </cell>
          <cell r="D63" t="str">
            <v>Harmony Pu'er Brick</v>
          </cell>
          <cell r="E63" t="str">
            <v>2008 Vintage</v>
          </cell>
          <cell r="F63" t="str">
            <v>Organic Original Compressed Pu'er Dark Tea</v>
          </cell>
          <cell r="G63" t="str">
            <v xml:space="preserve">Ingredient: dark tea pu'er*. *From organic farming. </v>
          </cell>
          <cell r="H63" t="str">
            <v>/</v>
          </cell>
          <cell r="I63" t="str">
            <v>As a certified member of the World Fair Trade Organization, Les Jardins de Gaïa is committed to fairer trade and meets the requirements of fair trade. For more information: www.wfto.com.</v>
          </cell>
          <cell r="J63" t="str">
            <v>Loose leaf tea</v>
          </cell>
          <cell r="K63" t="str">
            <v>Several infusions</v>
          </cell>
          <cell r="L63" t="str">
            <v>/</v>
          </cell>
        </row>
        <row r="64">
          <cell r="A64" t="str">
            <v>COF1201</v>
          </cell>
          <cell r="B64" t="str">
            <v>Brique pu'er Joie</v>
          </cell>
          <cell r="C64" t="str">
            <v>Millésime 2006</v>
          </cell>
          <cell r="D64" t="str">
            <v>Joy Pu'er Brick</v>
          </cell>
          <cell r="E64" t="str">
            <v>2006 Vintage</v>
          </cell>
          <cell r="F64" t="str">
            <v>Organic Original Compressed Pu'er Dark Tea</v>
          </cell>
          <cell r="G64" t="str">
            <v xml:space="preserve">Ingredient: dark tea pu'er*. *From organic farming. </v>
          </cell>
          <cell r="H64" t="str">
            <v>/</v>
          </cell>
          <cell r="I64" t="str">
            <v>As a certified member of the World Fair Trade Organization, Les Jardins de Gaïa is committed to fairer trade and meets the requirements of fair trade. For more information: www.wfto.com.</v>
          </cell>
          <cell r="J64" t="str">
            <v>Loose leaf tea</v>
          </cell>
          <cell r="K64" t="str">
            <v>Several infusions</v>
          </cell>
          <cell r="L64" t="str">
            <v>/</v>
          </cell>
        </row>
        <row r="65">
          <cell r="A65" t="str">
            <v>TH1411</v>
          </cell>
          <cell r="B65" t="str">
            <v>Bruyère</v>
          </cell>
          <cell r="C65" t="str">
            <v>Élimination</v>
          </cell>
          <cell r="D65" t="str">
            <v>Heather</v>
          </cell>
          <cell r="E65" t="str">
            <v>Diuretic</v>
          </cell>
          <cell r="F65" t="str">
            <v>Organic Herbal Tea Infusion</v>
          </cell>
          <cell r="G65" t="str">
            <v>Ingredient: heather* (Calluna vulgaris). *From organic farming.</v>
          </cell>
          <cell r="H65"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65" t="str">
            <v>/</v>
          </cell>
          <cell r="J65" t="str">
            <v>Loose Infusion</v>
          </cell>
          <cell r="K65" t="str">
            <v>/</v>
          </cell>
          <cell r="L65" t="str">
            <v>/</v>
          </cell>
        </row>
        <row r="66">
          <cell r="A66" t="str">
            <v>TH1412</v>
          </cell>
          <cell r="B66" t="str">
            <v>Bruyère</v>
          </cell>
          <cell r="C66" t="str">
            <v>Élimination</v>
          </cell>
          <cell r="D66" t="str">
            <v>Heather</v>
          </cell>
          <cell r="E66" t="str">
            <v>Diuretic</v>
          </cell>
          <cell r="F66" t="str">
            <v>Organic Herbal Tea Infusion</v>
          </cell>
          <cell r="G66" t="str">
            <v>Ingredient: heather* (Calluna vulgaris). *From organic farming.</v>
          </cell>
          <cell r="H66"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66" t="str">
            <v>/</v>
          </cell>
          <cell r="J66" t="str">
            <v>Loose Infusion</v>
          </cell>
          <cell r="K66" t="str">
            <v>/</v>
          </cell>
          <cell r="L66" t="str">
            <v>/</v>
          </cell>
        </row>
        <row r="67">
          <cell r="A67" t="str">
            <v>TH1561</v>
          </cell>
          <cell r="B67" t="str">
            <v>Buchu</v>
          </cell>
          <cell r="C67" t="str">
            <v>/</v>
          </cell>
          <cell r="D67" t="str">
            <v>Buchu</v>
          </cell>
          <cell r="E67" t="str">
            <v>/</v>
          </cell>
          <cell r="F67" t="str">
            <v>Organic Herbal Tea Infusion</v>
          </cell>
          <cell r="G67" t="str">
            <v>Ingredient: buchu* (Agathosma betulina). *From organic farming.</v>
          </cell>
          <cell r="H67" t="str">
            <v>/</v>
          </cell>
          <cell r="I67" t="str">
            <v>/</v>
          </cell>
          <cell r="J67" t="str">
            <v>Loose Infusion</v>
          </cell>
          <cell r="K67" t="str">
            <v>Several infusions</v>
          </cell>
          <cell r="L67" t="str">
            <v>/</v>
          </cell>
        </row>
        <row r="68">
          <cell r="A68" t="str">
            <v>TUTH1566</v>
          </cell>
          <cell r="B68" t="str">
            <v>Buchu</v>
          </cell>
          <cell r="C68" t="str">
            <v>/</v>
          </cell>
          <cell r="D68" t="str">
            <v>Buchu</v>
          </cell>
          <cell r="E68" t="str">
            <v>/</v>
          </cell>
          <cell r="F68" t="str">
            <v>Organic Herbal Tea Infusion</v>
          </cell>
          <cell r="G68" t="str">
            <v>Ingredient: buchu* (Agathosma betulina). *From organic farming.</v>
          </cell>
          <cell r="H68" t="str">
            <v>/</v>
          </cell>
          <cell r="I68" t="str">
            <v>/</v>
          </cell>
          <cell r="J68" t="str">
            <v>Loose Infusion</v>
          </cell>
          <cell r="K68" t="str">
            <v>Several infusions</v>
          </cell>
          <cell r="L68" t="str">
            <v>/</v>
          </cell>
        </row>
        <row r="69">
          <cell r="A69" t="str">
            <v>TUTJ0736</v>
          </cell>
          <cell r="B69" t="str">
            <v>Buddha Amacha</v>
          </cell>
          <cell r="C69" t="str">
            <v>甘茶</v>
          </cell>
          <cell r="D69" t="str">
            <v>Buddha Amacha</v>
          </cell>
          <cell r="E69" t="str">
            <v>甘茶</v>
          </cell>
          <cell r="F69" t="str">
            <v>Organic Herbal Tea</v>
          </cell>
          <cell r="G69" t="str">
            <v>Ingredient: amacha (Hydrangea macrophylla). Guaranteed free of pesticide residues.</v>
          </cell>
          <cell r="H69" t="str">
            <v>/</v>
          </cell>
          <cell r="I69" t="str">
            <v>/</v>
          </cell>
          <cell r="J69" t="str">
            <v>Loose infusion</v>
          </cell>
          <cell r="K69" t="str">
            <v>Several infusions</v>
          </cell>
          <cell r="L69"/>
        </row>
        <row r="70">
          <cell r="A70" t="str">
            <v>TN2275</v>
          </cell>
          <cell r="B70" t="str">
            <v>Call of the Wild</v>
          </cell>
          <cell r="C70" t="str">
            <v>jardin de Putharjhora 
Ex.14.04.2023
cultivar AV-2</v>
          </cell>
          <cell r="D70" t="str">
            <v>Call of the Wild</v>
          </cell>
          <cell r="E70" t="str">
            <v>Putharjhora garden Ex.14.04.2023
cultivar AV-2</v>
          </cell>
          <cell r="F70" t="str">
            <v>Single Estate First Flush Organic Black Tea</v>
          </cell>
          <cell r="G70" t="str">
            <v>Ingredient: black tea**. **From organic and biodynamic farming. demeter is the brand for products from biodynamic agriculture.</v>
          </cell>
          <cell r="H70" t="str">
            <v>/</v>
          </cell>
          <cell r="I70" t="str">
            <v>As a certified member of the World Fair Trade Organization, Les Jardins de Gaïa is committed to fairer trade and meets the requirements of fair trade. For more information: www.wfto.com.</v>
          </cell>
          <cell r="J70" t="str">
            <v>Loose leaf tea</v>
          </cell>
          <cell r="K70" t="str">
            <v>/</v>
          </cell>
          <cell r="L70" t="str">
            <v>/</v>
          </cell>
        </row>
        <row r="71">
          <cell r="A71" t="str">
            <v>TN2276</v>
          </cell>
          <cell r="B71" t="str">
            <v>Call of the Wild</v>
          </cell>
          <cell r="C71" t="str">
            <v>jardin de Putharjhora 
Ex.14.04.2023
cultivar AV-2</v>
          </cell>
          <cell r="D71" t="str">
            <v>Call of the Wild</v>
          </cell>
          <cell r="E71" t="str">
            <v>Putharjhora garden Ex.14.04.2023
cultivar AV-2</v>
          </cell>
          <cell r="F71" t="str">
            <v>Single Estate First Flush Organic Black Tea</v>
          </cell>
          <cell r="G71" t="str">
            <v>Ingredient: black tea**. **From organic and biodynamic farming. demeter is the brand for products from biodynamic agriculture.</v>
          </cell>
          <cell r="H71" t="str">
            <v>/</v>
          </cell>
          <cell r="I71" t="str">
            <v>As a certified member of the World Fair Trade Organization, Les Jardins de Gaïa is committed to fairer trade and meets the requirements of fair trade. For more information: www.wfto.com.</v>
          </cell>
          <cell r="J71" t="str">
            <v>Loose leaf tea</v>
          </cell>
          <cell r="K71" t="str">
            <v>/</v>
          </cell>
          <cell r="L71" t="str">
            <v>/</v>
          </cell>
        </row>
        <row r="72">
          <cell r="A72" t="str">
            <v>TN2276R</v>
          </cell>
          <cell r="B72" t="str">
            <v>Call of the Wild</v>
          </cell>
          <cell r="C72" t="str">
            <v>jardin de Putharjhora 
Ex.14.04.2023
cultivar AV-2</v>
          </cell>
          <cell r="D72" t="str">
            <v>Call of the Wild</v>
          </cell>
          <cell r="E72" t="str">
            <v>Putharjhora garden Ex.14.04.2023
cultivar AV-2</v>
          </cell>
          <cell r="F72" t="str">
            <v>Single Estate First Flush Organic Black Tea</v>
          </cell>
          <cell r="G72" t="str">
            <v>Ingredient: black tea**. **From organic and biodynamic farming. demeter is the brand for products from biodynamic agriculture.</v>
          </cell>
          <cell r="H72" t="str">
            <v>/</v>
          </cell>
          <cell r="I72" t="str">
            <v>As a certified member of the World Fair Trade Organization, Les Jardins de Gaïa is committed to fairer trade and meets the requirements of fair trade. For more information: www.wfto.com.</v>
          </cell>
          <cell r="J72" t="str">
            <v>Loose leaf tea</v>
          </cell>
          <cell r="K72" t="str">
            <v>/</v>
          </cell>
          <cell r="L72" t="str">
            <v>/</v>
          </cell>
        </row>
        <row r="73">
          <cell r="A73" t="str">
            <v>TH5081</v>
          </cell>
          <cell r="B73" t="str">
            <v>Calmetoux</v>
          </cell>
          <cell r="C73" t="str">
            <v>Expectorante &amp; Apaisante
Thym - Fleurs de sureau</v>
          </cell>
          <cell r="D73" t="str">
            <v>Chest Ease</v>
          </cell>
          <cell r="E73" t="str">
            <v>Expectorant &amp; Soothing
Thyme - Elderflowers</v>
          </cell>
          <cell r="F73" t="str">
            <v>Organic Herbal Tea Infusion</v>
          </cell>
          <cell r="G73" t="str">
            <v>Ingredients: peppermint* (Mentha piperita), ribwort plantain* (Plantago lanceolata), sage* (Salvia officinalis), thyme* 12% (Thymus vulgaris), chamomile* (Matricaria chamomilla), elderflowers* 5% (Sambucus nigra), linden flowers* (Tiliae flos). *From organic farming.</v>
          </cell>
          <cell r="H73" t="str">
            <v>Recommended daily consumption: 1.5L.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73" t="str">
            <v>/</v>
          </cell>
          <cell r="J73" t="str">
            <v>Loose Infusion</v>
          </cell>
          <cell r="K73" t="str">
            <v>/</v>
          </cell>
          <cell r="L73" t="str">
            <v>/</v>
          </cell>
        </row>
        <row r="74">
          <cell r="A74" t="str">
            <v>TH508</v>
          </cell>
          <cell r="B74" t="str">
            <v>Calmetoux</v>
          </cell>
          <cell r="C74" t="str">
            <v>Expectorante &amp; Apaisante
Thym - Fleurs de sureau</v>
          </cell>
          <cell r="D74" t="str">
            <v>Chest Ease</v>
          </cell>
          <cell r="E74" t="str">
            <v>Expectorant &amp; Soothing
Thyme - Elderflowers</v>
          </cell>
          <cell r="F74" t="str">
            <v>Organic Herbal Tea Infusion</v>
          </cell>
          <cell r="G74" t="str">
            <v>Ingredients: peppermint* (Mentha piperita), ribwort plantain* (Plantago lanceolata), sage* (Salvia officinalis), thyme* 12% (Thymus vulgaris), chamomile* (Matricaria chamomilla), elderflowers* 5% (Sambucus nigra), linden flowers* (Tiliae flos). *From organic farming.</v>
          </cell>
          <cell r="H74" t="str">
            <v>Recommended daily consumption: 1.5L.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74" t="str">
            <v>/</v>
          </cell>
          <cell r="J74" t="str">
            <v>Loose Infusion</v>
          </cell>
          <cell r="K74" t="str">
            <v>/</v>
          </cell>
          <cell r="L74" t="str">
            <v>/</v>
          </cell>
        </row>
        <row r="75">
          <cell r="A75" t="str">
            <v>TH2061</v>
          </cell>
          <cell r="B75" t="str">
            <v>Camomille sur l'étiquette et Camomille matricaire sur le tarif, pourquoi ?</v>
          </cell>
          <cell r="C75" t="str">
            <v>Apaisante</v>
          </cell>
          <cell r="D75" t="str">
            <v>Chamomile Flowers</v>
          </cell>
          <cell r="E75" t="str">
            <v>Soothing</v>
          </cell>
          <cell r="F75" t="str">
            <v>Organic Herbal Tea Infusion</v>
          </cell>
          <cell r="G75" t="str">
            <v>Ingredient: chamomile flowers* (Matricaria chamomilla). *From organic farming.</v>
          </cell>
          <cell r="H75"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75" t="str">
            <v>/</v>
          </cell>
          <cell r="J75" t="str">
            <v>Loose Infusion</v>
          </cell>
          <cell r="K75" t="str">
            <v>/</v>
          </cell>
          <cell r="L75" t="str">
            <v>/</v>
          </cell>
        </row>
        <row r="76">
          <cell r="A76" t="str">
            <v>TH206</v>
          </cell>
          <cell r="B76" t="str">
            <v>Camomille sur l'étiquette et Camomille matricaire sur le tarif, pourquoi ?</v>
          </cell>
          <cell r="C76" t="str">
            <v>Apaisante</v>
          </cell>
          <cell r="D76" t="str">
            <v>Chamomile Flowers</v>
          </cell>
          <cell r="E76" t="str">
            <v>Soothing</v>
          </cell>
          <cell r="F76" t="str">
            <v>Organic Herbal Tea Infusion</v>
          </cell>
          <cell r="G76" t="str">
            <v>Ingredient: chamomile flowers* (Matricaria chamomilla). *From organic farming.</v>
          </cell>
          <cell r="H76"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76" t="str">
            <v>/</v>
          </cell>
          <cell r="J76" t="str">
            <v>Loose Infusion</v>
          </cell>
          <cell r="K76" t="str">
            <v>/</v>
          </cell>
          <cell r="L76" t="str">
            <v>/</v>
          </cell>
        </row>
        <row r="77">
          <cell r="A77" t="str">
            <v>TN5896</v>
          </cell>
          <cell r="B77" t="str">
            <v>Cap Ouganda</v>
          </cell>
          <cell r="C77" t="str">
            <v>/</v>
          </cell>
          <cell r="D77" t="str">
            <v>Heading to Uganda</v>
          </cell>
          <cell r="E77" t="str">
            <v>/</v>
          </cell>
          <cell r="F77" t="str">
            <v>Single Estate Organic Black Tea</v>
          </cell>
          <cell r="G77" t="str">
            <v>Ingredient: black tea*. *From organic farming.</v>
          </cell>
          <cell r="H77" t="str">
            <v>/</v>
          </cell>
          <cell r="I77" t="str">
            <v>/</v>
          </cell>
          <cell r="J77" t="str">
            <v>Leaf Tea</v>
          </cell>
          <cell r="K77" t="str">
            <v>/</v>
          </cell>
          <cell r="L77" t="str">
            <v>/</v>
          </cell>
        </row>
        <row r="78">
          <cell r="A78" t="str">
            <v>TUTN5896</v>
          </cell>
          <cell r="B78" t="str">
            <v>Cap Ouganda</v>
          </cell>
          <cell r="C78" t="str">
            <v>/</v>
          </cell>
          <cell r="D78" t="str">
            <v>Heading to Uganda</v>
          </cell>
          <cell r="E78" t="str">
            <v>/</v>
          </cell>
          <cell r="F78" t="str">
            <v>Single Estate Organic Black Tea</v>
          </cell>
          <cell r="G78" t="str">
            <v>Ingredient: black tea*. *From organic farming.</v>
          </cell>
          <cell r="H78" t="str">
            <v>/</v>
          </cell>
          <cell r="I78" t="str">
            <v>/</v>
          </cell>
          <cell r="J78" t="str">
            <v>Leaf Tea</v>
          </cell>
          <cell r="K78" t="str">
            <v>/</v>
          </cell>
          <cell r="L78" t="str">
            <v>/</v>
          </cell>
        </row>
        <row r="79">
          <cell r="A79" t="str">
            <v>TA6742</v>
          </cell>
          <cell r="B79" t="str">
            <v>Caprice gourmand</v>
          </cell>
          <cell r="C79" t="str">
            <v>Rhubarbe - Fraise</v>
          </cell>
          <cell r="D79" t="str">
            <v>Whimsical Treat</v>
          </cell>
          <cell r="E79" t="str">
            <v>Rhubarb - Strawberry</v>
          </cell>
          <cell r="F79" t="str">
            <v>Organic Flavoured Green Tea</v>
          </cell>
          <cell r="G79" t="str">
            <v>Ingredients: green tea*, natural (rhubarb°, strawberry*) flavourings 7%, fruit pieces (rhubarb*, strawberry*) 2%, vanilla pieces*. *From organic farming.</v>
          </cell>
          <cell r="H79" t="str">
            <v>/</v>
          </cell>
          <cell r="I79" t="str">
            <v>As a certified member of the World Fair Trade Organization, Les Jardins de Gaïa is committed to fairer trade and meets the requirements of fair trade. For more information: www.wfto.com.</v>
          </cell>
          <cell r="J79" t="str">
            <v>Loose leaf tea</v>
          </cell>
          <cell r="K79" t="str">
            <v>/</v>
          </cell>
          <cell r="L79"/>
        </row>
        <row r="80">
          <cell r="A80" t="str">
            <v>TM6862</v>
          </cell>
          <cell r="B80" t="str">
            <v>Casablanca Dream</v>
          </cell>
          <cell r="C80" t="str">
            <v>Menthe poivrée</v>
          </cell>
          <cell r="D80" t="str">
            <v>Casablanca Dream</v>
          </cell>
          <cell r="E80" t="str">
            <v>Peppermint</v>
          </cell>
          <cell r="F80" t="str">
            <v>Organic Scented Green Tea</v>
          </cell>
          <cell r="G80" t="str">
            <v xml:space="preserve">Ingredients: green tea*, peppermint* 10% and spearmint*. *From organic farming. </v>
          </cell>
          <cell r="H80" t="str">
            <v>/</v>
          </cell>
          <cell r="I80" t="str">
            <v>As a certified member of the World Fair Trade Organization, Les Jardins de Gaïa is committed to fairer trade and meets the requirements of fair trade. For more information: www.wfto.com.</v>
          </cell>
          <cell r="J80" t="str">
            <v>Loose leaf tea</v>
          </cell>
          <cell r="K80" t="str">
            <v>/</v>
          </cell>
          <cell r="L80"/>
        </row>
        <row r="81">
          <cell r="A81" t="str">
            <v>TH5381</v>
          </cell>
          <cell r="B81" t="str">
            <v>Ce que racontent les étoiles</v>
          </cell>
          <cell r="C81" t="str">
            <v>/</v>
          </cell>
          <cell r="D81" t="str">
            <v>Written in the Stars</v>
          </cell>
          <cell r="E81" t="str">
            <v>/</v>
          </cell>
          <cell r="F81" t="str">
            <v>Organic Herbal Tea Infusion</v>
          </cell>
          <cell r="G81" t="str">
            <v>Ingredients: lemongrass* (Cymbopogon citratus), raspberry leaves* (Rubus idaeus), lemon balm* (Melissa officinalis), linden flowers* (Tiliae flos), cornflower petals* (Centaurea cyanus), marigold petals* (Calendula officinalis), rosebuds* (Rosa damascena). *From organic farming.</v>
          </cell>
          <cell r="H81" t="str">
            <v>/</v>
          </cell>
          <cell r="I81" t="str">
            <v>/</v>
          </cell>
          <cell r="J81" t="str">
            <v>Loose Infusion</v>
          </cell>
          <cell r="K81" t="str">
            <v>/</v>
          </cell>
          <cell r="L81" t="str">
            <v>/</v>
          </cell>
        </row>
        <row r="82">
          <cell r="A82" t="str">
            <v>TH538</v>
          </cell>
          <cell r="B82" t="str">
            <v>Ce que racontent les étoiles</v>
          </cell>
          <cell r="C82" t="str">
            <v>/</v>
          </cell>
          <cell r="D82" t="str">
            <v>Written in the Stars</v>
          </cell>
          <cell r="E82" t="str">
            <v>/</v>
          </cell>
          <cell r="F82" t="str">
            <v>Organic Herbal Tea Infusion</v>
          </cell>
          <cell r="G82" t="str">
            <v>Ingredients: lemongrass* (Cymbopogon citratus), raspberry leaves* (Rubus idaeus), lemon balm* (Melissa officinalis), linden flowers* (Tiliae flos), cornflower petals* (Centaurea cyanus), marigold petals* (Calendula officinalis), rosebuds* (Rosa damascena). *From organic farming.</v>
          </cell>
          <cell r="H82" t="str">
            <v>/</v>
          </cell>
          <cell r="I82" t="str">
            <v>/</v>
          </cell>
          <cell r="J82" t="str">
            <v>Loose Infusion</v>
          </cell>
          <cell r="K82" t="str">
            <v>/</v>
          </cell>
          <cell r="L82" t="str">
            <v>/</v>
          </cell>
        </row>
        <row r="83">
          <cell r="A83" t="str">
            <v>TA7392</v>
          </cell>
          <cell r="B83" t="str">
            <v>C'est un secret…</v>
          </cell>
          <cell r="C83" t="str">
            <v>Saveur noisette</v>
          </cell>
          <cell r="D83" t="str">
            <v>It's a Secret</v>
          </cell>
          <cell r="E83" t="str">
            <v xml:space="preserve">Hazelnut flavour </v>
          </cell>
          <cell r="F83" t="str">
            <v>Organic Flavoured Pu'er Dark Tea</v>
          </cell>
          <cell r="G83" t="str">
            <v>Ingredients: pu'er dark tea*, natural (hazelnut* 5%, vanilla*) flavourings, sunflower petals*, osmanthus flowers*. *From organic farming.</v>
          </cell>
          <cell r="H83" t="str">
            <v>/</v>
          </cell>
          <cell r="I83" t="str">
            <v>As a certified member of the World Fair Trade Organization, Les Jardins de Gaïa is committed to fairer trade and meets the requirements of fair trade. For more information: www.wfto.com.</v>
          </cell>
          <cell r="J83" t="str">
            <v>Loose leaf tea</v>
          </cell>
          <cell r="K83" t="str">
            <v>Several infusions</v>
          </cell>
          <cell r="L83"/>
        </row>
        <row r="84">
          <cell r="A84" t="str">
            <v>TO1215</v>
          </cell>
          <cell r="B84" t="str">
            <v>Charming Wu Long</v>
          </cell>
          <cell r="C84" t="str">
            <v>/</v>
          </cell>
          <cell r="D84" t="str">
            <v>Charming Wu Long</v>
          </cell>
          <cell r="E84" t="str">
            <v>/</v>
          </cell>
          <cell r="F84" t="str">
            <v>Organic Original Wu Long Tea</v>
          </cell>
          <cell r="G84" t="str">
            <v>Ingredient: wu long tea*. *From organic farming.</v>
          </cell>
          <cell r="H84" t="str">
            <v>/</v>
          </cell>
          <cell r="I84" t="str">
            <v>/</v>
          </cell>
          <cell r="J84" t="str">
            <v>Loose leaf tea</v>
          </cell>
          <cell r="K84" t="str">
            <v>Several infusions</v>
          </cell>
          <cell r="L84"/>
        </row>
        <row r="85">
          <cell r="A85" t="str">
            <v>TO1212</v>
          </cell>
          <cell r="B85" t="str">
            <v>Charming Wu Long</v>
          </cell>
          <cell r="C85" t="str">
            <v>/</v>
          </cell>
          <cell r="D85" t="str">
            <v>Charming Wu Long</v>
          </cell>
          <cell r="E85" t="str">
            <v>/</v>
          </cell>
          <cell r="F85" t="str">
            <v>Organic Original Wu Long Tea</v>
          </cell>
          <cell r="G85" t="str">
            <v>Ingredient: wu long tea*. *From organic farming.</v>
          </cell>
          <cell r="H85" t="str">
            <v>/</v>
          </cell>
          <cell r="I85" t="str">
            <v>/</v>
          </cell>
          <cell r="J85" t="str">
            <v>Loose leaf tea</v>
          </cell>
          <cell r="K85" t="str">
            <v>Several infusions</v>
          </cell>
          <cell r="L85"/>
        </row>
        <row r="86">
          <cell r="A86" t="str">
            <v>TO1212R</v>
          </cell>
          <cell r="B86" t="str">
            <v>Charming Wu Long</v>
          </cell>
          <cell r="C86" t="str">
            <v>/</v>
          </cell>
          <cell r="D86" t="str">
            <v>Charming Wu Long</v>
          </cell>
          <cell r="E86" t="str">
            <v>/</v>
          </cell>
          <cell r="F86" t="str">
            <v>Organic Original Wu Long Tea</v>
          </cell>
          <cell r="G86" t="str">
            <v>Ingredient: wu long tea*. *From organic farming.</v>
          </cell>
          <cell r="H86" t="str">
            <v>/</v>
          </cell>
          <cell r="I86" t="str">
            <v>/</v>
          </cell>
          <cell r="J86" t="str">
            <v>Loose leaf tea</v>
          </cell>
          <cell r="K86" t="str">
            <v>Several infusions</v>
          </cell>
          <cell r="L86"/>
        </row>
        <row r="87">
          <cell r="A87" t="str">
            <v>TB4042</v>
          </cell>
          <cell r="B87" t="str">
            <v>Ché Chun</v>
          </cell>
          <cell r="C87" t="str">
            <v>Pivoine blanche</v>
          </cell>
          <cell r="D87" t="str">
            <v>Ché Chun</v>
          </cell>
          <cell r="E87" t="str">
            <v>White peony</v>
          </cell>
          <cell r="F87" t="str">
            <v>Organic Original White Tea</v>
          </cell>
          <cell r="G87" t="str">
            <v xml:space="preserve">Ingredient: white tea*. *From organic farming. </v>
          </cell>
          <cell r="H87" t="str">
            <v>/</v>
          </cell>
          <cell r="I87" t="str">
            <v>As a certified member of the World Fair Trade Organization, Les Jardins de Gaïa is committed to fairer trade and meets the requirements of fair trade. For more information: www.wfto.com.</v>
          </cell>
          <cell r="J87" t="str">
            <v>Loose leaf tea</v>
          </cell>
          <cell r="K87" t="str">
            <v>/</v>
          </cell>
          <cell r="L87"/>
        </row>
        <row r="88">
          <cell r="A88" t="str">
            <v>TB4046</v>
          </cell>
          <cell r="B88" t="str">
            <v>Ché Chun</v>
          </cell>
          <cell r="C88" t="str">
            <v>Pivoine blanche</v>
          </cell>
          <cell r="D88" t="str">
            <v>Ché Chun</v>
          </cell>
          <cell r="E88" t="str">
            <v>White peony</v>
          </cell>
          <cell r="F88" t="str">
            <v>Organic Original White Tea</v>
          </cell>
          <cell r="G88" t="str">
            <v xml:space="preserve">Ingredient: white tea*. *From organic farming. </v>
          </cell>
          <cell r="H88" t="str">
            <v>/</v>
          </cell>
          <cell r="I88" t="str">
            <v>As a certified member of the World Fair Trade Organization, Les Jardins de Gaïa is committed to fairer trade and meets the requirements of fair trade. For more information: www.wfto.com.</v>
          </cell>
          <cell r="J88" t="str">
            <v>Loose leaf tea</v>
          </cell>
          <cell r="K88" t="str">
            <v>/</v>
          </cell>
          <cell r="L88"/>
        </row>
        <row r="89">
          <cell r="A89" t="str">
            <v>TJ508</v>
          </cell>
          <cell r="B89" t="str">
            <v>Chocolat blanc au matcha bio</v>
          </cell>
          <cell r="C89" t="str">
            <v>Thé matcha &amp; Sencha Premium</v>
          </cell>
          <cell r="D89" t="str">
            <v>White chocolate with organic green tea</v>
          </cell>
          <cell r="E89" t="str">
            <v>Matcha &amp; Sencha Premium</v>
          </cell>
          <cell r="F89" t="str">
            <v>Organic White Chocolate With Matcha</v>
          </cell>
          <cell r="G89" t="str">
            <v>Ingredients: cocoa butter* 40%, sugar*, whole milk powder*, green teas 4% (matcha*, sencha*). *From organic farming. May contain traces of gluten, nuts and milk.</v>
          </cell>
          <cell r="H89" t="str">
            <v>/</v>
          </cell>
          <cell r="I89" t="str">
            <v>/</v>
          </cell>
          <cell r="J89" t="str">
            <v>Cocoa Tablet</v>
          </cell>
          <cell r="K89" t="str">
            <v>/</v>
          </cell>
          <cell r="L89" t="str">
            <v>Nutrition facts for 100g:
Energy value: 2554 kJ / 650 kcal
Total fat: 48g
of wich satured fat: 29g
Carbohydrate: 37g
of wich sugar: 37g
Protein: 8.1g
Salt: 0,29g</v>
          </cell>
        </row>
        <row r="90">
          <cell r="A90" t="str">
            <v>TV6482</v>
          </cell>
          <cell r="B90" t="str">
            <v>Chun Mee Moon Palace</v>
          </cell>
          <cell r="C90" t="str">
            <v>/</v>
          </cell>
          <cell r="D90" t="str">
            <v>Chun Mee Moon Palace</v>
          </cell>
          <cell r="E90" t="str">
            <v>/</v>
          </cell>
          <cell r="F90" t="str">
            <v>Organic Original Green Tea</v>
          </cell>
          <cell r="G90" t="str">
            <v>Ingredient: green tea*. *From organic farming.</v>
          </cell>
          <cell r="H90" t="str">
            <v>/</v>
          </cell>
          <cell r="I90" t="str">
            <v>As a certified member of the World Fair Trade Organization, Les Jardins de Gaïa is committed to fairer trade and meets the requirements of fair trade. For more information: www.wfto.com.</v>
          </cell>
          <cell r="J90" t="str">
            <v>Loose leaf tea</v>
          </cell>
          <cell r="K90" t="str">
            <v>/</v>
          </cell>
          <cell r="L90"/>
        </row>
        <row r="91">
          <cell r="A91" t="str">
            <v>TA6852</v>
          </cell>
          <cell r="B91" t="str">
            <v>Citron</v>
          </cell>
          <cell r="C91" t="str">
            <v>Huile essentielle de citron</v>
          </cell>
          <cell r="D91" t="str">
            <v>Lemon</v>
          </cell>
          <cell r="E91" t="str">
            <v>Lemon essential oil</v>
          </cell>
          <cell r="F91" t="str">
            <v>Organic Flavoured Green Tea</v>
          </cell>
          <cell r="G91" t="str">
            <v xml:space="preserve">Ingredients: green tea*, orange peels*, lemon essential oil* 1,5%. *From organic farming. </v>
          </cell>
          <cell r="H91" t="str">
            <v>/</v>
          </cell>
          <cell r="I91" t="str">
            <v>As a certified member of the World Fair Trade Organization, Les Jardins de Gaïa is committed to fairer trade and meets the requirements of fair trade. For more information: www.wfto.com.</v>
          </cell>
          <cell r="J91" t="str">
            <v>Loose leaf tea</v>
          </cell>
          <cell r="K91" t="str">
            <v>/</v>
          </cell>
          <cell r="L91"/>
        </row>
        <row r="92">
          <cell r="A92" t="str">
            <v>TA5046</v>
          </cell>
          <cell r="B92" t="str">
            <v>Come on baby</v>
          </cell>
          <cell r="C92" t="str">
            <v>Glamour</v>
          </cell>
          <cell r="D92" t="str">
            <v>Come on baby</v>
          </cell>
          <cell r="E92" t="str">
            <v>Glamour</v>
          </cell>
          <cell r="F92" t="str">
            <v>Organic Flavoured White Tea</v>
          </cell>
          <cell r="G92" t="str">
            <v>Ingredients: white tea*, jasmine green tea*, geranium*, rose petals*, violet flowers*, marigold petals*, extract of (vanilla*, rose*), natural flavouring of orange blossom*. *From organic farming.</v>
          </cell>
          <cell r="H92" t="str">
            <v>/</v>
          </cell>
          <cell r="I92" t="str">
            <v>As a certified member of the World Fair Trade Organization, Les Jardins de Gaïa is committed to fairer trade and meets the requirements of fair trade. For more information: www.wfto.com.</v>
          </cell>
          <cell r="J92" t="str">
            <v>Loose leaf tea</v>
          </cell>
          <cell r="K92" t="str">
            <v>/</v>
          </cell>
          <cell r="L92"/>
        </row>
        <row r="93">
          <cell r="A93" t="str">
            <v>TUTA5046</v>
          </cell>
          <cell r="B93" t="str">
            <v>Come on baby</v>
          </cell>
          <cell r="C93" t="str">
            <v>Glamour</v>
          </cell>
          <cell r="D93" t="str">
            <v>Come on baby</v>
          </cell>
          <cell r="E93" t="str">
            <v>Glamour</v>
          </cell>
          <cell r="F93" t="str">
            <v>Organic Flavoured White Tea</v>
          </cell>
          <cell r="G93" t="str">
            <v>Ingredients: white tea*, jasmine green tea*, geranium*, rose petals*, violet flowers*, marigold petals*, extract of (vanilla*, rose*), natural flavouring of orange blossom*. *From organic farming.</v>
          </cell>
          <cell r="H93" t="str">
            <v>/</v>
          </cell>
          <cell r="I93" t="str">
            <v>As a certified member of the World Fair Trade Organization, Les Jardins de Gaïa is committed to fairer trade and meets the requirements of fair trade. For more information: www.wfto.com.</v>
          </cell>
          <cell r="J93" t="str">
            <v>Loose leaf tea</v>
          </cell>
          <cell r="K93" t="str">
            <v>/</v>
          </cell>
          <cell r="L93"/>
        </row>
        <row r="94">
          <cell r="A94" t="str">
            <v>HB1742</v>
          </cell>
          <cell r="B94" t="str">
            <v>Comme une caresse</v>
          </cell>
          <cell r="C94" t="str">
            <v>Honeybush - Cardamome</v>
          </cell>
          <cell r="D94" t="str">
            <v>Like a gentle caress</v>
          </cell>
          <cell r="E94" t="str">
            <v>Honeybush - Cardamom</v>
          </cell>
          <cell r="F94" t="str">
            <v>Organic Herbal Tea</v>
          </cell>
          <cell r="G94" t="str">
            <v>Ingredients: honeybush* 48%, anise*, ginger*, apple pieces*, cardamom* 7%, cinnamon*, verbena*, violet flowers*, cornflower petals*. *From organic farming.</v>
          </cell>
          <cell r="H94" t="str">
            <v>/</v>
          </cell>
          <cell r="I94" t="str">
            <v>/</v>
          </cell>
          <cell r="J94" t="str">
            <v>Loose infusion</v>
          </cell>
          <cell r="K94" t="str">
            <v>/</v>
          </cell>
          <cell r="L94" t="str">
            <v>/</v>
          </cell>
        </row>
        <row r="95">
          <cell r="A95" t="str">
            <v>TA9046</v>
          </cell>
          <cell r="B95" t="str">
            <v>Couleurs agrumes</v>
          </cell>
          <cell r="C95" t="str">
            <v>Huiles essentielles d'agrumes</v>
          </cell>
          <cell r="D95" t="str">
            <v>Shades of citrus</v>
          </cell>
          <cell r="E95" t="str">
            <v>Citrus essential oils</v>
          </cell>
          <cell r="F95" t="str">
            <v>Organic Flavoured Wu long Tea</v>
          </cell>
          <cell r="G95" t="str">
            <v xml:space="preserve">Ingredients: wu long tea*, citrus essential oils (orange*, bergamot*, lemon*, grapefruit*, mandarin*) 2%, fruit peels (orange* 4%, mandarin* 2%), amaranth*, chamomile petals*. *From organic farming. </v>
          </cell>
          <cell r="H95" t="str">
            <v>/</v>
          </cell>
          <cell r="I95" t="str">
            <v>As a certified member of the World Fair Trade Organization, Les Jardins de Gaïa is committed to fairer trade and meets the requirements of fair trade. For more information: www.wfto.com.</v>
          </cell>
          <cell r="J95" t="str">
            <v>Loose leaf tea</v>
          </cell>
          <cell r="K95" t="str">
            <v>/</v>
          </cell>
          <cell r="L95"/>
        </row>
        <row r="96">
          <cell r="A96" t="str">
            <v>TH0851</v>
          </cell>
          <cell r="B96" t="str">
            <v>Crapaudine des montagnes</v>
          </cell>
          <cell r="C96" t="str">
            <v>/</v>
          </cell>
          <cell r="D96" t="str">
            <v>Greek mountain tea</v>
          </cell>
          <cell r="E96" t="str">
            <v>/</v>
          </cell>
          <cell r="F96" t="str">
            <v>Organic Herbal Tea Infusion</v>
          </cell>
          <cell r="G96" t="str">
            <v>Ingredient : ironwort* (Sideritis raeseri). *From organic farming.</v>
          </cell>
          <cell r="H96"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96" t="str">
            <v>/</v>
          </cell>
          <cell r="J96" t="str">
            <v>Loose Infusion</v>
          </cell>
          <cell r="K96" t="str">
            <v>/</v>
          </cell>
          <cell r="L96" t="str">
            <v>/</v>
          </cell>
        </row>
        <row r="97">
          <cell r="A97" t="str">
            <v>TH0856</v>
          </cell>
          <cell r="B97" t="str">
            <v>Crapaudine des montagnes</v>
          </cell>
          <cell r="C97" t="str">
            <v>/</v>
          </cell>
          <cell r="D97" t="str">
            <v>Greek mountain tea</v>
          </cell>
          <cell r="E97" t="str">
            <v>/</v>
          </cell>
          <cell r="F97" t="str">
            <v>Organic Herbal Tea Infusion</v>
          </cell>
          <cell r="G97" t="str">
            <v>Ingredient : ironwort* (Sideritis raeseri). *From organic farming.</v>
          </cell>
          <cell r="H97"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97" t="str">
            <v>/</v>
          </cell>
          <cell r="J97" t="str">
            <v>Loose Infusion</v>
          </cell>
          <cell r="K97" t="str">
            <v>/</v>
          </cell>
          <cell r="L97" t="str">
            <v>/</v>
          </cell>
        </row>
        <row r="98">
          <cell r="A98" t="str">
            <v>TN5482</v>
          </cell>
          <cell r="B98" t="str">
            <v>Curly Black</v>
          </cell>
          <cell r="C98" t="str">
            <v>/</v>
          </cell>
          <cell r="D98" t="str">
            <v>Curly Black</v>
          </cell>
          <cell r="E98" t="str">
            <v>/</v>
          </cell>
          <cell r="F98" t="str">
            <v>Organic Original Black Tea</v>
          </cell>
          <cell r="G98" t="str">
            <v xml:space="preserve">Ingredient: black tea*. *From organic farming. </v>
          </cell>
          <cell r="H98" t="str">
            <v>/</v>
          </cell>
          <cell r="I98" t="str">
            <v>As a certified member of the World Fair Trade Organization, Les Jardins de Gaïa is committed to fairer trade and meets the requirements of fair trade. For more information: www.wfto.com.</v>
          </cell>
          <cell r="J98" t="str">
            <v>Loose leaf tea</v>
          </cell>
          <cell r="K98" t="str">
            <v>/</v>
          </cell>
          <cell r="L98"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99">
          <cell r="A99" t="str">
            <v>TO1165</v>
          </cell>
          <cell r="B99" t="str">
            <v>Da Hong Pao</v>
          </cell>
          <cell r="C99" t="str">
            <v>大红袍</v>
          </cell>
          <cell r="D99" t="str">
            <v>Da Hong Pao</v>
          </cell>
          <cell r="E99" t="str">
            <v>大红袍</v>
          </cell>
          <cell r="F99" t="str">
            <v>Organic Original Wu Long Tea</v>
          </cell>
          <cell r="G99" t="str">
            <v>Ingredient: wu long tea*. *From organic farming.</v>
          </cell>
          <cell r="H99" t="str">
            <v>/</v>
          </cell>
          <cell r="I99" t="str">
            <v>/</v>
          </cell>
          <cell r="J99" t="str">
            <v>Loose leaf tea</v>
          </cell>
          <cell r="K99" t="str">
            <v>Several infusions</v>
          </cell>
          <cell r="L99"/>
        </row>
        <row r="100">
          <cell r="A100" t="str">
            <v>TO1166</v>
          </cell>
          <cell r="B100" t="str">
            <v>Da Hong Pao</v>
          </cell>
          <cell r="C100" t="str">
            <v>大红袍</v>
          </cell>
          <cell r="D100" t="str">
            <v>Da Hong Pao</v>
          </cell>
          <cell r="E100" t="str">
            <v>大红袍</v>
          </cell>
          <cell r="F100" t="str">
            <v>Organic Original Wu Long Tea</v>
          </cell>
          <cell r="G100" t="str">
            <v>Ingredient: wu long tea*. *From organic farming.</v>
          </cell>
          <cell r="H100" t="str">
            <v>/</v>
          </cell>
          <cell r="I100" t="str">
            <v>/</v>
          </cell>
          <cell r="J100" t="str">
            <v>Loose leaf tea</v>
          </cell>
          <cell r="K100" t="str">
            <v>Several infusions</v>
          </cell>
          <cell r="L100"/>
        </row>
        <row r="101">
          <cell r="A101" t="str">
            <v>TO1166R</v>
          </cell>
          <cell r="B101" t="str">
            <v>Da Hong Pao</v>
          </cell>
          <cell r="C101" t="str">
            <v>大红袍</v>
          </cell>
          <cell r="D101" t="str">
            <v>Da Hong Pao</v>
          </cell>
          <cell r="E101" t="str">
            <v>大红袍</v>
          </cell>
          <cell r="F101" t="str">
            <v>Organic Original Wu Long Tea</v>
          </cell>
          <cell r="G101" t="str">
            <v>Ingredient: wu long tea*. *From organic farming.</v>
          </cell>
          <cell r="H101" t="str">
            <v>/</v>
          </cell>
          <cell r="I101" t="str">
            <v>/</v>
          </cell>
          <cell r="J101" t="str">
            <v>Loose leaf tea</v>
          </cell>
          <cell r="K101" t="str">
            <v>Several infusions</v>
          </cell>
          <cell r="L101"/>
        </row>
        <row r="102">
          <cell r="A102" t="str">
            <v>TA6772</v>
          </cell>
          <cell r="B102" t="str">
            <v>Dans les bras de Krishna</v>
          </cell>
          <cell r="C102" t="str">
            <v xml:space="preserve">Vanille - Macis </v>
          </cell>
          <cell r="D102" t="str">
            <v>In Krishna's arms</v>
          </cell>
          <cell r="E102" t="str">
            <v>Vanilla - Mace</v>
          </cell>
          <cell r="F102" t="str">
            <v>Organic Perfumed Green Tea</v>
          </cell>
          <cell r="G102" t="str">
            <v xml:space="preserve">Ingredients: green tea*, vanilla* 6%, mace* 6%, marigold*. *From organic farming. </v>
          </cell>
          <cell r="H102" t="str">
            <v>/</v>
          </cell>
          <cell r="I102" t="str">
            <v>As a certified member of the World Fair Trade Organization, Les Jardins de Gaïa is committed to fairer trade and meets the requirements of fair trade. For more information: www.wfto.com.</v>
          </cell>
          <cell r="J102" t="str">
            <v>Loose leaf tea</v>
          </cell>
          <cell r="K102" t="str">
            <v>/</v>
          </cell>
          <cell r="L102"/>
        </row>
        <row r="103">
          <cell r="A103" t="str">
            <v>TUTN3252</v>
          </cell>
          <cell r="B103" t="str">
            <v xml:space="preserve">Darjeeling Gaïa Bari  </v>
          </cell>
          <cell r="C103" t="str">
            <v>FTGFOP1 SF - Jardin de Potong</v>
          </cell>
          <cell r="D103" t="str">
            <v xml:space="preserve">Darjeeling Gaïa Bari  </v>
          </cell>
          <cell r="E103" t="str">
            <v>FTGFOP1 SF - Potong Garden</v>
          </cell>
          <cell r="F103" t="str">
            <v>Single Estate Organic Black Tea</v>
          </cell>
          <cell r="G103" t="str">
            <v xml:space="preserve">Ingredient: black tea**. **From organic and biodynamic farming. demeter is the brand for products from biodynamic agriculture. </v>
          </cell>
          <cell r="H103" t="str">
            <v>/</v>
          </cell>
          <cell r="I103" t="str">
            <v>As a certified member of the World Fair Trade Organization, Les Jardins de Gaïa is committed to fairer trade and meets the requirements of fair trade. For more information: www.wfto.com.</v>
          </cell>
          <cell r="J103" t="str">
            <v>Loose leaf tea</v>
          </cell>
          <cell r="K103" t="str">
            <v>/</v>
          </cell>
          <cell r="L103"/>
        </row>
        <row r="104">
          <cell r="A104" t="str">
            <v>TA7212</v>
          </cell>
          <cell r="B104" t="str">
            <v>Délice des Fées</v>
          </cell>
          <cell r="C104" t="str">
            <v>Fraise - Saveur vanille</v>
          </cell>
          <cell r="D104" t="str">
            <v>Fairy Delight</v>
          </cell>
          <cell r="E104" t="str">
            <v>Strawberry - vanilla  flavour</v>
          </cell>
          <cell r="F104" t="str">
            <v>Organic Flavoured Black Tea</v>
          </cell>
          <cell r="G104" t="str">
            <v>Ingredients: black tea*, natural (strawberry* 3%, raspberry*) flavourings, vanilla extract* 2%, flower petals (cornflower*, rose*, marigold*), strawberry pieces* 1%, mallow* leaves and flowers. *From organic farming.</v>
          </cell>
          <cell r="H104" t="str">
            <v>/</v>
          </cell>
          <cell r="I104" t="str">
            <v>As a certified member of the World Fair Trade Organization, Les Jardins de Gaïa is committed to fairer trade and meets the requirements of fair trade. For more information: www.wfto.com.</v>
          </cell>
          <cell r="J104" t="str">
            <v>Loose leaf tea</v>
          </cell>
          <cell r="K104" t="str">
            <v>/</v>
          </cell>
          <cell r="L104"/>
        </row>
        <row r="105">
          <cell r="A105" t="str">
            <v>TF1322</v>
          </cell>
          <cell r="B105" t="str">
            <v>Délice des fruitiers</v>
          </cell>
          <cell r="C105" t="str">
            <v>Pêche - Saveur mûre</v>
          </cell>
          <cell r="D105" t="str">
            <v>Fruit Delight</v>
          </cell>
          <cell r="E105" t="str">
            <v xml:space="preserve">Peach - Blackberry flavour  </v>
          </cell>
          <cell r="F105" t="str">
            <v>Organic Flavoured Fruit Tea</v>
          </cell>
          <cell r="G105" t="str">
            <v>Ingredients: fruit (apple* 37%, peach* 3%, apricot*2%), rosehip peels*, natural (peach* 8%, blackberry* 6%, apricot*) flavourings, orange peels*, lemongrass*, hibiscus*, marigold petals*. *From organic farming.</v>
          </cell>
          <cell r="H105" t="str">
            <v>/</v>
          </cell>
          <cell r="I105" t="str">
            <v>/</v>
          </cell>
          <cell r="J105" t="str">
            <v>Loose infusion</v>
          </cell>
          <cell r="K105" t="str">
            <v>/</v>
          </cell>
          <cell r="L105" t="str">
            <v>/</v>
          </cell>
        </row>
        <row r="106">
          <cell r="A106" t="str">
            <v>TR2062</v>
          </cell>
          <cell r="B106" t="str">
            <v>Délice du verger</v>
          </cell>
          <cell r="C106" t="str">
            <v>Saveur cerise</v>
          </cell>
          <cell r="D106" t="str">
            <v>De'lucscious</v>
          </cell>
          <cell r="E106" t="str">
            <v>Cherry flavour</v>
          </cell>
          <cell r="F106" t="str">
            <v>Organic Flavoured Rooibos</v>
          </cell>
          <cell r="G106" t="str">
            <v xml:space="preserve">Ingredients: rooibos*, natural cherry flavouring* 7%, strawberry leaves*, cranberries*, cornflower petals*. *From organic farming. </v>
          </cell>
          <cell r="H106" t="str">
            <v>/</v>
          </cell>
          <cell r="I106" t="str">
            <v>As a certified member of the World Fair Trade Organization, Les Jardins de Gaïa is committed to fairer trade and meets the requirements of fair trade. For more information: www.wfto.com.</v>
          </cell>
          <cell r="J106" t="str">
            <v>Loose rooibos</v>
          </cell>
          <cell r="K106" t="str">
            <v>/</v>
          </cell>
          <cell r="L106" t="str">
            <v>/</v>
          </cell>
        </row>
        <row r="107">
          <cell r="A107" t="str">
            <v>TN2385</v>
          </cell>
          <cell r="B107" t="str">
            <v>Demeter Delight</v>
          </cell>
          <cell r="C107" t="str">
            <v>FTGFOP1 FF 
Selimbong Tea Estate - EX. 02.04.2022</v>
          </cell>
          <cell r="D107" t="str">
            <v>Demeter Delight</v>
          </cell>
          <cell r="E107" t="str">
            <v>FTGFOP1 FF 
Selimbong Tea Estate - EX. 02.04.2022</v>
          </cell>
          <cell r="F107" t="str">
            <v>Single Estate First Flush Organic Black Tea</v>
          </cell>
          <cell r="G107" t="str">
            <v>Ingredient: black tea**. **From organic and biodynamic farming. demeter is the brand for products from biodynamic agriculture.</v>
          </cell>
          <cell r="H107" t="str">
            <v>/</v>
          </cell>
          <cell r="I107" t="str">
            <v>As a certified member of the World Fair Trade Organization, Les Jardins de Gaïa is committed to fairer trade and meets the requirements of fair trade. For more information: www.wfto.com.</v>
          </cell>
          <cell r="J107" t="str">
            <v>Loose leaf tea</v>
          </cell>
          <cell r="K107" t="str">
            <v>/</v>
          </cell>
          <cell r="L107" t="str">
            <v>/</v>
          </cell>
        </row>
        <row r="108">
          <cell r="A108" t="str">
            <v>TN2386</v>
          </cell>
          <cell r="B108" t="str">
            <v>Demeter Delight</v>
          </cell>
          <cell r="C108" t="str">
            <v>FTGFOP1 FF 
Selimbong Tea Estate - EX. 02.04.2022</v>
          </cell>
          <cell r="D108" t="str">
            <v>Demeter Delight</v>
          </cell>
          <cell r="E108" t="str">
            <v>FTGFOP1 FF 
Selimbong Tea Estate - EX. 02.04.2022</v>
          </cell>
          <cell r="F108" t="str">
            <v>Single Estate First Flush Organic Black Tea</v>
          </cell>
          <cell r="G108" t="str">
            <v>Ingredient: black tea**. **From organic and biodynamic farming. demeter is the brand for products from biodynamic agriculture.</v>
          </cell>
          <cell r="H108" t="str">
            <v>/</v>
          </cell>
          <cell r="I108" t="str">
            <v>As a certified member of the World Fair Trade Organization, Les Jardins de Gaïa is committed to fairer trade and meets the requirements of fair trade. For more information: www.wfto.com.</v>
          </cell>
          <cell r="J108" t="str">
            <v>Loose leaf tea</v>
          </cell>
          <cell r="K108" t="str">
            <v>/</v>
          </cell>
          <cell r="L108" t="str">
            <v>/</v>
          </cell>
        </row>
        <row r="109">
          <cell r="A109" t="str">
            <v>TN2386R</v>
          </cell>
          <cell r="B109" t="str">
            <v>Demeter Delight</v>
          </cell>
          <cell r="C109" t="str">
            <v>FTGFOP1 FF 
Selimbong Tea Estate - EX. 02.04.2022</v>
          </cell>
          <cell r="D109" t="str">
            <v>Demeter Delight</v>
          </cell>
          <cell r="E109" t="str">
            <v>FTGFOP1 FF 
Selimbong Tea Estate - EX. 02.04.2022</v>
          </cell>
          <cell r="F109" t="str">
            <v>Single Estate First Flush Organic Black Tea</v>
          </cell>
          <cell r="G109" t="str">
            <v>Ingredient: black tea**. **From organic and biodynamic farming. demeter is the brand for products from biodynamic agriculture.</v>
          </cell>
          <cell r="H109" t="str">
            <v>/</v>
          </cell>
          <cell r="I109" t="str">
            <v>As a certified member of the World Fair Trade Organization, Les Jardins de Gaïa is committed to fairer trade and meets the requirements of fair trade. For more information: www.wfto.com.</v>
          </cell>
          <cell r="J109" t="str">
            <v>Loose leaf tea</v>
          </cell>
          <cell r="K109" t="str">
            <v>/</v>
          </cell>
          <cell r="L109" t="str">
            <v>/</v>
          </cell>
        </row>
        <row r="110">
          <cell r="A110" t="str">
            <v>TH7061</v>
          </cell>
          <cell r="B110" t="str">
            <v>Des jambes si légères</v>
          </cell>
          <cell r="C110" t="str">
            <v>Drainante &amp; Revitalisante
Maté - Romarin</v>
          </cell>
          <cell r="D110" t="str">
            <v>Light Legs</v>
          </cell>
          <cell r="E110" t="str">
            <v>Diuretic &amp; Revitalizing
Mate - Rosemary</v>
          </cell>
          <cell r="F110" t="str">
            <v>Organic Herbal Tea Infusion</v>
          </cell>
          <cell r="G110" t="str">
            <v>Ingredients: apple mint* (Mentha rotundifolia), lemon balm* (Melissa officinalis), rosemary* 19% (Rosmarinus officinalis), lemongrass* (Cymbopogon citratus), mate* 10% (Ilex paraguariensis), rosebuds* (Rosa damascena). *From organic farming.</v>
          </cell>
          <cell r="H110" t="str">
            <v>Recommended daily consumption: 1.5L.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110" t="str">
            <v>/</v>
          </cell>
          <cell r="J110" t="str">
            <v>Loose Infusion</v>
          </cell>
          <cell r="K110" t="str">
            <v>/</v>
          </cell>
          <cell r="L110" t="str">
            <v>/</v>
          </cell>
        </row>
        <row r="111">
          <cell r="A111" t="str">
            <v>TH706</v>
          </cell>
          <cell r="B111" t="str">
            <v>Des jambes si légères</v>
          </cell>
          <cell r="C111" t="str">
            <v>Drainante &amp; Revitalisante
Maté - Romarin</v>
          </cell>
          <cell r="D111" t="str">
            <v>Light Legs</v>
          </cell>
          <cell r="E111" t="str">
            <v>Diuretic &amp; Revitalizing
Mate - Rosemary</v>
          </cell>
          <cell r="F111" t="str">
            <v>Organic Herbal Tea Infusion</v>
          </cell>
          <cell r="G111" t="str">
            <v>Ingredients: apple mint* (Mentha rotundifolia), lemon balm* (Melissa officinalis), rosemary* 19% (Rosmarinus officinalis), lemongrass* (Cymbopogon citratus), mate* 10% (Ilex paraguariensis), rosebuds* (Rosa damascena). *From organic farming.</v>
          </cell>
          <cell r="H111" t="str">
            <v>Recommended daily consumption: 1.5L.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111" t="str">
            <v>/</v>
          </cell>
          <cell r="J111" t="str">
            <v>Loose Infusion</v>
          </cell>
          <cell r="K111" t="str">
            <v>/</v>
          </cell>
          <cell r="L111" t="str">
            <v>/</v>
          </cell>
        </row>
        <row r="112">
          <cell r="A112" t="str">
            <v>TM0286</v>
          </cell>
          <cell r="B112" t="str">
            <v>Dhyāna AIR</v>
          </cell>
          <cell r="C112" t="str">
            <v xml:space="preserve">Thé de méditation </v>
          </cell>
          <cell r="D112" t="str">
            <v>Dhyāna AIR</v>
          </cell>
          <cell r="E112" t="str">
            <v>Meditation Tea</v>
          </cell>
          <cell r="F112" t="str">
            <v>Organic Perfumed Green Tea</v>
          </cell>
          <cell r="G112" t="str">
            <v>Ingredients: green tea*, rose petals*, flowers (eder*, violet*), buchu*. *From organic farming.</v>
          </cell>
          <cell r="H112" t="str">
            <v>/</v>
          </cell>
          <cell r="I112" t="str">
            <v>As a certified member of the World Fair Trade Organization, Les Jardins de Gaïa is committed to fairer trade and meets the requirements of fair trade. For more information: www.wfto.com.</v>
          </cell>
          <cell r="J112" t="str">
            <v>Loose leaf tea</v>
          </cell>
          <cell r="K112" t="str">
            <v>/</v>
          </cell>
          <cell r="L112"/>
        </row>
        <row r="113">
          <cell r="A113" t="str">
            <v>TUTM0286</v>
          </cell>
          <cell r="B113" t="str">
            <v>Dhyāna AIR</v>
          </cell>
          <cell r="C113" t="str">
            <v xml:space="preserve">Thé de méditation </v>
          </cell>
          <cell r="D113" t="str">
            <v>Dhyāna AIR</v>
          </cell>
          <cell r="E113" t="str">
            <v>Meditation Tea</v>
          </cell>
          <cell r="F113" t="str">
            <v>Organic Perfumed Green Tea</v>
          </cell>
          <cell r="G113" t="str">
            <v>Ingredients: green tea*, rose petals*, flowers (eder*, violet*), buchu*. *From organic farming.</v>
          </cell>
          <cell r="H113" t="str">
            <v>/</v>
          </cell>
          <cell r="I113" t="str">
            <v>As a certified member of the World Fair Trade Organization, Les Jardins de Gaïa is committed to fairer trade and meets the requirements of fair trade. For more information: www.wfto.com.</v>
          </cell>
          <cell r="J113" t="str">
            <v>Loose leaf tea</v>
          </cell>
          <cell r="K113" t="str">
            <v>/</v>
          </cell>
          <cell r="L113"/>
        </row>
        <row r="114">
          <cell r="A114" t="str">
            <v>TM0256</v>
          </cell>
          <cell r="B114" t="str">
            <v>Dhyāna EAU</v>
          </cell>
          <cell r="C114" t="str">
            <v xml:space="preserve">Thé de méditation </v>
          </cell>
          <cell r="D114" t="str">
            <v>Dhyāna WATER</v>
          </cell>
          <cell r="E114" t="str">
            <v>Meditation Tea</v>
          </cell>
          <cell r="F114" t="str">
            <v>Organic Perfumed White Tea</v>
          </cell>
          <cell r="G114" t="str">
            <v>Ingredients: white tea*, jasmine green tea*, lemongrass*, tulsi*, liquorice*, rose petals*, amaranth*. *From organic farming. Contains liquorice: people suffering from hypertension should avoid excessive consumption.</v>
          </cell>
          <cell r="H114" t="str">
            <v>/</v>
          </cell>
          <cell r="I114" t="str">
            <v>As a certified member of the World Fair Trade Organization, Les Jardins de Gaïa is committed to fairer trade and meets the requirements of fair trade. For more information: www.wfto.com.</v>
          </cell>
          <cell r="J114" t="str">
            <v>Loose leaf tea</v>
          </cell>
          <cell r="K114" t="str">
            <v>/</v>
          </cell>
          <cell r="L114"/>
        </row>
        <row r="115">
          <cell r="A115" t="str">
            <v>TUTM0256</v>
          </cell>
          <cell r="B115" t="str">
            <v>Dhyāna EAU</v>
          </cell>
          <cell r="C115" t="str">
            <v xml:space="preserve">Thé de méditation </v>
          </cell>
          <cell r="D115" t="str">
            <v>Dhyāna WATER</v>
          </cell>
          <cell r="E115" t="str">
            <v>Meditation Tea</v>
          </cell>
          <cell r="F115" t="str">
            <v>Organic Perfumed White Tea</v>
          </cell>
          <cell r="G115" t="str">
            <v>Ingredients: white tea*, jasmine green tea*, lemongrass*, tulsi*, liquorice*, rose petals*, amaranth*. *From organic farming. Contains liquorice: people suffering from hypertension should avoid excessive consumption.</v>
          </cell>
          <cell r="H115" t="str">
            <v>/</v>
          </cell>
          <cell r="I115" t="str">
            <v>As a certified member of the World Fair Trade Organization, Les Jardins de Gaïa is committed to fairer trade and meets the requirements of fair trade. For more information: www.wfto.com.</v>
          </cell>
          <cell r="J115" t="str">
            <v>Loose leaf tea</v>
          </cell>
          <cell r="K115" t="str">
            <v>/</v>
          </cell>
          <cell r="L115"/>
        </row>
        <row r="116">
          <cell r="A116" t="str">
            <v>TM0306</v>
          </cell>
          <cell r="B116" t="str">
            <v>Dhyāna ÉVEIL</v>
          </cell>
          <cell r="C116" t="str">
            <v xml:space="preserve">Tisane de méditation </v>
          </cell>
          <cell r="D116" t="str">
            <v>Dhyāna AWAKENING</v>
          </cell>
          <cell r="E116" t="str">
            <v>Meditation Tea</v>
          </cell>
          <cell r="F116" t="str">
            <v>Organic Herbal Tea Infusion</v>
          </cell>
          <cell r="G116" t="str">
            <v xml:space="preserve">Ingrédients : aronia*, grape pomace*, moringa*, verbena*, linden*, lemon balm*, rosemary*, fruit pieces (raspberry*, strawberry*), mallow*, marigold petals*. *From organic farming. </v>
          </cell>
          <cell r="H116" t="str">
            <v>/</v>
          </cell>
          <cell r="I116" t="str">
            <v>/</v>
          </cell>
          <cell r="J116" t="str">
            <v>Loose leaf tea</v>
          </cell>
          <cell r="K116" t="str">
            <v>/</v>
          </cell>
          <cell r="L116"/>
        </row>
        <row r="117">
          <cell r="A117" t="str">
            <v>TUTM0306</v>
          </cell>
          <cell r="B117" t="str">
            <v>Dhyāna ÉVEIL</v>
          </cell>
          <cell r="C117" t="str">
            <v xml:space="preserve">Tisane de méditation </v>
          </cell>
          <cell r="D117" t="str">
            <v>Dhyāna AWAKENING</v>
          </cell>
          <cell r="E117" t="str">
            <v>Meditation Tea</v>
          </cell>
          <cell r="F117" t="str">
            <v>Organic Herbal Tea Infusion</v>
          </cell>
          <cell r="G117" t="str">
            <v xml:space="preserve">Ingrédients : aronia*, grape pomace*, moringa*, verbena*, linden*, lemon balm*, rosemary*, fruit pieces (raspberry*, strawberry*), mallow*, marigold petals*. *From organic farming. </v>
          </cell>
          <cell r="H117" t="str">
            <v>/</v>
          </cell>
          <cell r="I117" t="str">
            <v>/</v>
          </cell>
          <cell r="J117" t="str">
            <v>Loose leaf tea</v>
          </cell>
          <cell r="K117" t="str">
            <v>/</v>
          </cell>
          <cell r="L117"/>
        </row>
        <row r="118">
          <cell r="A118" t="str">
            <v>TM0262</v>
          </cell>
          <cell r="B118" t="str">
            <v>Dhyāna FEU</v>
          </cell>
          <cell r="C118" t="str">
            <v>Thé de méditation</v>
          </cell>
          <cell r="D118" t="str">
            <v>Dhyāna FIRE</v>
          </cell>
          <cell r="E118" t="str">
            <v>Meditation Tea</v>
          </cell>
          <cell r="F118" t="str">
            <v>Organic Flavoured Black Tea</v>
          </cell>
          <cell r="G118" t="str">
            <v>Ingredients: black tea*, pu’er dark tea*, juniper berries*, apple pieces*, grapefruit essential oil*, bitter orange leaves*, hemp leaves*, chili pepper*, cornflower petals*, cloves*, cranberries*. *From organic farming.</v>
          </cell>
          <cell r="H118" t="str">
            <v>/</v>
          </cell>
          <cell r="I118" t="str">
            <v>As a certified member of the World Fair Trade Organization, Les Jardins de Gaïa is committed to fairer trade and meets the requirements of fair trade. For more information: www.wfto.com.</v>
          </cell>
          <cell r="J118" t="str">
            <v>Loose leaf tea</v>
          </cell>
          <cell r="K118" t="str">
            <v>/</v>
          </cell>
          <cell r="L118"/>
        </row>
        <row r="119">
          <cell r="A119" t="str">
            <v>TUTM0262</v>
          </cell>
          <cell r="B119" t="str">
            <v>Dhyāna FEU</v>
          </cell>
          <cell r="C119" t="str">
            <v>Thé de méditation</v>
          </cell>
          <cell r="D119" t="str">
            <v>Dhyāna FIRE</v>
          </cell>
          <cell r="E119" t="str">
            <v>Meditation Tea</v>
          </cell>
          <cell r="F119" t="str">
            <v>Organic Flavoured Black Tea</v>
          </cell>
          <cell r="G119" t="str">
            <v>Ingredients: black tea*, pu’er dark tea*, juniper berries*, apple pieces*, grapefruit essential oil*, bitter orange leaves*, hemp leaves*, chili pepper*, cornflower petals*, cloves*, cranberries*. *From organic farming.</v>
          </cell>
          <cell r="H119" t="str">
            <v>/</v>
          </cell>
          <cell r="I119" t="str">
            <v>As a certified member of the World Fair Trade Organization, Les Jardins de Gaïa is committed to fairer trade and meets the requirements of fair trade. For more information: www.wfto.com.</v>
          </cell>
          <cell r="J119" t="str">
            <v>Loose leaf tea</v>
          </cell>
          <cell r="K119" t="str">
            <v>/</v>
          </cell>
          <cell r="L119"/>
        </row>
        <row r="120">
          <cell r="A120" t="str">
            <v>TM0292</v>
          </cell>
          <cell r="B120" t="str">
            <v>Dhyāna SÉRÉNITÉ</v>
          </cell>
          <cell r="C120" t="str">
            <v xml:space="preserve">Tisane de méditation </v>
          </cell>
          <cell r="D120" t="str">
            <v>Dhyāna SERENITY</v>
          </cell>
          <cell r="E120" t="str">
            <v>Meditation Tea</v>
          </cell>
          <cell r="F120" t="str">
            <v>Organic Herbal Tea Infusion</v>
          </cell>
          <cell r="G120" t="str">
            <v xml:space="preserve">Ingredients: honeybush flowers*, moringa*, buchu*, lemon peels*, liquorice*, cornflower petals*. *From organic farming. Contains liquorice: people suffering from hypertension should avoid excessive consumption. </v>
          </cell>
          <cell r="H120" t="str">
            <v>/</v>
          </cell>
          <cell r="I120" t="str">
            <v>/</v>
          </cell>
          <cell r="J120" t="str">
            <v>Loose leaf tea</v>
          </cell>
          <cell r="K120" t="str">
            <v>/</v>
          </cell>
          <cell r="L120"/>
        </row>
        <row r="121">
          <cell r="A121" t="str">
            <v>TUTM0292</v>
          </cell>
          <cell r="B121" t="str">
            <v>Dhyāna SÉRÉNITÉ</v>
          </cell>
          <cell r="C121" t="str">
            <v xml:space="preserve">Tisane de méditation </v>
          </cell>
          <cell r="D121" t="str">
            <v>Dhyāna SERENITY</v>
          </cell>
          <cell r="E121" t="str">
            <v>Meditation Tea</v>
          </cell>
          <cell r="F121" t="str">
            <v>Organic Herbal Tea Infusion</v>
          </cell>
          <cell r="G121" t="str">
            <v xml:space="preserve">Ingredients: honeybush flowers*, moringa*, buchu*, lemon peels*, liquorice*, cornflower petals*. *From organic farming. Contains liquorice: people suffering from hypertension should avoid excessive consumption. </v>
          </cell>
          <cell r="H121" t="str">
            <v>/</v>
          </cell>
          <cell r="I121" t="str">
            <v>/</v>
          </cell>
          <cell r="J121" t="str">
            <v>Loose leaf tea</v>
          </cell>
          <cell r="K121" t="str">
            <v>/</v>
          </cell>
          <cell r="L121"/>
        </row>
        <row r="122">
          <cell r="A122" t="str">
            <v>TM0272</v>
          </cell>
          <cell r="B122" t="str">
            <v>Dhyāna TERRE</v>
          </cell>
          <cell r="C122" t="str">
            <v>Thé de méditation</v>
          </cell>
          <cell r="D122" t="str">
            <v>Dhyāna EARTH</v>
          </cell>
          <cell r="E122" t="str">
            <v>Orange blossom flavour</v>
          </cell>
          <cell r="F122" t="str">
            <v>Organic Perfumed Wu long Tea</v>
          </cell>
          <cell r="G122" t="str">
            <v>Ingredients: wu long tea*, grape pomace*, ginger*, carrot pieces*, turmeric*, rosehip*, liquorice*, black pepper*, heather flowers*. *From organic farming. Contains liquorice: people suffering from hypertension should avoid excessive consumption.</v>
          </cell>
          <cell r="H122" t="str">
            <v>/</v>
          </cell>
          <cell r="I122" t="str">
            <v>As a certified member of the World Fair Trade Organization, Les Jardins de Gaïa is committed to fairer trade and meets the requirements of fair trade. For more information: www.wfto.com.</v>
          </cell>
          <cell r="J122" t="str">
            <v>Loose leaf tea</v>
          </cell>
          <cell r="K122" t="str">
            <v>/</v>
          </cell>
          <cell r="L122"/>
        </row>
        <row r="123">
          <cell r="A123" t="str">
            <v>TUTM0272</v>
          </cell>
          <cell r="B123" t="str">
            <v>Dhyāna TERRE</v>
          </cell>
          <cell r="C123" t="str">
            <v>Thé de méditation</v>
          </cell>
          <cell r="D123" t="str">
            <v>Dhyāna EARTH</v>
          </cell>
          <cell r="E123" t="str">
            <v>Orange blossom flavour</v>
          </cell>
          <cell r="F123" t="str">
            <v>Organic Perfumed Wu long Tea</v>
          </cell>
          <cell r="G123" t="str">
            <v>Ingredients: wu long tea*, grape pomace*, ginger*, carrot pieces*, turmeric*, rosehip*, liquorice*, black pepper*, heather flowers*. *From organic farming. Contains liquorice: people suffering from hypertension should avoid excessive consumption.</v>
          </cell>
          <cell r="H123" t="str">
            <v>/</v>
          </cell>
          <cell r="I123" t="str">
            <v>As a certified member of the World Fair Trade Organization, Les Jardins de Gaïa is committed to fairer trade and meets the requirements of fair trade. For more information: www.wfto.com.</v>
          </cell>
          <cell r="J123" t="str">
            <v>Loose leaf tea</v>
          </cell>
          <cell r="K123" t="str">
            <v>/</v>
          </cell>
          <cell r="L123"/>
        </row>
        <row r="124">
          <cell r="A124" t="str">
            <v>TN4075</v>
          </cell>
          <cell r="B124" t="str">
            <v>Dian Hong Golden Buds</v>
          </cell>
          <cell r="C124" t="str">
            <v>Bourgeons dorés 滇红</v>
          </cell>
          <cell r="D124" t="str">
            <v>Dian Hong Golden Buds</v>
          </cell>
          <cell r="E124" t="str">
            <v>Golden buds 滇红</v>
          </cell>
          <cell r="F124" t="str">
            <v>Organic Original Black Tea</v>
          </cell>
          <cell r="G124" t="str">
            <v>Ingredient: black tea*. *From organic farming.</v>
          </cell>
          <cell r="H124" t="str">
            <v>/</v>
          </cell>
          <cell r="I124" t="str">
            <v>As a certified member of the World Fair Trade Organization, Les Jardins de Gaïa is committed to fairer trade and meets the requirements of fair trade. For more information: www.wfto.com.</v>
          </cell>
          <cell r="J124" t="str">
            <v>Loose leaf tea</v>
          </cell>
          <cell r="K124" t="str">
            <v>/</v>
          </cell>
          <cell r="L124" t="str">
            <v>/</v>
          </cell>
        </row>
        <row r="125">
          <cell r="A125" t="str">
            <v>TN4072</v>
          </cell>
          <cell r="B125" t="str">
            <v>Dian Hong Golden Buds</v>
          </cell>
          <cell r="C125" t="str">
            <v>Bourgeons dorés 滇红</v>
          </cell>
          <cell r="D125" t="str">
            <v>Dian Hong Golden Buds</v>
          </cell>
          <cell r="E125" t="str">
            <v>Golden buds 滇红</v>
          </cell>
          <cell r="F125" t="str">
            <v>Organic Original Black Tea</v>
          </cell>
          <cell r="G125" t="str">
            <v>Ingredient: black tea*. *From organic farming.</v>
          </cell>
          <cell r="H125" t="str">
            <v>/</v>
          </cell>
          <cell r="I125" t="str">
            <v>As a certified member of the World Fair Trade Organization, Les Jardins de Gaïa is committed to fairer trade and meets the requirements of fair trade. For more information: www.wfto.com.</v>
          </cell>
          <cell r="J125" t="str">
            <v>Loose leaf tea</v>
          </cell>
          <cell r="K125" t="str">
            <v>/</v>
          </cell>
          <cell r="L125" t="str">
            <v>/</v>
          </cell>
        </row>
        <row r="126">
          <cell r="A126" t="str">
            <v>TN4072R</v>
          </cell>
          <cell r="B126" t="str">
            <v>Dian Hong Golden Buds</v>
          </cell>
          <cell r="C126" t="str">
            <v>Bourgeons dorés 滇红</v>
          </cell>
          <cell r="D126" t="str">
            <v>Dian Hong Golden Buds</v>
          </cell>
          <cell r="E126" t="str">
            <v>Golden buds 滇红</v>
          </cell>
          <cell r="F126" t="str">
            <v>Organic Original Black Tea</v>
          </cell>
          <cell r="G126" t="str">
            <v>Ingredient: black tea*. *From organic farming.</v>
          </cell>
          <cell r="H126" t="str">
            <v>/</v>
          </cell>
          <cell r="I126" t="str">
            <v>As a certified member of the World Fair Trade Organization, Les Jardins de Gaïa is committed to fairer trade and meets the requirements of fair trade. For more information: www.wfto.com.</v>
          </cell>
          <cell r="J126" t="str">
            <v>Loose leaf tea</v>
          </cell>
          <cell r="K126" t="str">
            <v>/</v>
          </cell>
          <cell r="L126" t="str">
            <v>/</v>
          </cell>
        </row>
        <row r="127">
          <cell r="A127" t="str">
            <v>TV1602</v>
          </cell>
          <cell r="B127" t="str">
            <v>Direction Ouganda</v>
          </cell>
          <cell r="C127" t="str">
            <v>/</v>
          </cell>
          <cell r="D127" t="str">
            <v>Uganda Direction</v>
          </cell>
          <cell r="E127" t="str">
            <v>/</v>
          </cell>
          <cell r="F127" t="str">
            <v>Single Estate Organic Greeen Tea</v>
          </cell>
          <cell r="G127" t="str">
            <v>Ingredient: green tea*. *From organic farming.</v>
          </cell>
          <cell r="H127" t="str">
            <v>/</v>
          </cell>
          <cell r="I127" t="str">
            <v>/</v>
          </cell>
          <cell r="J127" t="str">
            <v>Leaf Tea</v>
          </cell>
          <cell r="K127" t="str">
            <v>/</v>
          </cell>
          <cell r="L127" t="str">
            <v>/</v>
          </cell>
        </row>
        <row r="128">
          <cell r="A128" t="str">
            <v>TUTV1602</v>
          </cell>
          <cell r="B128" t="str">
            <v>Direction Ouganda</v>
          </cell>
          <cell r="C128" t="str">
            <v>/</v>
          </cell>
          <cell r="D128" t="str">
            <v>Uganda Direction</v>
          </cell>
          <cell r="E128" t="str">
            <v>/</v>
          </cell>
          <cell r="F128" t="str">
            <v>Single Estate Organic Greeen Tea</v>
          </cell>
          <cell r="G128" t="str">
            <v>Ingredient: green tea*. *From organic farming.</v>
          </cell>
          <cell r="H128" t="str">
            <v>/</v>
          </cell>
          <cell r="I128" t="str">
            <v>/</v>
          </cell>
          <cell r="J128" t="str">
            <v>Leaf Tea</v>
          </cell>
          <cell r="K128" t="str">
            <v>/</v>
          </cell>
          <cell r="L128" t="str">
            <v>/</v>
          </cell>
        </row>
        <row r="129">
          <cell r="A129" t="str">
            <v>TM7872</v>
          </cell>
          <cell r="B129" t="str">
            <v>Don Juan</v>
          </cell>
          <cell r="C129" t="str">
            <v>/</v>
          </cell>
          <cell r="D129" t="str">
            <v>Don Juan</v>
          </cell>
          <cell r="E129" t="str">
            <v>/</v>
          </cell>
          <cell r="F129" t="str">
            <v>Organic Black Tea</v>
          </cell>
          <cell r="G129" t="str">
            <v>Ingredient: black tea*. *From organic farming.</v>
          </cell>
          <cell r="H129" t="str">
            <v>/</v>
          </cell>
          <cell r="I129" t="str">
            <v>As a certified member of the World Fair Trade Organization, Les Jardins de Gaïa is committed to fairer trade and meets the requirements of fair trade. For more information: www.wfto.com.</v>
          </cell>
          <cell r="J129" t="str">
            <v>Loose leaf tea</v>
          </cell>
          <cell r="K129" t="str">
            <v>/</v>
          </cell>
          <cell r="L129"/>
        </row>
        <row r="130">
          <cell r="A130" t="str">
            <v>TO4182</v>
          </cell>
          <cell r="B130" t="str">
            <v>Dong Ding</v>
          </cell>
          <cell r="C130" t="str">
            <v>Brumes glacées des sommets 冻顶</v>
          </cell>
          <cell r="D130" t="str">
            <v>Dong Ding</v>
          </cell>
          <cell r="E130" t="str">
            <v>Frozen peak 冻顶</v>
          </cell>
          <cell r="F130" t="str">
            <v>Organic Original Wu Long Tea</v>
          </cell>
          <cell r="G130" t="str">
            <v>Ingredient: wu long tea*. *From organic farming.</v>
          </cell>
          <cell r="H130" t="str">
            <v>/</v>
          </cell>
          <cell r="I130" t="str">
            <v>/</v>
          </cell>
          <cell r="J130" t="str">
            <v>Loose leaf tea</v>
          </cell>
          <cell r="K130" t="str">
            <v>/</v>
          </cell>
          <cell r="L130"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131">
          <cell r="A131" t="str">
            <v>TO4186</v>
          </cell>
          <cell r="B131" t="str">
            <v>Dong Ding</v>
          </cell>
          <cell r="C131" t="str">
            <v>Brumes glacées des sommets 冻顶</v>
          </cell>
          <cell r="D131" t="str">
            <v>Dong Ding</v>
          </cell>
          <cell r="E131" t="str">
            <v>Frozen peak 冻顶</v>
          </cell>
          <cell r="F131" t="str">
            <v>Organic Original Wu Long Tea</v>
          </cell>
          <cell r="G131" t="str">
            <v>Ingredient: wu long tea*. *From organic farming.</v>
          </cell>
          <cell r="H131" t="str">
            <v>/</v>
          </cell>
          <cell r="I131" t="str">
            <v>/</v>
          </cell>
          <cell r="J131" t="str">
            <v>Loose leaf tea</v>
          </cell>
          <cell r="K131" t="str">
            <v>/</v>
          </cell>
          <cell r="L131"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132">
          <cell r="A132" t="str">
            <v>TO1175</v>
          </cell>
          <cell r="B132" t="str">
            <v>Dong Ding</v>
          </cell>
          <cell r="C132" t="str">
            <v>冻顶</v>
          </cell>
          <cell r="D132" t="str">
            <v>Dong Ding</v>
          </cell>
          <cell r="E132" t="str">
            <v>冻顶</v>
          </cell>
          <cell r="F132" t="str">
            <v>Organic Original Wu Long Tea</v>
          </cell>
          <cell r="G132" t="str">
            <v>Ingredient: wu long tea*. *From organic farming.</v>
          </cell>
          <cell r="H132" t="str">
            <v>/</v>
          </cell>
          <cell r="I132" t="str">
            <v>/</v>
          </cell>
          <cell r="J132" t="str">
            <v>Loose leaf tea</v>
          </cell>
          <cell r="K132" t="str">
            <v>Several infusions</v>
          </cell>
          <cell r="L132"/>
        </row>
        <row r="133">
          <cell r="A133" t="str">
            <v>TO1176</v>
          </cell>
          <cell r="B133" t="str">
            <v>Dong Ding</v>
          </cell>
          <cell r="C133" t="str">
            <v>冻顶</v>
          </cell>
          <cell r="D133" t="str">
            <v>Dong Ding</v>
          </cell>
          <cell r="E133" t="str">
            <v>冻顶</v>
          </cell>
          <cell r="F133" t="str">
            <v>Organic Original Wu Long Tea</v>
          </cell>
          <cell r="G133" t="str">
            <v>Ingredient: wu long tea*. *From organic farming.</v>
          </cell>
          <cell r="H133" t="str">
            <v>/</v>
          </cell>
          <cell r="I133" t="str">
            <v>/</v>
          </cell>
          <cell r="J133" t="str">
            <v>Loose leaf tea</v>
          </cell>
          <cell r="K133" t="str">
            <v>Several infusions</v>
          </cell>
          <cell r="L133"/>
        </row>
        <row r="134">
          <cell r="A134" t="str">
            <v>TR2192</v>
          </cell>
          <cell r="B134" t="str">
            <v>Douce humanité</v>
          </cell>
          <cell r="C134" t="str">
            <v>Orange - Menthe douce</v>
          </cell>
          <cell r="D134" t="str">
            <v>Soft Humanity</v>
          </cell>
          <cell r="E134" t="str">
            <v>Orange - Spearmint</v>
          </cell>
          <cell r="F134" t="str">
            <v>Organic Flavoured Rooibos</v>
          </cell>
          <cell r="G134" t="str">
            <v>Ingredients: wild rooibos*, spearmint* 4%, orange peels* 3%, orange essential oil* 3%. *From organic farming.</v>
          </cell>
          <cell r="H134" t="str">
            <v>/</v>
          </cell>
          <cell r="I134" t="str">
            <v>As a certified member of the World Fair Trade Organization, Les Jardins de Gaïa is committed to fairer trade and meets the requirements of fair trade. For more information: www.wfto.com.</v>
          </cell>
          <cell r="J134" t="str">
            <v>Loose Rooibos</v>
          </cell>
          <cell r="K134" t="str">
            <v>/</v>
          </cell>
          <cell r="L134" t="str">
            <v>/</v>
          </cell>
        </row>
        <row r="135">
          <cell r="A135" t="str">
            <v>TUTR2192</v>
          </cell>
          <cell r="B135" t="str">
            <v>Douce humanité</v>
          </cell>
          <cell r="C135" t="str">
            <v>Orange - Menthe douce</v>
          </cell>
          <cell r="D135" t="str">
            <v>Soft Humanity</v>
          </cell>
          <cell r="E135" t="str">
            <v>Orange - Spearmint</v>
          </cell>
          <cell r="F135" t="str">
            <v>Organic Flavoured Rooibos</v>
          </cell>
          <cell r="G135" t="str">
            <v>Ingredients: wild rooibos*, spearmint* 4%, orange peels* 3%, orange essential oil* 3%. *From organic farming.</v>
          </cell>
          <cell r="H135" t="str">
            <v>/</v>
          </cell>
          <cell r="I135" t="str">
            <v>As a certified member of the World Fair Trade Organization, Les Jardins de Gaïa is committed to fairer trade and meets the requirements of fair trade. For more information: www.wfto.com.</v>
          </cell>
          <cell r="J135" t="str">
            <v>Loose Rooibos</v>
          </cell>
          <cell r="K135" t="str">
            <v>/</v>
          </cell>
          <cell r="L135" t="str">
            <v>/</v>
          </cell>
        </row>
        <row r="136">
          <cell r="A136" t="str">
            <v>TR2252</v>
          </cell>
          <cell r="B136" t="str">
            <v>Douceur africaine</v>
          </cell>
          <cell r="C136" t="str">
            <v>Huile essentielle de mandarine</v>
          </cell>
          <cell r="D136" t="str">
            <v>Mellow Africa</v>
          </cell>
          <cell r="E136" t="str">
            <v>Mandarin essential oil</v>
          </cell>
          <cell r="F136" t="str">
            <v>Organic Flavoured Rooibos</v>
          </cell>
          <cell r="G136" t="str">
            <v xml:space="preserve">Ingredients: rooibos*, orange peels*, mandarin essential oil* 2%. *From organic product. </v>
          </cell>
          <cell r="H136" t="str">
            <v>/</v>
          </cell>
          <cell r="I136" t="str">
            <v>As a certified member of the World Fair Trade Organization, Les Jardins de Gaïa is committed to fairer trade and meets the requirements of fair trade. For more information: www.wfto.com.</v>
          </cell>
          <cell r="J136" t="str">
            <v>Loose rooibos</v>
          </cell>
          <cell r="K136" t="str">
            <v>/</v>
          </cell>
          <cell r="L136" t="str">
            <v>/</v>
          </cell>
        </row>
        <row r="137">
          <cell r="A137" t="str">
            <v>TA6152</v>
          </cell>
          <cell r="B137" t="str">
            <v>Douceur exotique</v>
          </cell>
          <cell r="C137" t="str">
            <v>Mangue - Saveurs passion - citron</v>
          </cell>
          <cell r="D137" t="str">
            <v>Mambo Mango</v>
          </cell>
          <cell r="E137" t="str">
            <v>Mango - Passion fruit - lemon flavours</v>
          </cell>
          <cell r="F137" t="str">
            <v>Organic Flavoured Green Tea</v>
          </cell>
          <cell r="G137" t="str">
            <v>Ingredients: green tea*, natural (passion fruit*, mango*) flavourings 11%, orange peels*, mango pieces* 3%, lemon essential oil* 1%. *From organic farming.</v>
          </cell>
          <cell r="H137" t="str">
            <v>/</v>
          </cell>
          <cell r="I137" t="str">
            <v>As a certified member of the World Fair Trade Organization, Les Jardins de Gaïa is committed to fairer trade and meets the requirements of fair trade. For more information: www.wfto.com.</v>
          </cell>
          <cell r="J137" t="str">
            <v>Loose leaf tea</v>
          </cell>
          <cell r="K137" t="str">
            <v>/</v>
          </cell>
          <cell r="L137"/>
        </row>
        <row r="138">
          <cell r="A138" t="str">
            <v>TUTA6152</v>
          </cell>
          <cell r="B138" t="str">
            <v>Douceur exotique</v>
          </cell>
          <cell r="C138" t="str">
            <v>Mangue - Saveurs passion - citron</v>
          </cell>
          <cell r="D138" t="str">
            <v>Mambo Mango</v>
          </cell>
          <cell r="E138" t="str">
            <v>Mango - Passion fruit - lemon flavours</v>
          </cell>
          <cell r="F138" t="str">
            <v>Organic Flavoured Green Tea</v>
          </cell>
          <cell r="G138" t="str">
            <v>Ingredients: green tea*, natural (passion fruit*, mango*) flavourings 11%, orange peels*, mango pieces* 3%, lemon essential oil* 1%. *From organic farming.</v>
          </cell>
          <cell r="H138" t="str">
            <v>/</v>
          </cell>
          <cell r="I138" t="str">
            <v>As a certified member of the World Fair Trade Organization, Les Jardins de Gaïa is committed to fairer trade and meets the requirements of fair trade. For more information: www.wfto.com.</v>
          </cell>
          <cell r="J138" t="str">
            <v>Loose leaf tea</v>
          </cell>
          <cell r="K138" t="str">
            <v>/</v>
          </cell>
          <cell r="L138"/>
        </row>
        <row r="139">
          <cell r="A139" t="str">
            <v>TR2282</v>
          </cell>
          <cell r="B139" t="str">
            <v>Doudou délice</v>
          </cell>
          <cell r="C139" t="str">
            <v>Grenade - Framboise</v>
          </cell>
          <cell r="D139" t="str">
            <v>Cuddly Delight</v>
          </cell>
          <cell r="E139" t="str">
            <v xml:space="preserve">Pomegranate - Raspberry </v>
          </cell>
          <cell r="F139" t="str">
            <v>Organic Flavoured Rooibos</v>
          </cell>
          <cell r="G139" t="str">
            <v>Ingredients: rooibos*, natural (pomegranate* 6%, raspberry* 4%) flavourings, coconut flakes*, pomegranate peels* 2%, raspberry pieces 1%. *From organic farming.</v>
          </cell>
          <cell r="H139" t="str">
            <v>/</v>
          </cell>
          <cell r="I139" t="str">
            <v>As a certified member of the World Fair Trade Organization, Les Jardins de Gaïa is committed to fairer trade and meets the requirements of fair trade. For more information: www.wfto.com.</v>
          </cell>
          <cell r="J139" t="str">
            <v>Loose rooibos</v>
          </cell>
          <cell r="K139" t="str">
            <v>/</v>
          </cell>
          <cell r="L139" t="str">
            <v>/</v>
          </cell>
        </row>
        <row r="140">
          <cell r="A140" t="str">
            <v>TO1195</v>
          </cell>
          <cell r="B140" t="str">
            <v>Dragon Soul Wu Long</v>
          </cell>
          <cell r="C140" t="str">
            <v>/</v>
          </cell>
          <cell r="D140" t="str">
            <v>Dragon Soul Wu Long</v>
          </cell>
          <cell r="E140" t="str">
            <v>/</v>
          </cell>
          <cell r="F140" t="str">
            <v>Organic Original Wu Long Tea</v>
          </cell>
          <cell r="G140" t="str">
            <v>Ingredient: wu long tea*. *From organic farming.</v>
          </cell>
          <cell r="H140" t="str">
            <v>/</v>
          </cell>
          <cell r="I140" t="str">
            <v>/</v>
          </cell>
          <cell r="J140" t="str">
            <v>Loose leaf tea</v>
          </cell>
          <cell r="K140" t="str">
            <v>Several infusions</v>
          </cell>
          <cell r="L140"/>
        </row>
        <row r="141">
          <cell r="A141" t="str">
            <v>TO1192</v>
          </cell>
          <cell r="B141" t="str">
            <v>Dragon Soul Wu Long</v>
          </cell>
          <cell r="C141" t="str">
            <v>/</v>
          </cell>
          <cell r="D141" t="str">
            <v>Dragon Soul Wu Long</v>
          </cell>
          <cell r="E141" t="str">
            <v>/</v>
          </cell>
          <cell r="F141" t="str">
            <v>Organic Original Wu Long Tea</v>
          </cell>
          <cell r="G141" t="str">
            <v>Ingredient: wu long tea*. *From organic farming.</v>
          </cell>
          <cell r="H141" t="str">
            <v>/</v>
          </cell>
          <cell r="I141" t="str">
            <v>/</v>
          </cell>
          <cell r="J141" t="str">
            <v>Loose leaf tea</v>
          </cell>
          <cell r="K141" t="str">
            <v>Several infusions</v>
          </cell>
          <cell r="L141"/>
        </row>
        <row r="142">
          <cell r="A142" t="str">
            <v>TO1192R</v>
          </cell>
          <cell r="B142" t="str">
            <v>Dragon Soul Wu Long</v>
          </cell>
          <cell r="C142" t="str">
            <v>/</v>
          </cell>
          <cell r="D142" t="str">
            <v>Dragon Soul Wu Long</v>
          </cell>
          <cell r="E142" t="str">
            <v>/</v>
          </cell>
          <cell r="F142" t="str">
            <v>Organic Original Wu Long Tea</v>
          </cell>
          <cell r="G142" t="str">
            <v>Ingredient: wu long tea*. *From organic farming.</v>
          </cell>
          <cell r="H142" t="str">
            <v>/</v>
          </cell>
          <cell r="I142" t="str">
            <v>/</v>
          </cell>
          <cell r="J142" t="str">
            <v>Loose leaf tea</v>
          </cell>
          <cell r="K142" t="str">
            <v>Several infusions</v>
          </cell>
          <cell r="L142"/>
        </row>
        <row r="143">
          <cell r="A143" t="str">
            <v>TB7185</v>
          </cell>
          <cell r="B143" t="str">
            <v>Dragon's Tail</v>
          </cell>
          <cell r="C143" t="str">
            <v>Bourgeons de Camellia taliensis</v>
          </cell>
          <cell r="D143" t="str">
            <v>Dragon's Tail</v>
          </cell>
          <cell r="E143" t="str">
            <v>Camellia taliensis buds</v>
          </cell>
          <cell r="F143" t="str">
            <v>Organic Original White Tea</v>
          </cell>
          <cell r="G143" t="str">
            <v xml:space="preserve">Ingredient: white tea*. *From organic farming. </v>
          </cell>
          <cell r="H143" t="str">
            <v>/</v>
          </cell>
          <cell r="I143" t="str">
            <v>As a certified member of the World Fair Trade Organization, Les Jardins de Gaïa is committed to fairer trade and meets the requirements of fair trade. For more information: www.wfto.com.</v>
          </cell>
          <cell r="J143" t="str">
            <v>Camellia taliensis buds</v>
          </cell>
          <cell r="K143" t="str">
            <v>Several infusions</v>
          </cell>
          <cell r="L143"/>
        </row>
        <row r="144">
          <cell r="A144" t="str">
            <v>TB7182</v>
          </cell>
          <cell r="B144" t="str">
            <v>Dragon's Tail</v>
          </cell>
          <cell r="C144" t="str">
            <v>Bourgeons de Camellia taliensis</v>
          </cell>
          <cell r="D144" t="str">
            <v>Dragon's Tail</v>
          </cell>
          <cell r="E144" t="str">
            <v>Camellia taliensis buds</v>
          </cell>
          <cell r="F144" t="str">
            <v>Organic Original White Tea</v>
          </cell>
          <cell r="G144" t="str">
            <v xml:space="preserve">Ingredient: white tea*. *From organic farming. </v>
          </cell>
          <cell r="H144" t="str">
            <v>/</v>
          </cell>
          <cell r="I144" t="str">
            <v>As a certified member of the World Fair Trade Organization, Les Jardins de Gaïa is committed to fairer trade and meets the requirements of fair trade. For more information: www.wfto.com.</v>
          </cell>
          <cell r="J144" t="str">
            <v>Camellia taliensis buds</v>
          </cell>
          <cell r="K144" t="str">
            <v>Several infusions</v>
          </cell>
          <cell r="L144"/>
        </row>
        <row r="145">
          <cell r="A145" t="str">
            <v>TB7182R</v>
          </cell>
          <cell r="B145" t="str">
            <v>Dragon's Tail</v>
          </cell>
          <cell r="C145" t="str">
            <v>Bourgeons de Camellia taliensis</v>
          </cell>
          <cell r="D145" t="str">
            <v>Dragon's Tail</v>
          </cell>
          <cell r="E145" t="str">
            <v>Camellia taliensis buds</v>
          </cell>
          <cell r="F145" t="str">
            <v>Organic Original White Tea</v>
          </cell>
          <cell r="G145" t="str">
            <v xml:space="preserve">Ingredient: white tea*. *From organic farming. </v>
          </cell>
          <cell r="H145" t="str">
            <v>/</v>
          </cell>
          <cell r="I145" t="str">
            <v>As a certified member of the World Fair Trade Organization, Les Jardins de Gaïa is committed to fairer trade and meets the requirements of fair trade. For more information: www.wfto.com.</v>
          </cell>
          <cell r="J145" t="str">
            <v>Camellia taliensis buds</v>
          </cell>
          <cell r="K145" t="str">
            <v>Several infusions</v>
          </cell>
          <cell r="L145"/>
        </row>
        <row r="146">
          <cell r="A146" t="str">
            <v>TA4022</v>
          </cell>
          <cell r="B146" t="str">
            <v>Earl blue diamond</v>
          </cell>
          <cell r="C146" t="str">
            <v>Huile essentielle de bergamote - Jasmin</v>
          </cell>
          <cell r="D146" t="str">
            <v>Earl blue diamond</v>
          </cell>
          <cell r="E146" t="str">
            <v>Bergamot essential oil - Jasmine</v>
          </cell>
          <cell r="F146" t="str">
            <v>Organic Flavoured Black Tea</v>
          </cell>
          <cell r="G146" t="str">
            <v xml:space="preserve">Ingredients: black tea*, jasmine green tea*, cornflower petals*,  bergamot essential oil* 2%. *From organic farming. </v>
          </cell>
          <cell r="H146" t="str">
            <v>/</v>
          </cell>
          <cell r="I146" t="str">
            <v>As a certified member of the World Fair Trade Organization, Les Jardins de Gaïa is committed to fairer trade and meets the requirements of fair trade. For more information: www.wfto.com.</v>
          </cell>
          <cell r="J146" t="str">
            <v>Loose leaf tea</v>
          </cell>
          <cell r="K146" t="str">
            <v>/</v>
          </cell>
          <cell r="L146"/>
        </row>
        <row r="147">
          <cell r="A147" t="str">
            <v>TA7022</v>
          </cell>
          <cell r="B147" t="str">
            <v>Earl Grey</v>
          </cell>
          <cell r="C147" t="str">
            <v>Huile essentielle de bergamote</v>
          </cell>
          <cell r="D147" t="str">
            <v>Earl Grey</v>
          </cell>
          <cell r="E147" t="str">
            <v>Bergamot essential oil</v>
          </cell>
          <cell r="F147" t="str">
            <v>Organic Flavoured Black Tea</v>
          </cell>
          <cell r="G147" t="str">
            <v xml:space="preserve">Ingredients: black tea*, bergamot essential oil* 2%. * From organic farming. </v>
          </cell>
          <cell r="H147" t="str">
            <v>/</v>
          </cell>
          <cell r="I147" t="str">
            <v>As a certified member of the World Fair Trade Organization, Les Jardins de Gaïa is committed to fairer trade and meets the requirements of fair trade. For more information: www.wfto.com.</v>
          </cell>
          <cell r="J147" t="str">
            <v>Loose leaf tea</v>
          </cell>
          <cell r="K147" t="str">
            <v>/</v>
          </cell>
          <cell r="L147"/>
        </row>
        <row r="148">
          <cell r="A148" t="str">
            <v>TA6812</v>
          </cell>
          <cell r="B148" t="str">
            <v>Earl Grey vert</v>
          </cell>
          <cell r="C148" t="str">
            <v>Huile essentielle de bergamote</v>
          </cell>
          <cell r="D148" t="str">
            <v>Earl Green</v>
          </cell>
          <cell r="E148" t="str">
            <v>Bergamot essential oil</v>
          </cell>
          <cell r="F148" t="str">
            <v>Organic Flavoured Green Tea</v>
          </cell>
          <cell r="G148" t="str">
            <v xml:space="preserve">Ingredients: green tea*, orange peels*, bergamot essential oil* 2%. *From organic farming. </v>
          </cell>
          <cell r="H148" t="str">
            <v>/</v>
          </cell>
          <cell r="I148" t="str">
            <v>As a certified member of the World Fair Trade Organization, Les Jardins de Gaïa is committed to fairer trade and meets the requirements of fair trade. For more information: www.wfto.com.</v>
          </cell>
          <cell r="J148" t="str">
            <v>Loose leaf tea</v>
          </cell>
          <cell r="K148" t="str">
            <v>/</v>
          </cell>
          <cell r="L148"/>
        </row>
        <row r="149">
          <cell r="A149" t="str">
            <v>TUTA6812</v>
          </cell>
          <cell r="B149" t="str">
            <v>Earl Grey vert</v>
          </cell>
          <cell r="C149" t="str">
            <v>Huile essentielle de bergamote</v>
          </cell>
          <cell r="D149" t="str">
            <v>Earl Green</v>
          </cell>
          <cell r="E149" t="str">
            <v>Bergamot essential oil</v>
          </cell>
          <cell r="F149" t="str">
            <v>Organic Flavoured Green Tea</v>
          </cell>
          <cell r="G149" t="str">
            <v xml:space="preserve">Ingredients: green tea*, orange peels*, bergamot essential oil* 2%. *From organic farming. </v>
          </cell>
          <cell r="H149" t="str">
            <v>/</v>
          </cell>
          <cell r="I149" t="str">
            <v>As a certified member of the World Fair Trade Organization, Les Jardins de Gaïa is committed to fairer trade and meets the requirements of fair trade. For more information: www.wfto.com.</v>
          </cell>
          <cell r="J149" t="str">
            <v>Loose leaf tea</v>
          </cell>
          <cell r="K149" t="str">
            <v>/</v>
          </cell>
          <cell r="L149"/>
        </row>
        <row r="150">
          <cell r="A150" t="str">
            <v>IF305</v>
          </cell>
          <cell r="B150" t="str">
            <v>Easy Ice Tea</v>
          </cell>
          <cell r="C150" t="str">
            <v>Thé vert de pénombre</v>
          </cell>
          <cell r="D150" t="str">
            <v>Easy Ice Tea</v>
          </cell>
          <cell r="E150" t="str">
            <v>Half-shaded green tea</v>
          </cell>
          <cell r="F150" t="str">
            <v>Organic Original Green Tea</v>
          </cell>
          <cell r="G150" t="str">
            <v>Ingredient: green tea*. *From organic farming.</v>
          </cell>
          <cell r="H150" t="str">
            <v>/</v>
          </cell>
          <cell r="I150" t="str">
            <v>/</v>
          </cell>
          <cell r="J150" t="str">
            <v>Teabags</v>
          </cell>
          <cell r="K150" t="str">
            <v>/</v>
          </cell>
          <cell r="L150"/>
        </row>
        <row r="151">
          <cell r="A151" t="str">
            <v>TF1512</v>
          </cell>
          <cell r="B151" t="str">
            <v>Écorces d’églantine</v>
          </cell>
          <cell r="C151" t="str">
            <v>Allégation santé, cf texte commercial</v>
          </cell>
          <cell r="D151" t="str">
            <v>Wild rose</v>
          </cell>
          <cell r="E151" t="str">
            <v>Allégation santé, cf texte commercial</v>
          </cell>
          <cell r="F151" t="str">
            <v>Organic Original Fruit Tea</v>
          </cell>
          <cell r="G151" t="str">
            <v>Ingredient: wild rose barks*. *From organic farming.</v>
          </cell>
          <cell r="H151" t="str">
            <v>/</v>
          </cell>
          <cell r="I151" t="str">
            <v>/</v>
          </cell>
          <cell r="J151" t="str">
            <v>Loose infusion</v>
          </cell>
          <cell r="K151" t="str">
            <v>/</v>
          </cell>
          <cell r="L151" t="str">
            <v>/</v>
          </cell>
        </row>
        <row r="152">
          <cell r="A152" t="str">
            <v>TL0086</v>
          </cell>
          <cell r="B152" t="str">
            <v>Écorces de cacao</v>
          </cell>
          <cell r="C152" t="str">
            <v>/</v>
          </cell>
          <cell r="D152" t="str">
            <v>Cocoa Barks</v>
          </cell>
          <cell r="E152" t="str">
            <v>/</v>
          </cell>
          <cell r="F152" t="str">
            <v>Organic Original Infusion</v>
          </cell>
          <cell r="G152" t="str">
            <v>Ingredient: roasted cocoa bean barks*. *From organic farming.</v>
          </cell>
          <cell r="H152" t="str">
            <v>/</v>
          </cell>
          <cell r="I152" t="str">
            <v>As a certified member of the World Fair Trade Organization, Les Jardins de Gaïa is committed to fairer trade and meets the requirements of fair trade. For more information: www.wfto.com.</v>
          </cell>
          <cell r="J152" t="str">
            <v>Loose infusion</v>
          </cell>
          <cell r="K152" t="str">
            <v>/</v>
          </cell>
          <cell r="L152" t="str">
            <v>/</v>
          </cell>
        </row>
        <row r="153">
          <cell r="A153" t="str">
            <v>TR2022</v>
          </cell>
          <cell r="B153" t="str">
            <v>Élixir des petits lutins</v>
          </cell>
          <cell r="C153" t="str">
            <v>Saveurs fraise - vanille</v>
          </cell>
          <cell r="D153" t="str">
            <v>With the Fairies</v>
          </cell>
          <cell r="E153" t="str">
            <v>Strawberry - vanilla flavours</v>
          </cell>
          <cell r="F153" t="str">
            <v>Organic Flavoured Rooibos</v>
          </cell>
          <cell r="G153" t="str">
            <v xml:space="preserve">Ingredients: rooibos*, vanilla extract* 3%, natural strawberry flavouring* 3%, cornflower petals*. *From organic farming. </v>
          </cell>
          <cell r="H153" t="str">
            <v>/</v>
          </cell>
          <cell r="I153" t="str">
            <v>As a certified member of the World Fair Trade Organization, Les Jardins de Gaïa is committed to fairer trade and meets the requirements of fair trade. For more information: www.wfto.com.</v>
          </cell>
          <cell r="J153" t="str">
            <v>Loose rooibos</v>
          </cell>
          <cell r="K153" t="str">
            <v>/</v>
          </cell>
          <cell r="L153" t="str">
            <v>/</v>
          </cell>
        </row>
        <row r="154">
          <cell r="A154" t="str">
            <v>TUTR2022</v>
          </cell>
          <cell r="B154" t="str">
            <v>Élixir des petits lutins</v>
          </cell>
          <cell r="C154" t="str">
            <v>Saveurs fraise - vanille</v>
          </cell>
          <cell r="D154" t="str">
            <v>With the Fairies</v>
          </cell>
          <cell r="E154" t="str">
            <v>Strawberry - vanilla flavours</v>
          </cell>
          <cell r="F154" t="str">
            <v>Organic Flavoured Rooibos</v>
          </cell>
          <cell r="G154" t="str">
            <v xml:space="preserve">Ingredients: rooibos*, vanilla extract* 3%, natural strawberry flavouring* 3%, cornflower petals*. *From organic farming. </v>
          </cell>
          <cell r="H154" t="str">
            <v>/</v>
          </cell>
          <cell r="I154" t="str">
            <v>As a certified member of the World Fair Trade Organization, Les Jardins de Gaïa is committed to fairer trade and meets the requirements of fair trade. For more information: www.wfto.com.</v>
          </cell>
          <cell r="J154" t="str">
            <v>Loose rooibos</v>
          </cell>
          <cell r="K154" t="str">
            <v>/</v>
          </cell>
          <cell r="L154" t="str">
            <v>/</v>
          </cell>
        </row>
        <row r="155">
          <cell r="A155" t="str">
            <v>TM7832</v>
          </cell>
          <cell r="B155" t="str">
            <v>English Breakfast</v>
          </cell>
          <cell r="C155" t="str">
            <v>/</v>
          </cell>
          <cell r="D155" t="str">
            <v>English Breakfast</v>
          </cell>
          <cell r="E155" t="str">
            <v>/</v>
          </cell>
          <cell r="F155" t="str">
            <v>Organic Black Tea</v>
          </cell>
          <cell r="G155" t="str">
            <v>Ingredient: black tea**. **From organic and biodynamic farming. demeter is the brand for products from biodynamic agriculture.</v>
          </cell>
          <cell r="H155" t="str">
            <v>/</v>
          </cell>
          <cell r="I155" t="str">
            <v>As a certified member of the World Fair Trade Organization, Les Jardins de Gaïa is committed to fairer trade and meets the requirements of fair trade. For more information: www.wfto.com.</v>
          </cell>
          <cell r="J155" t="str">
            <v>Loose leaf tea</v>
          </cell>
          <cell r="K155" t="str">
            <v>/</v>
          </cell>
          <cell r="L155"/>
        </row>
        <row r="156">
          <cell r="A156" t="str">
            <v>TUNM7832</v>
          </cell>
          <cell r="B156" t="str">
            <v>English Breakfast</v>
          </cell>
          <cell r="C156" t="str">
            <v>/</v>
          </cell>
          <cell r="D156" t="str">
            <v>English Breakfast</v>
          </cell>
          <cell r="E156" t="str">
            <v>/</v>
          </cell>
          <cell r="F156" t="str">
            <v>Organic Black Tea</v>
          </cell>
          <cell r="G156" t="str">
            <v>Ingredient: black tea**. **From organic and biodynamic farming. demeter is the brand for products from biodynamic agriculture.</v>
          </cell>
          <cell r="H156" t="str">
            <v>/</v>
          </cell>
          <cell r="I156" t="str">
            <v>As a certified member of the World Fair Trade Organization, Les Jardins de Gaïa is committed to fairer trade and meets the requirements of fair trade. For more information: www.wfto.com.</v>
          </cell>
          <cell r="J156" t="str">
            <v>Loose leaf tea</v>
          </cell>
          <cell r="K156" t="str">
            <v>/</v>
          </cell>
          <cell r="L156"/>
        </row>
        <row r="157">
          <cell r="A157" t="str">
            <v>TA7432</v>
          </cell>
          <cell r="B157" t="str">
            <v>Entre ciel et terre</v>
          </cell>
          <cell r="C157" t="str">
            <v>Épices - Huile essentielle de bergamote</v>
          </cell>
          <cell r="D157" t="str">
            <v>Between Heaven and Earth</v>
          </cell>
          <cell r="E157" t="str">
            <v>Spices - Bergamot essential oil</v>
          </cell>
          <cell r="F157" t="str">
            <v>Organic Flavoured Black Tea</v>
          </cell>
          <cell r="G157" t="str">
            <v xml:space="preserve">Ingredients: black tea**, spices 28% (cinnamon*, ginger*, cloves*, black pepper*, cardamom*), essential oil of bergamot* 2%, marigold petals*, cornflower petals*. *From organic farming. **From organic and biodynamic farming. </v>
          </cell>
          <cell r="H157" t="str">
            <v>/</v>
          </cell>
          <cell r="I157" t="str">
            <v>As a certified member of the World Fair Trade Organization, Les Jardins de Gaïa is committed to fairer trade and meets the requirements of fair trade. For more information: www.wfto.com.</v>
          </cell>
          <cell r="J157" t="str">
            <v>Leaf Tea</v>
          </cell>
          <cell r="K157" t="str">
            <v>/</v>
          </cell>
          <cell r="L157" t="str">
            <v>/</v>
          </cell>
        </row>
        <row r="158">
          <cell r="A158" t="str">
            <v>TUTA7432</v>
          </cell>
          <cell r="B158" t="str">
            <v>Entre ciel et terre</v>
          </cell>
          <cell r="C158" t="str">
            <v>Épices - Huile essentielle de bergamote</v>
          </cell>
          <cell r="D158" t="str">
            <v>Between Heaven and Earth</v>
          </cell>
          <cell r="E158" t="str">
            <v>Spices - Bergamot essential oil</v>
          </cell>
          <cell r="F158" t="str">
            <v>Organic Flavoured Black Tea</v>
          </cell>
          <cell r="G158" t="str">
            <v xml:space="preserve">Ingredients: black tea**, spices 28% (cinnamon*, ginger*, cloves*, black pepper*, cardamom*), essential oil of bergamot* 2%, marigold petals*, cornflower petals*. *From organic farming. **From organic and biodynamic farming. </v>
          </cell>
          <cell r="H158" t="str">
            <v>/</v>
          </cell>
          <cell r="I158" t="str">
            <v>As a certified member of the World Fair Trade Organization, Les Jardins de Gaïa is committed to fairer trade and meets the requirements of fair trade. For more information: www.wfto.com.</v>
          </cell>
          <cell r="J158" t="str">
            <v>Leaf Tea</v>
          </cell>
          <cell r="K158" t="str">
            <v>/</v>
          </cell>
          <cell r="L158" t="str">
            <v>/</v>
          </cell>
        </row>
        <row r="159">
          <cell r="A159" t="str">
            <v>TM1627</v>
          </cell>
          <cell r="B159" t="str">
            <v>Épices de Noël</v>
          </cell>
          <cell r="C159" t="str">
            <v>Recette alsacienne</v>
          </cell>
          <cell r="D159" t="str">
            <v>Christmas spices</v>
          </cell>
          <cell r="E159" t="str">
            <v>Alsatian speciality</v>
          </cell>
          <cell r="F159" t="str">
            <v>Organic Spices Blend</v>
          </cell>
          <cell r="G159" t="str">
            <v>Ingredients: cinnamon*, ginger*, corian- der*, anise*, cardamom*, cloves*. *From organic farming.</v>
          </cell>
          <cell r="H159" t="str">
            <v>/</v>
          </cell>
          <cell r="I159" t="str">
            <v>/</v>
          </cell>
          <cell r="J159" t="str">
            <v>Ground Spices</v>
          </cell>
          <cell r="K159" t="str">
            <v>/</v>
          </cell>
          <cell r="L159" t="str">
            <v>/</v>
          </cell>
        </row>
        <row r="160">
          <cell r="A160" t="str">
            <v>TM1612</v>
          </cell>
          <cell r="B160" t="str">
            <v>Épices vin chaud</v>
          </cell>
          <cell r="C160" t="str">
            <v>Recette alsacienne</v>
          </cell>
          <cell r="D160" t="str">
            <v>Mulled Wine Spices</v>
          </cell>
          <cell r="E160" t="str">
            <v>Alsatian speciality</v>
          </cell>
          <cell r="F160" t="str">
            <v>Organic Spices Infusion</v>
          </cell>
          <cell r="G160" t="str">
            <v>Ingredients: rosehip*, cinnamon*, orange peels*, ginger*, cloves*, black pepper*, cardamom*. *From organic farming.</v>
          </cell>
          <cell r="H160" t="str">
            <v>/</v>
          </cell>
          <cell r="I160" t="str">
            <v>/</v>
          </cell>
          <cell r="J160" t="str">
            <v>Loose spices</v>
          </cell>
          <cell r="K160" t="str">
            <v>/</v>
          </cell>
          <cell r="L160" t="str">
            <v>Preparation advice: use a heaped tablespoon of spices per bottle of wine or fruit juice. Heat over low heat without boiling. Leave to infuse for 15 minutes, strain and sweeten. Works with flavours like star anise, lemon, orange or vanilla …</v>
          </cell>
        </row>
        <row r="161">
          <cell r="A161" t="str">
            <v>TM1612</v>
          </cell>
          <cell r="B161" t="str">
            <v>Épices vin chaud</v>
          </cell>
          <cell r="C161" t="str">
            <v>Recette alsacienne</v>
          </cell>
          <cell r="D161" t="str">
            <v>Mulled Wine Spices</v>
          </cell>
          <cell r="E161" t="str">
            <v>Alsatian speciality</v>
          </cell>
          <cell r="F161" t="str">
            <v>Organic Spices Infusion</v>
          </cell>
          <cell r="G161" t="str">
            <v>Ingredients: rosehip*, cinnamon*, orange peels*, ginger*, cloves*, black pepper*, cardamom*. *From organic farming.</v>
          </cell>
          <cell r="H161" t="str">
            <v>/</v>
          </cell>
          <cell r="I161" t="str">
            <v>/</v>
          </cell>
          <cell r="J161" t="str">
            <v>Loose spices</v>
          </cell>
          <cell r="K161" t="str">
            <v>/</v>
          </cell>
          <cell r="L161" t="str">
            <v>Preparation advice: use a heaped tablespoon of spices per bottle of wine or fruit juice. Heat over low heat without boiling. Leave to infuse for 15 minutes, strain and sweeten. Works with flavours like star anise, lemon, orange or vanilla …</v>
          </cell>
        </row>
        <row r="162">
          <cell r="A162" t="str">
            <v>TA8402</v>
          </cell>
          <cell r="B162" t="str">
            <v>Escapade orientale</v>
          </cell>
          <cell r="C162" t="str">
            <v>Grenade - Fleurs de sureau</v>
          </cell>
          <cell r="D162" t="str">
            <v>Oriental break</v>
          </cell>
          <cell r="E162" t="str">
            <v>Pomegranate - Elderflowers</v>
          </cell>
          <cell r="F162" t="str">
            <v>Organic Flavoured Green Tea</v>
          </cell>
          <cell r="G162" t="str">
            <v>Ingredients: green tea*, natural (pomegranate, elderflower*) flavourings 7%, pomegranate peels* 3%, rose petals*, elderflowers* 0.5%. *From organic farming.</v>
          </cell>
          <cell r="H162" t="str">
            <v>/</v>
          </cell>
          <cell r="I162" t="str">
            <v>As a certified member of the World Fair Trade Organization, Les Jardins de Gaïa is committed to fairer trade and meets the requirements of fair trade. For more information: www.wfto.com.</v>
          </cell>
          <cell r="J162" t="str">
            <v>Loose leaf tea</v>
          </cell>
          <cell r="K162" t="str">
            <v>/</v>
          </cell>
          <cell r="L162"/>
        </row>
        <row r="163">
          <cell r="A163" t="str">
            <v>TM6902</v>
          </cell>
          <cell r="B163" t="str">
            <v>Esprit d'hiver</v>
          </cell>
          <cell r="C163" t="str">
            <v>Épices masala - Hibiscus</v>
          </cell>
          <cell r="D163" t="str">
            <v>Spirit of Winter</v>
          </cell>
          <cell r="E163" t="str">
            <v>Masala spices - Hibiscus</v>
          </cell>
          <cell r="F163" t="str">
            <v>Organic Perfumed Green Tea</v>
          </cell>
          <cell r="G163" t="str">
            <v xml:space="preserve">Ingredients: green tea*, spices (cinnamon*, black pepper*, ginger*, cloves*, cardamom*) 36%, apple pieces*, hibiscus* 3%, elderflowers*. *From organic farming. </v>
          </cell>
          <cell r="H163" t="str">
            <v>/</v>
          </cell>
          <cell r="I163" t="str">
            <v>As a certified member of the World Fair Trade Organization, Les Jardins de Gaïa is committed to fairer trade and meets the requirements of fair trade. For more information: www.wfto.com.</v>
          </cell>
          <cell r="J163" t="str">
            <v>Loose leaf tea</v>
          </cell>
          <cell r="K163" t="str">
            <v>/</v>
          </cell>
          <cell r="L163"/>
        </row>
        <row r="164">
          <cell r="A164" t="str">
            <v>TB7195</v>
          </cell>
          <cell r="B164" t="str">
            <v>Fairy Tea</v>
          </cell>
          <cell r="C164" t="str">
            <v>Bourgeons de Shan Tuyêt</v>
          </cell>
          <cell r="D164" t="str">
            <v>Fairy Tea</v>
          </cell>
          <cell r="E164" t="str">
            <v>Shan Tuyêt buds</v>
          </cell>
          <cell r="F164" t="str">
            <v>Organic Original White Tea</v>
          </cell>
          <cell r="G164" t="str">
            <v xml:space="preserve">Ingredient: white tea*. *From organic farming. </v>
          </cell>
          <cell r="H164" t="str">
            <v>/</v>
          </cell>
          <cell r="I164" t="str">
            <v>As a certified member of the World Fair Trade Organization, Les Jardins de Gaïa is committed to fairer trade and meets the requirements of fair trade. For more information: www.wfto.com.</v>
          </cell>
          <cell r="J164" t="str">
            <v>Buds</v>
          </cell>
          <cell r="K164" t="str">
            <v>Several infusions</v>
          </cell>
          <cell r="L164"/>
        </row>
        <row r="165">
          <cell r="A165" t="str">
            <v>TB7196</v>
          </cell>
          <cell r="B165" t="str">
            <v>Fairy Tea</v>
          </cell>
          <cell r="C165" t="str">
            <v>Bourgeons de Shan Tuyêt</v>
          </cell>
          <cell r="D165" t="str">
            <v>Fairy Tea</v>
          </cell>
          <cell r="E165" t="str">
            <v>Shan Tuyêt buds</v>
          </cell>
          <cell r="F165" t="str">
            <v>Organic Original White Tea</v>
          </cell>
          <cell r="G165" t="str">
            <v xml:space="preserve">Ingredient: white tea*. *From organic farming. </v>
          </cell>
          <cell r="H165" t="str">
            <v>/</v>
          </cell>
          <cell r="I165" t="str">
            <v>As a certified member of the World Fair Trade Organization, Les Jardins de Gaïa is committed to fairer trade and meets the requirements of fair trade. For more information: www.wfto.com.</v>
          </cell>
          <cell r="J165" t="str">
            <v>Buds</v>
          </cell>
          <cell r="K165" t="str">
            <v>Several infusions</v>
          </cell>
          <cell r="L165"/>
        </row>
        <row r="166">
          <cell r="A166" t="str">
            <v>TB7196R</v>
          </cell>
          <cell r="B166" t="str">
            <v>Fairy Tea</v>
          </cell>
          <cell r="C166" t="str">
            <v>Bourgeons de Shan Tuyêt</v>
          </cell>
          <cell r="D166" t="str">
            <v>Fairy Tea</v>
          </cell>
          <cell r="E166" t="str">
            <v>Shan Tuyêt buds</v>
          </cell>
          <cell r="F166" t="str">
            <v>Organic Original White Tea</v>
          </cell>
          <cell r="G166" t="str">
            <v xml:space="preserve">Ingredient: white tea*. *From organic farming. </v>
          </cell>
          <cell r="H166" t="str">
            <v>/</v>
          </cell>
          <cell r="I166" t="str">
            <v>As a certified member of the World Fair Trade Organization, Les Jardins de Gaïa is committed to fairer trade and meets the requirements of fair trade. For more information: www.wfto.com.</v>
          </cell>
          <cell r="J166" t="str">
            <v>Buds</v>
          </cell>
          <cell r="K166" t="str">
            <v>Several infusions</v>
          </cell>
          <cell r="L166"/>
        </row>
        <row r="167">
          <cell r="A167" t="str">
            <v>TF133</v>
          </cell>
          <cell r="B167" t="str">
            <v xml:space="preserve">Féérie </v>
          </cell>
          <cell r="C167" t="str">
            <v>Saveur miel - épices</v>
          </cell>
          <cell r="D167" t="str">
            <v>Enchantment</v>
          </cell>
          <cell r="E167" t="str">
            <v>Honey flavour - Spices</v>
          </cell>
          <cell r="F167" t="str">
            <v>Organic Flavoured Fruit Tea</v>
          </cell>
          <cell r="G167" t="str">
            <v>Ingredients : ginger* 22%, fruit pieces (apple*, fig*), cinnamon* 11%, green anise* 11%, flaked almonds*, hazelnut*, hazel tree leaves*, cocoa barks*, natural honey flavouring* 2%. * From organic farming.</v>
          </cell>
          <cell r="H167" t="str">
            <v>/</v>
          </cell>
          <cell r="I167" t="str">
            <v>/</v>
          </cell>
          <cell r="J167" t="str">
            <v>Loose Infusion</v>
          </cell>
          <cell r="K167"/>
          <cell r="L167"/>
        </row>
        <row r="168">
          <cell r="A168" t="str">
            <v>TF1182</v>
          </cell>
          <cell r="B168" t="str">
            <v>Feu de bois</v>
          </cell>
          <cell r="C168" t="str">
            <v>Pomme - Cannelle - Amande</v>
          </cell>
          <cell r="D168" t="str">
            <v xml:space="preserve">Log fire </v>
          </cell>
          <cell r="E168" t="str">
            <v>Apple - Cinnamon - Almond</v>
          </cell>
          <cell r="F168" t="str">
            <v>Organic Flavoured Fruit Tea</v>
          </cell>
          <cell r="G168" t="str">
            <v xml:space="preserve">Ingredients: apple pieces* 41%, cinnamon pieces* 15%, rosehip peels*, hibiscus*, natural (almond* 10%, apple* 5%) flavourings, flaked almonds* 5%, orange peels*, cinnamon extract* 2%, cloves*, orange essential oil*. *From organic farming. </v>
          </cell>
          <cell r="H168" t="str">
            <v>/</v>
          </cell>
          <cell r="I168" t="str">
            <v>/</v>
          </cell>
          <cell r="J168" t="str">
            <v>Loose infusion</v>
          </cell>
          <cell r="K168" t="str">
            <v>/</v>
          </cell>
          <cell r="L168" t="str">
            <v>/</v>
          </cell>
        </row>
        <row r="169">
          <cell r="A169" t="str">
            <v>TF1182</v>
          </cell>
          <cell r="B169" t="str">
            <v>Feu de bois</v>
          </cell>
          <cell r="C169" t="str">
            <v>Pomme - Cannelle - Amande</v>
          </cell>
          <cell r="D169" t="str">
            <v xml:space="preserve">Log fire </v>
          </cell>
          <cell r="E169" t="str">
            <v>Apple - Cinnamon - Almond</v>
          </cell>
          <cell r="F169" t="str">
            <v>Organic Flavoured Fruit Tea</v>
          </cell>
          <cell r="G169" t="str">
            <v xml:space="preserve">Ingredients: apple pieces* 41%, cinnamon pieces* 15%, rosehip peels*, hibiscus*, natural (almond* 10%, apple* 5%) flavourings, flaked almonds* 5%, orange peels*, cinnamon extract* 2%, cloves*, orange essential oil*. *From organic farming. </v>
          </cell>
          <cell r="H169" t="str">
            <v>/</v>
          </cell>
          <cell r="I169" t="str">
            <v>/</v>
          </cell>
          <cell r="J169" t="str">
            <v>Loose infusion</v>
          </cell>
          <cell r="K169" t="str">
            <v>/</v>
          </cell>
          <cell r="L169" t="str">
            <v>/</v>
          </cell>
        </row>
        <row r="170">
          <cell r="A170" t="str">
            <v>TH1481</v>
          </cell>
          <cell r="B170" t="str">
            <v>Feuilles de chanvre</v>
          </cell>
          <cell r="C170" t="str">
            <v>/</v>
          </cell>
          <cell r="D170" t="str">
            <v>Hemp Leaves</v>
          </cell>
          <cell r="E170" t="str">
            <v>/</v>
          </cell>
          <cell r="F170" t="str">
            <v>Organic Herbal Tea Infusion</v>
          </cell>
          <cell r="G170" t="str">
            <v>Ingredient: hemp leaves* (Cannabis sativa L.). *From organic farming.</v>
          </cell>
          <cell r="H170" t="str">
            <v>/</v>
          </cell>
          <cell r="I170" t="str">
            <v>/</v>
          </cell>
          <cell r="J170" t="str">
            <v>Loose Infusion</v>
          </cell>
          <cell r="K170" t="str">
            <v>/</v>
          </cell>
          <cell r="L170" t="str">
            <v>/</v>
          </cell>
        </row>
        <row r="171">
          <cell r="A171" t="str">
            <v>TH1486</v>
          </cell>
          <cell r="B171" t="str">
            <v>Feuilles de chanvre</v>
          </cell>
          <cell r="C171" t="str">
            <v>/</v>
          </cell>
          <cell r="D171" t="str">
            <v>Hemp Leaves</v>
          </cell>
          <cell r="E171" t="str">
            <v>/</v>
          </cell>
          <cell r="F171" t="str">
            <v>Organic Herbal Tea Infusion</v>
          </cell>
          <cell r="G171" t="str">
            <v>Ingredient: hemp leaves* (Cannabis sativa L.). *From organic farming.</v>
          </cell>
          <cell r="H171" t="str">
            <v>/</v>
          </cell>
          <cell r="I171" t="str">
            <v>/</v>
          </cell>
          <cell r="J171" t="str">
            <v>Loose Infusion</v>
          </cell>
          <cell r="K171" t="str">
            <v>/</v>
          </cell>
          <cell r="L171" t="str">
            <v>/</v>
          </cell>
        </row>
        <row r="172">
          <cell r="A172" t="str">
            <v>TH1021</v>
          </cell>
          <cell r="B172" t="str">
            <v>Feuilles de moringa</v>
          </cell>
          <cell r="C172" t="str">
            <v>L’arbre de la vie</v>
          </cell>
          <cell r="D172" t="str">
            <v>Moringa leaves</v>
          </cell>
          <cell r="E172" t="str">
            <v>The tree of life</v>
          </cell>
          <cell r="F172" t="str">
            <v>Organic Herbal Tea Infusion</v>
          </cell>
          <cell r="G172" t="str">
            <v>Ingredient: moringa leaves* (Moringa oleifera). *From organic farming.</v>
          </cell>
          <cell r="H172" t="str">
            <v>/</v>
          </cell>
          <cell r="I172" t="str">
            <v>/</v>
          </cell>
          <cell r="J172" t="str">
            <v>Loose Infusion</v>
          </cell>
          <cell r="K172" t="str">
            <v>/</v>
          </cell>
          <cell r="L172" t="str">
            <v>/</v>
          </cell>
        </row>
        <row r="173">
          <cell r="A173" t="str">
            <v>TH1026</v>
          </cell>
          <cell r="B173" t="str">
            <v>Feuilles de moringa</v>
          </cell>
          <cell r="C173" t="str">
            <v>L’arbre de la vie</v>
          </cell>
          <cell r="D173" t="str">
            <v>Moringa leaves</v>
          </cell>
          <cell r="E173" t="str">
            <v>The tree of life</v>
          </cell>
          <cell r="F173" t="str">
            <v>Organic Herbal Tea Infusion</v>
          </cell>
          <cell r="G173" t="str">
            <v>Ingredient: moringa leaves* (Moringa oleifera). *From organic farming.</v>
          </cell>
          <cell r="H173" t="str">
            <v>/</v>
          </cell>
          <cell r="I173" t="str">
            <v>/</v>
          </cell>
          <cell r="J173" t="str">
            <v>Loose Infusion</v>
          </cell>
          <cell r="K173" t="str">
            <v>/</v>
          </cell>
          <cell r="L173" t="str">
            <v>/</v>
          </cell>
        </row>
        <row r="174">
          <cell r="A174" t="str">
            <v>TA7192</v>
          </cell>
          <cell r="B174" t="str">
            <v>Finest Earl Grey</v>
          </cell>
          <cell r="C174" t="str">
            <v>Huile essentielle de bergamote</v>
          </cell>
          <cell r="D174" t="str">
            <v>Finest Earl Grey</v>
          </cell>
          <cell r="E174" t="str">
            <v>Bergamot essential oil</v>
          </cell>
          <cell r="F174" t="str">
            <v>Organic Flavoured Black Tea</v>
          </cell>
          <cell r="G174" t="str">
            <v xml:space="preserve">Ingredients: black tea*, bergamot essential oil* 2%. *From organic farming. </v>
          </cell>
          <cell r="H174" t="str">
            <v>/</v>
          </cell>
          <cell r="I174" t="str">
            <v>As a certified member of the World Fair Trade Organization, Les Jardins de Gaïa is committed to fairer trade and meets the requirements of fair trade. For more information: www.wfto.com.</v>
          </cell>
          <cell r="J174" t="str">
            <v>Loose leaf tea</v>
          </cell>
          <cell r="K174" t="str">
            <v>/</v>
          </cell>
          <cell r="L174"/>
        </row>
        <row r="175">
          <cell r="A175" t="str">
            <v>TUTA7192</v>
          </cell>
          <cell r="B175" t="str">
            <v>Finest Earl Grey</v>
          </cell>
          <cell r="C175" t="str">
            <v>Huile essentielle de bergamote</v>
          </cell>
          <cell r="D175" t="str">
            <v>Finest Earl Grey</v>
          </cell>
          <cell r="E175" t="str">
            <v>Bergamot essential oil</v>
          </cell>
          <cell r="F175" t="str">
            <v>Organic Flavoured Black Tea</v>
          </cell>
          <cell r="G175" t="str">
            <v xml:space="preserve">Ingredients: black tea*, bergamot essential oil* 2%. *From organic farming. </v>
          </cell>
          <cell r="H175" t="str">
            <v>/</v>
          </cell>
          <cell r="I175" t="str">
            <v>As a certified member of the World Fair Trade Organization, Les Jardins de Gaïa is committed to fairer trade and meets the requirements of fair trade. For more information: www.wfto.com.</v>
          </cell>
          <cell r="J175" t="str">
            <v>Loose leaf tea</v>
          </cell>
          <cell r="K175" t="str">
            <v>/</v>
          </cell>
          <cell r="L175"/>
        </row>
        <row r="176">
          <cell r="A176" t="str">
            <v>HB1732</v>
          </cell>
          <cell r="B176" t="str">
            <v>Fleurs de Honeybush</v>
          </cell>
          <cell r="C176" t="str">
            <v>Nature</v>
          </cell>
          <cell r="D176" t="str">
            <v>Honeybush Flowers</v>
          </cell>
          <cell r="E176" t="str">
            <v>Original</v>
          </cell>
          <cell r="F176" t="str">
            <v>Organic Original Honeybush</v>
          </cell>
          <cell r="G176" t="str">
            <v>Ingredient: honeybush flowers*. *From organic farming.</v>
          </cell>
          <cell r="H176" t="str">
            <v>/</v>
          </cell>
          <cell r="I176" t="str">
            <v>/</v>
          </cell>
          <cell r="J176" t="str">
            <v>Loose rooibos</v>
          </cell>
          <cell r="K176" t="str">
            <v>/</v>
          </cell>
          <cell r="L176" t="str">
            <v>/</v>
          </cell>
        </row>
        <row r="177">
          <cell r="A177" t="str">
            <v>TH0181</v>
          </cell>
          <cell r="B177" t="str">
            <v>Fleurs de mauve</v>
          </cell>
          <cell r="C177" t="str">
            <v>Transit &amp; Digestion</v>
          </cell>
          <cell r="D177" t="str">
            <v>Mallow flowers</v>
          </cell>
          <cell r="E177" t="str">
            <v>Transit &amp; Digestion</v>
          </cell>
          <cell r="F177" t="str">
            <v>Organic Herbal Tea Infusion</v>
          </cell>
          <cell r="G177" t="str">
            <v>Ingredient: mallow flowers* (Malva sylvestris). *From organic farming.</v>
          </cell>
          <cell r="H177" t="str">
            <v>Recommended daily consumption: one 25cl cup.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177" t="str">
            <v>/</v>
          </cell>
          <cell r="J177" t="str">
            <v>Loose Infusion</v>
          </cell>
          <cell r="K177" t="str">
            <v>/</v>
          </cell>
          <cell r="L177" t="str">
            <v>/</v>
          </cell>
        </row>
        <row r="178">
          <cell r="A178" t="str">
            <v>TH0186</v>
          </cell>
          <cell r="B178" t="str">
            <v>Fleurs de mauve</v>
          </cell>
          <cell r="C178" t="str">
            <v>Transit &amp; Digestion</v>
          </cell>
          <cell r="D178" t="str">
            <v>Mallow flowers</v>
          </cell>
          <cell r="E178" t="str">
            <v>Transit &amp; Digestion</v>
          </cell>
          <cell r="F178" t="str">
            <v>Organic Herbal Tea Infusion</v>
          </cell>
          <cell r="G178" t="str">
            <v>Ingredient: mallow flowers* (Malva sylvestris). *From organic farming.</v>
          </cell>
          <cell r="H178" t="str">
            <v>Recommended daily consumption: one 25cl cup.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178" t="str">
            <v>/</v>
          </cell>
          <cell r="J178" t="str">
            <v>Loose Infusion</v>
          </cell>
          <cell r="K178" t="str">
            <v>/</v>
          </cell>
          <cell r="L178" t="str">
            <v>/</v>
          </cell>
        </row>
        <row r="179">
          <cell r="A179" t="str">
            <v>TH0691</v>
          </cell>
          <cell r="B179" t="str">
            <v>Fleurs de sureau</v>
          </cell>
          <cell r="C179" t="str">
            <v>/</v>
          </cell>
          <cell r="D179" t="str">
            <v>Elderflowers</v>
          </cell>
          <cell r="E179" t="str">
            <v>/</v>
          </cell>
          <cell r="F179" t="str">
            <v>Organic Herbal Tea Infusion</v>
          </cell>
          <cell r="G179" t="str">
            <v>Ingredient: elderflowers* (Sambucus nigra L.). *From organic farming.</v>
          </cell>
          <cell r="H179" t="str">
            <v>/</v>
          </cell>
          <cell r="I179" t="str">
            <v>/</v>
          </cell>
          <cell r="J179" t="str">
            <v>Loose Infusion</v>
          </cell>
          <cell r="K179" t="str">
            <v>/</v>
          </cell>
          <cell r="L179" t="str">
            <v>/</v>
          </cell>
        </row>
        <row r="180">
          <cell r="A180" t="str">
            <v>TH0692</v>
          </cell>
          <cell r="B180" t="str">
            <v>Fleurs de sureau</v>
          </cell>
          <cell r="C180" t="str">
            <v>/</v>
          </cell>
          <cell r="D180" t="str">
            <v>Elderflowers</v>
          </cell>
          <cell r="E180" t="str">
            <v>/</v>
          </cell>
          <cell r="F180" t="str">
            <v>Organic Herbal Tea Infusion</v>
          </cell>
          <cell r="G180" t="str">
            <v>Ingredient: elderflowers* (Sambucus nigra L.). *From organic farming.</v>
          </cell>
          <cell r="H180" t="str">
            <v>/</v>
          </cell>
          <cell r="I180" t="str">
            <v>/</v>
          </cell>
          <cell r="J180" t="str">
            <v>Loose Infusion</v>
          </cell>
          <cell r="K180" t="str">
            <v>/</v>
          </cell>
          <cell r="L180" t="str">
            <v>/</v>
          </cell>
        </row>
        <row r="181">
          <cell r="A181" t="str">
            <v>TH2171</v>
          </cell>
          <cell r="B181" t="str">
            <v>Fleurs de tilleul</v>
          </cell>
          <cell r="C181" t="str">
            <v>Relaxante</v>
          </cell>
          <cell r="D181" t="str">
            <v>Linden Flowers</v>
          </cell>
          <cell r="E181" t="str">
            <v>Relaxing</v>
          </cell>
          <cell r="F181" t="str">
            <v>Organic Herbal Tea Infusion</v>
          </cell>
          <cell r="G181" t="str">
            <v>Ingredient: linden flowers* (Tilia platyphyllos Scop ou Tilia cordata ?). *From organic farming.</v>
          </cell>
          <cell r="H181"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181" t="str">
            <v>/</v>
          </cell>
          <cell r="J181" t="str">
            <v>Loose Infusion</v>
          </cell>
          <cell r="K181" t="str">
            <v>/</v>
          </cell>
          <cell r="L181" t="str">
            <v>/</v>
          </cell>
        </row>
        <row r="182">
          <cell r="A182" t="str">
            <v>TH217</v>
          </cell>
          <cell r="B182" t="str">
            <v>Fleurs de tilleul</v>
          </cell>
          <cell r="C182" t="str">
            <v>Relaxante</v>
          </cell>
          <cell r="D182" t="str">
            <v>Linden Flowers</v>
          </cell>
          <cell r="E182" t="str">
            <v>Relaxing</v>
          </cell>
          <cell r="F182" t="str">
            <v>Organic Herbal Tea Infusion</v>
          </cell>
          <cell r="G182" t="str">
            <v>Ingredient: linden flowers* (Tilia platyphyllos Scop ou Tilia cordata ?). *From organic farming.</v>
          </cell>
          <cell r="H182"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182" t="str">
            <v>/</v>
          </cell>
          <cell r="J182" t="str">
            <v>Loose Infusion</v>
          </cell>
          <cell r="K182" t="str">
            <v>/</v>
          </cell>
          <cell r="L182" t="str">
            <v>/</v>
          </cell>
        </row>
        <row r="183">
          <cell r="A183" t="str">
            <v>TH5151</v>
          </cell>
          <cell r="B183" t="str">
            <v>Fontaine de jouvence</v>
          </cell>
          <cell r="C183" t="str">
            <v>Bien-être
Mélisse - Mauve - Feuilles de framboisier</v>
          </cell>
          <cell r="D183" t="str">
            <v>Fountain of Youth</v>
          </cell>
          <cell r="E183" t="str">
            <v>Wellness
Lemon balm - Mallow - Raspberry leaves</v>
          </cell>
          <cell r="F183" t="str">
            <v>Organic Herbal Tea Infusion</v>
          </cell>
          <cell r="G183" t="str">
            <v>Ingredients: lemon balm* 30% (Melissa officinalis), mallow petals* 30% (Malva sylvestris), raspberry leaves* 20% (Rubus idaeus), spearmint* (Mentha spicata), linden flowers* 5% (Tiliae flos), elderflowers* (Sambucus nigra), cornflower petals* (Centaurea cyanus). *From organic farming.</v>
          </cell>
          <cell r="H183" t="str">
            <v>Recommended daily consumption: five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183" t="str">
            <v>/</v>
          </cell>
          <cell r="J183" t="str">
            <v>Loose Infusion</v>
          </cell>
          <cell r="K183" t="str">
            <v>/</v>
          </cell>
          <cell r="L183" t="str">
            <v>/</v>
          </cell>
        </row>
        <row r="184">
          <cell r="A184" t="str">
            <v>TH515</v>
          </cell>
          <cell r="B184" t="str">
            <v>Fontaine de jouvence</v>
          </cell>
          <cell r="C184" t="str">
            <v>Bien-être
Mélisse - Mauve - Feuilles de framboisier</v>
          </cell>
          <cell r="D184" t="str">
            <v>Fountain of Youth</v>
          </cell>
          <cell r="E184" t="str">
            <v>Wellness
Lemon balm - Mallow - Raspberry leaves</v>
          </cell>
          <cell r="F184" t="str">
            <v>Organic Herbal Tea Infusion</v>
          </cell>
          <cell r="G184" t="str">
            <v>Ingredients: lemon balm* 30% (Melissa officinalis), mallow petals* 30% (Malva sylvestris), raspberry leaves* 20% (Rubus idaeus), spearmint* (Mentha spicata), linden flowers* 5% (Tiliae flos), elderflowers* (Sambucus nigra), cornflower petals* (Centaurea cyanus). *From organic farming.</v>
          </cell>
          <cell r="H184" t="str">
            <v>Recommended daily consumption: five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184" t="str">
            <v>/</v>
          </cell>
          <cell r="J184" t="str">
            <v>Loose Infusion</v>
          </cell>
          <cell r="K184" t="str">
            <v>/</v>
          </cell>
          <cell r="L184" t="str">
            <v>/</v>
          </cell>
        </row>
        <row r="185">
          <cell r="A185" t="str">
            <v>TO2032</v>
          </cell>
          <cell r="B185" t="str">
            <v>Four Seasons</v>
          </cell>
          <cell r="C185" t="str">
            <v>/</v>
          </cell>
          <cell r="D185" t="str">
            <v>Four Seasons</v>
          </cell>
          <cell r="E185" t="str">
            <v>/</v>
          </cell>
          <cell r="F185" t="str">
            <v>Organic Original Wu Long Tea</v>
          </cell>
          <cell r="G185" t="str">
            <v>Ingredient: wu long tea*. *From organic farming.</v>
          </cell>
          <cell r="H185" t="str">
            <v>/</v>
          </cell>
          <cell r="I185" t="str">
            <v>/</v>
          </cell>
          <cell r="J185" t="str">
            <v>Loose leaf tea</v>
          </cell>
          <cell r="K185" t="str">
            <v>/</v>
          </cell>
          <cell r="L185"/>
        </row>
        <row r="186">
          <cell r="A186" t="str">
            <v>TR2182</v>
          </cell>
          <cell r="B186" t="str">
            <v>Fraîcheur africaine</v>
          </cell>
          <cell r="C186" t="str">
            <v>Menthe douce</v>
          </cell>
          <cell r="D186" t="str">
            <v>African freshness</v>
          </cell>
          <cell r="E186" t="str">
            <v>Spearmint</v>
          </cell>
          <cell r="F186" t="str">
            <v>Organic Perfumed Rooibos</v>
          </cell>
          <cell r="G186" t="str">
            <v xml:space="preserve">Ingredients: rooibos*, spearmint* 13%. *From organic farming. </v>
          </cell>
          <cell r="H186" t="str">
            <v>/</v>
          </cell>
          <cell r="I186" t="str">
            <v>As a certified member of the World Fair Trade Organization, Les Jardins de Gaïa is committed to fairer trade and meets the requirements of fair trade. For more information: www.wfto.com.</v>
          </cell>
          <cell r="J186" t="str">
            <v>Loose rooibos</v>
          </cell>
          <cell r="K186" t="str">
            <v>/</v>
          </cell>
          <cell r="L186" t="str">
            <v>/</v>
          </cell>
        </row>
        <row r="187">
          <cell r="A187" t="str">
            <v>TN2305</v>
          </cell>
          <cell r="B187" t="str">
            <v>Frost Tea</v>
          </cell>
          <cell r="C187" t="str">
            <v>SFTGFOP1 FF - Les montagnes bleues</v>
          </cell>
          <cell r="D187" t="str">
            <v>Frost Tea</v>
          </cell>
          <cell r="E187" t="str">
            <v>SFTGFOP1 FF - The blue mountains</v>
          </cell>
          <cell r="F187" t="str">
            <v>Single Estate Organic Black Tea</v>
          </cell>
          <cell r="G187" t="str">
            <v>Ingredient: black tea*. *From organic farming.</v>
          </cell>
          <cell r="H187" t="str">
            <v>/</v>
          </cell>
          <cell r="I187" t="str">
            <v>/</v>
          </cell>
          <cell r="J187" t="str">
            <v>Loose leaf tea</v>
          </cell>
          <cell r="K187" t="str">
            <v>/</v>
          </cell>
          <cell r="L187" t="str">
            <v>/</v>
          </cell>
        </row>
        <row r="188">
          <cell r="A188" t="str">
            <v>TN2302</v>
          </cell>
          <cell r="B188" t="str">
            <v>Frost Tea</v>
          </cell>
          <cell r="C188" t="str">
            <v>SFTGFOP1 FF - Les montagnes bleues</v>
          </cell>
          <cell r="D188" t="str">
            <v>Frost Tea</v>
          </cell>
          <cell r="E188" t="str">
            <v>SFTGFOP1 FF - The blue mountains</v>
          </cell>
          <cell r="F188" t="str">
            <v>Single Estate Organic Black Tea</v>
          </cell>
          <cell r="G188" t="str">
            <v>Ingredient: black tea*. *From organic farming.</v>
          </cell>
          <cell r="H188" t="str">
            <v>/</v>
          </cell>
          <cell r="I188" t="str">
            <v>/</v>
          </cell>
          <cell r="J188" t="str">
            <v>Loose leaf tea</v>
          </cell>
          <cell r="K188" t="str">
            <v>/</v>
          </cell>
          <cell r="L188" t="str">
            <v>/</v>
          </cell>
        </row>
        <row r="189">
          <cell r="A189" t="str">
            <v>TN2302R</v>
          </cell>
          <cell r="B189" t="str">
            <v>Frost Tea</v>
          </cell>
          <cell r="C189" t="str">
            <v>SFTGFOP1 FF - Les montagnes bleues</v>
          </cell>
          <cell r="D189" t="str">
            <v>Frost Tea</v>
          </cell>
          <cell r="E189" t="str">
            <v>SFTGFOP1 FF - The blue mountains</v>
          </cell>
          <cell r="F189" t="str">
            <v>Single Estate Organic Black Tea</v>
          </cell>
          <cell r="G189" t="str">
            <v>Ingredient: black tea*. *From organic farming.</v>
          </cell>
          <cell r="H189" t="str">
            <v>/</v>
          </cell>
          <cell r="I189" t="str">
            <v>/</v>
          </cell>
          <cell r="J189" t="str">
            <v>Loose leaf tea</v>
          </cell>
          <cell r="K189" t="str">
            <v>/</v>
          </cell>
          <cell r="L189" t="str">
            <v>/</v>
          </cell>
        </row>
        <row r="190">
          <cell r="A190" t="str">
            <v>TA6202</v>
          </cell>
          <cell r="B190" t="str">
            <v>Fruits de sagesse</v>
          </cell>
          <cell r="C190" t="str">
            <v>Fleurs de sureau - Framboise</v>
          </cell>
          <cell r="D190" t="str">
            <v>Fruit of Wisdom</v>
          </cell>
          <cell r="E190" t="str">
            <v>Elderflowers - Raspberry</v>
          </cell>
          <cell r="F190" t="str">
            <v>Organic Flavoured Green Tea</v>
          </cell>
          <cell r="G190" t="str">
            <v>Ingredients: green tea*, elderflowers* 33%, natural raspberry flavouring* 9%, raspberry pieces* 7%, moringa leaves*. *From organic farming.</v>
          </cell>
          <cell r="H190" t="str">
            <v>/</v>
          </cell>
          <cell r="I190" t="str">
            <v>As a certified member of the World Fair Trade Organization, Les Jardins de Gaïa is committed to fairer trade and meets the requirements of fair trade. For more information: www.wfto.com.</v>
          </cell>
          <cell r="J190" t="str">
            <v>Loose leaf tea</v>
          </cell>
          <cell r="K190" t="str">
            <v>/</v>
          </cell>
          <cell r="L190"/>
        </row>
        <row r="191">
          <cell r="A191" t="str">
            <v>TA6942</v>
          </cell>
          <cell r="B191" t="str">
            <v>Fruits défendus</v>
          </cell>
          <cell r="C191" t="str">
            <v>Pomme - Saveur poire</v>
          </cell>
          <cell r="D191" t="str">
            <v>Forbidden fruit</v>
          </cell>
          <cell r="E191" t="str">
            <v>Apple - Pear flavour</v>
          </cell>
          <cell r="F191" t="str">
            <v>Organic Flavoured Green Tea</v>
          </cell>
          <cell r="G191" t="str">
            <v>Ingredients: green tea*, natural (apple*, pear*) flavourings 4%, apple pieces* 2%, rose petals*. *From organic farming.</v>
          </cell>
          <cell r="H191" t="str">
            <v>/</v>
          </cell>
          <cell r="I191" t="str">
            <v>As a certified member of the World Fair Trade Organization, Les Jardins de Gaïa is committed to fairer trade and meets the requirements of fair trade. For more information: www.wfto.com.</v>
          </cell>
          <cell r="J191" t="str">
            <v>Loose leaf tea</v>
          </cell>
          <cell r="K191" t="str">
            <v>/</v>
          </cell>
          <cell r="L191"/>
        </row>
        <row r="192">
          <cell r="A192" t="str">
            <v>TN2255</v>
          </cell>
          <cell r="B192" t="str">
            <v>Full Moon Spirit</v>
          </cell>
          <cell r="C192" t="str">
            <v>jardin de Selimbong 
cultivar selimbong PS 312</v>
          </cell>
          <cell r="D192" t="str">
            <v>Full Moon Spirit</v>
          </cell>
          <cell r="E192" t="str">
            <v>Selimbong garden 
cultivar selimbong PS 312</v>
          </cell>
          <cell r="F192" t="str">
            <v>Single Estate First Flush Organic Black Tea</v>
          </cell>
          <cell r="G192" t="str">
            <v xml:space="preserve">Ingredient: black tea**. **From organic and biodynamic farming. demeter is the brand for products from biodynamic agriculture.   </v>
          </cell>
          <cell r="H192" t="str">
            <v>/</v>
          </cell>
          <cell r="I192" t="str">
            <v>As a certified member of the World Fair Trade Organization, Les Jardins de Gaïa is committed to fairer trade and meets the requirements of fair trade. For more information: www.wfto.com.</v>
          </cell>
          <cell r="J192" t="str">
            <v>Loose leaf tea</v>
          </cell>
          <cell r="K192" t="str">
            <v>/</v>
          </cell>
          <cell r="L192" t="str">
            <v>/</v>
          </cell>
        </row>
        <row r="193">
          <cell r="A193" t="str">
            <v>TN2256</v>
          </cell>
          <cell r="B193" t="str">
            <v>Full Moon Spirit</v>
          </cell>
          <cell r="C193" t="str">
            <v>jardin de Selimbong 
cultivar selimbong PS 312</v>
          </cell>
          <cell r="D193" t="str">
            <v>Full Moon Spirit</v>
          </cell>
          <cell r="E193" t="str">
            <v>Selimbong garden 
cultivar selimbong PS 312</v>
          </cell>
          <cell r="F193" t="str">
            <v>Single Estate First Flush Organic Black Tea</v>
          </cell>
          <cell r="G193" t="str">
            <v xml:space="preserve">Ingredient: black tea**. **From organic and biodynamic farming. demeter is the brand for products from biodynamic agriculture.   </v>
          </cell>
          <cell r="H193" t="str">
            <v>/</v>
          </cell>
          <cell r="I193" t="str">
            <v>As a certified member of the World Fair Trade Organization, Les Jardins de Gaïa is committed to fairer trade and meets the requirements of fair trade. For more information: www.wfto.com.</v>
          </cell>
          <cell r="J193" t="str">
            <v>Loose leaf tea</v>
          </cell>
          <cell r="K193" t="str">
            <v>/</v>
          </cell>
          <cell r="L193" t="str">
            <v>/</v>
          </cell>
        </row>
        <row r="194">
          <cell r="A194" t="str">
            <v>TN2256R</v>
          </cell>
          <cell r="B194" t="str">
            <v>Full Moon Spirit</v>
          </cell>
          <cell r="C194" t="str">
            <v>jardin de Selimbong 
cultivar selimbong PS 312</v>
          </cell>
          <cell r="D194" t="str">
            <v>Full Moon Spirit</v>
          </cell>
          <cell r="E194" t="str">
            <v>Selimbong garden 
cultivar selimbong PS 312</v>
          </cell>
          <cell r="F194" t="str">
            <v>Single Estate First Flush Organic Black Tea</v>
          </cell>
          <cell r="G194" t="str">
            <v xml:space="preserve">Ingredient: black tea**. **From organic and biodynamic farming. demeter is the brand for products from biodynamic agriculture.   </v>
          </cell>
          <cell r="H194" t="str">
            <v>/</v>
          </cell>
          <cell r="I194" t="str">
            <v>As a certified member of the World Fair Trade Organization, Les Jardins de Gaïa is committed to fairer trade and meets the requirements of fair trade. For more information: www.wfto.com.</v>
          </cell>
          <cell r="J194" t="str">
            <v>Loose leaf tea</v>
          </cell>
          <cell r="K194" t="str">
            <v>/</v>
          </cell>
          <cell r="L194" t="str">
            <v>/</v>
          </cell>
        </row>
        <row r="195">
          <cell r="A195" t="str">
            <v>TUTB3106</v>
          </cell>
          <cell r="B195" t="str">
            <v>Gaba Thé Blanc "Main de Bouddha"</v>
          </cell>
          <cell r="C195" t="str">
            <v>jardin Shi Men (porte de pierre)</v>
          </cell>
          <cell r="D195" t="str">
            <v xml:space="preserve">Gaba White tea “Main de Bouddha” </v>
          </cell>
          <cell r="E195"/>
          <cell r="F195" t="str">
            <v>Organic Original White Tea</v>
          </cell>
          <cell r="G195" t="str">
            <v>Ingredient: white tea.
Guaranteed free of pesticide residues.</v>
          </cell>
          <cell r="H195" t="str">
            <v>/</v>
          </cell>
          <cell r="I195" t="str">
            <v>/</v>
          </cell>
          <cell r="J195" t="str">
            <v>Loose leaf tea</v>
          </cell>
          <cell r="K195" t="str">
            <v>Several infusions</v>
          </cell>
          <cell r="L195"/>
        </row>
        <row r="196">
          <cell r="A196" t="str">
            <v>TO1245</v>
          </cell>
          <cell r="B196" t="str">
            <v>Gaba Wu Long</v>
          </cell>
          <cell r="C196" t="str">
            <v>/</v>
          </cell>
          <cell r="D196" t="str">
            <v>Gaba Wu Long</v>
          </cell>
          <cell r="E196" t="str">
            <v>/</v>
          </cell>
          <cell r="F196" t="str">
            <v>Organic Original Wu Long Tea</v>
          </cell>
          <cell r="G196" t="str">
            <v>Ingredient: wu long tea*. *From organic farming.</v>
          </cell>
          <cell r="H196" t="str">
            <v>/</v>
          </cell>
          <cell r="I196" t="str">
            <v>/</v>
          </cell>
          <cell r="J196" t="str">
            <v>Loose leaf tea</v>
          </cell>
          <cell r="K196" t="str">
            <v>Several infusions</v>
          </cell>
          <cell r="L196"/>
        </row>
        <row r="197">
          <cell r="A197" t="str">
            <v>TO1246</v>
          </cell>
          <cell r="B197" t="str">
            <v>Gaba Wu Long</v>
          </cell>
          <cell r="C197" t="str">
            <v>/</v>
          </cell>
          <cell r="D197" t="str">
            <v>Gaba Wu Long</v>
          </cell>
          <cell r="E197" t="str">
            <v>/</v>
          </cell>
          <cell r="F197" t="str">
            <v>Organic Original Wu Long Tea</v>
          </cell>
          <cell r="G197" t="str">
            <v>Ingredient: wu long tea*. *From organic farming.</v>
          </cell>
          <cell r="H197" t="str">
            <v>/</v>
          </cell>
          <cell r="I197" t="str">
            <v>/</v>
          </cell>
          <cell r="J197" t="str">
            <v>Loose leaf tea</v>
          </cell>
          <cell r="K197" t="str">
            <v>Several infusions</v>
          </cell>
          <cell r="L197"/>
        </row>
        <row r="198">
          <cell r="A198" t="str">
            <v>TUTO1316</v>
          </cell>
          <cell r="B198" t="str">
            <v>Gaba Wu Long Supérieur</v>
          </cell>
          <cell r="C198" t="str">
            <v>原鄉自然復育茶園 - «Jardin de thé de restauration écologique originelle»</v>
          </cell>
          <cell r="D198" t="str">
            <v>Gaba Wu Long Supérieur</v>
          </cell>
          <cell r="E198"/>
          <cell r="F198" t="str">
            <v>Organic Original Wu Long Tea</v>
          </cell>
          <cell r="G198" t="str">
            <v>Ingredient: wu long tea*. *From organic farming.</v>
          </cell>
          <cell r="H198" t="str">
            <v>/</v>
          </cell>
          <cell r="I198" t="str">
            <v>/</v>
          </cell>
          <cell r="J198" t="str">
            <v>Loose leaf tea</v>
          </cell>
          <cell r="K198" t="str">
            <v>Several infusions</v>
          </cell>
          <cell r="L198"/>
        </row>
        <row r="199">
          <cell r="A199" t="str">
            <v>TN3252</v>
          </cell>
          <cell r="B199" t="str">
            <v xml:space="preserve">Gaïa Bari Potong </v>
          </cell>
          <cell r="C199" t="str">
            <v>FTGFOP1 SF</v>
          </cell>
          <cell r="D199" t="str">
            <v xml:space="preserve">Gaïa Bari Potong </v>
          </cell>
          <cell r="E199" t="str">
            <v>FTGFOP1 SF</v>
          </cell>
          <cell r="F199" t="str">
            <v>Single Estate Organic Black Tea</v>
          </cell>
          <cell r="G199" t="str">
            <v xml:space="preserve">Ingredient: black tea**. **From organic and biodynamic farming. demeter is the brand for products from biodynamic agriculture. </v>
          </cell>
          <cell r="H199" t="str">
            <v>/</v>
          </cell>
          <cell r="I199" t="str">
            <v>As a certified member of the World Fair Trade Organization, Les Jardins de Gaïa is committed to fairer trade and meets the requirements of fair trade. For more information: www.wfto.com.</v>
          </cell>
          <cell r="J199" t="str">
            <v>Loose leaf tea</v>
          </cell>
          <cell r="K199" t="str">
            <v>/</v>
          </cell>
          <cell r="L199"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200">
          <cell r="A200" t="str">
            <v>TA6192</v>
          </cell>
          <cell r="B200" t="str">
            <v xml:space="preserve">Gaïa en fête </v>
          </cell>
          <cell r="C200" t="str">
            <v>Jasmin – Saveur framboise</v>
          </cell>
          <cell r="D200" t="str">
            <v>Celebrate Gaïa</v>
          </cell>
          <cell r="E200" t="str">
            <v>Jasmine - Raspberry flavour</v>
          </cell>
          <cell r="F200" t="str">
            <v>Organic Flavoured Green Tea</v>
          </cell>
          <cell r="G200" t="str">
            <v>Ingredients: jasmine green tea* 37%, black tea*, honeybush*, elderflowers*, natural (raspberry* 3%, elderflower*) flavourings, buchu*, flower petals (marigold*, amaranth*, cornflower*, chamomile*). *From organic farming.</v>
          </cell>
          <cell r="H200" t="str">
            <v>/</v>
          </cell>
          <cell r="I200" t="str">
            <v>/</v>
          </cell>
          <cell r="J200" t="str">
            <v>Loose leaf tea</v>
          </cell>
          <cell r="K200" t="str">
            <v>several infusions</v>
          </cell>
          <cell r="L200"/>
        </row>
        <row r="201">
          <cell r="A201" t="str">
            <v>TUTA6192</v>
          </cell>
          <cell r="B201" t="str">
            <v xml:space="preserve">Gaïa en fête </v>
          </cell>
          <cell r="C201" t="str">
            <v>Jasmin – Saveur framboise</v>
          </cell>
          <cell r="D201" t="str">
            <v>Celebrate Gaïa</v>
          </cell>
          <cell r="E201" t="str">
            <v>Jasmine - Raspberry flavour</v>
          </cell>
          <cell r="F201" t="str">
            <v>Organic Flavoured Green Tea</v>
          </cell>
          <cell r="G201" t="str">
            <v>Ingredients: jasmine green tea* 37%, black tea*, honeybush*, elderflowers*, natural (raspberry* 3%, elderflower*) flavourings, buchu*, flower petals (marigold*, amaranth*, cornflower*, chamomile*). *From organic farming.</v>
          </cell>
          <cell r="H201" t="str">
            <v>/</v>
          </cell>
          <cell r="I201" t="str">
            <v>/</v>
          </cell>
          <cell r="J201" t="str">
            <v>Loose leaf tea</v>
          </cell>
          <cell r="K201" t="str">
            <v>several infusions</v>
          </cell>
          <cell r="L201"/>
        </row>
        <row r="202">
          <cell r="A202" t="str">
            <v>TN2326</v>
          </cell>
          <cell r="B202" t="str">
            <v>Gaïa’s Gift</v>
          </cell>
          <cell r="C202" t="str">
            <v>FTGFOP1 FF Top Quality
EX. 02.04.2022</v>
          </cell>
          <cell r="D202" t="str">
            <v>Gaïa’s Gift</v>
          </cell>
          <cell r="E202" t="str">
            <v>FTGFOP1 FF Top Quality
EX. 02.04.2022</v>
          </cell>
          <cell r="F202" t="str">
            <v>Single Estate First Flush Organic Black Tea</v>
          </cell>
          <cell r="G202" t="str">
            <v xml:space="preserve">Ingredient: black tea**. **From organic and biodynamic farming. demeter is the brand for products from biodynamic agriculture. </v>
          </cell>
          <cell r="H202" t="str">
            <v>/</v>
          </cell>
          <cell r="I202" t="str">
            <v>As a certified member of the World Fair Trade Organization, Les Jardins de Gaïa is committed to fairer trade and meets the requirements of fair trade. For more information: www.wfto.com.</v>
          </cell>
          <cell r="J202" t="str">
            <v>Loose leaf tea</v>
          </cell>
          <cell r="K202" t="str">
            <v>/</v>
          </cell>
          <cell r="L202"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203">
          <cell r="A203" t="str">
            <v>TUO422</v>
          </cell>
          <cell r="B203" t="str">
            <v>Galette Pu'er Qi Zi Bing</v>
          </cell>
          <cell r="C203" t="str">
            <v>Millésime 2012</v>
          </cell>
          <cell r="D203" t="str">
            <v>Qi Zi Bing Pu'er Cake</v>
          </cell>
          <cell r="E203" t="str">
            <v>2012 Vintage</v>
          </cell>
          <cell r="F203" t="str">
            <v>Organic Original Compressed Pu'er Dark Tea</v>
          </cell>
          <cell r="G203" t="str">
            <v>Ingredient: pu'er dark tea* compressed into a flat cake. *From organic farming.</v>
          </cell>
          <cell r="H203" t="str">
            <v>/</v>
          </cell>
          <cell r="I203" t="str">
            <v>As a certified member of the World Fair Trade Organization, Les Jardins de Gaïa is committed to fairer trade and meets the requirements of fair trade. For more information: www.wfto.com.</v>
          </cell>
          <cell r="J203" t="str">
            <v>Loose leaf tea</v>
          </cell>
          <cell r="K203" t="str">
            <v>Several infusions</v>
          </cell>
          <cell r="L203" t="str">
            <v>/</v>
          </cell>
        </row>
        <row r="204">
          <cell r="A204" t="str">
            <v>TV3332</v>
          </cell>
          <cell r="B204" t="str">
            <v>Gampola Green</v>
          </cell>
          <cell r="C204" t="str">
            <v>/</v>
          </cell>
          <cell r="D204" t="str">
            <v>Gampola Green</v>
          </cell>
          <cell r="E204" t="str">
            <v>/</v>
          </cell>
          <cell r="F204" t="str">
            <v>Organic Original Green Tea</v>
          </cell>
          <cell r="G204" t="str">
            <v>Ingredient: green tea**. **From organic and biodynamic farming. demeter is the brand for products from biodynamic agriculture.</v>
          </cell>
          <cell r="H204" t="str">
            <v>/</v>
          </cell>
          <cell r="I204" t="str">
            <v>As a certified member of the World Fair Trade Organization, Les Jardins de Gaïa is committed to fairer trade and meets the requirements of fair trade. For more information: www.wfto.com.</v>
          </cell>
          <cell r="J204" t="str">
            <v>Loose leaf tea</v>
          </cell>
          <cell r="K204" t="str">
            <v>/</v>
          </cell>
          <cell r="L204"/>
        </row>
        <row r="205">
          <cell r="A205" t="str">
            <v>TJ2162</v>
          </cell>
          <cell r="B205" t="str">
            <v>Genmaicha</v>
          </cell>
          <cell r="C205" t="str">
            <v>Thé vert au riz grillé 玄米茶</v>
          </cell>
          <cell r="D205" t="str">
            <v>Genmaicha</v>
          </cell>
          <cell r="E205" t="str">
            <v>Green tea with roasted rice 玄米茶</v>
          </cell>
          <cell r="F205" t="str">
            <v>Organic Scented Green Tea</v>
          </cell>
          <cell r="G205" t="str">
            <v>Ingredients: green tea*, roasted rice* ??%. *From organic farming.</v>
          </cell>
          <cell r="H205" t="str">
            <v>/</v>
          </cell>
          <cell r="I205" t="str">
            <v>/</v>
          </cell>
          <cell r="J205" t="str">
            <v>Loose leaf tea</v>
          </cell>
          <cell r="K205" t="str">
            <v>/</v>
          </cell>
          <cell r="L205"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206">
          <cell r="A206" t="str">
            <v>TV1262</v>
          </cell>
          <cell r="B206" t="str">
            <v>Genmaicha Sud-Coréen</v>
          </cell>
          <cell r="C206" t="str">
            <v>Thé vert au riz grillé</v>
          </cell>
          <cell r="D206" t="str">
            <v>South Korean Genmaicha</v>
          </cell>
          <cell r="E206" t="str">
            <v>Green tea with roasted rice</v>
          </cell>
          <cell r="F206" t="str">
            <v>Organic Scented Green Tea</v>
          </cell>
          <cell r="G206" t="str">
            <v xml:space="preserve">Ingredients: green tea*, roasted rice*. *From organic farming. 
</v>
          </cell>
          <cell r="H206" t="str">
            <v>/</v>
          </cell>
          <cell r="I206" t="str">
            <v>/</v>
          </cell>
          <cell r="J206" t="str">
            <v>Loose leaf tea</v>
          </cell>
          <cell r="K206" t="str">
            <v>/</v>
          </cell>
          <cell r="L206"/>
        </row>
        <row r="207">
          <cell r="A207" t="str">
            <v>TR2232</v>
          </cell>
          <cell r="B207" t="str">
            <v>Ginger Lemon</v>
          </cell>
          <cell r="C207" t="str">
            <v>Gingembre - Lemongrass</v>
          </cell>
          <cell r="D207" t="str">
            <v>Ginger Lemon</v>
          </cell>
          <cell r="E207" t="str">
            <v>Ginger - Lemongrass</v>
          </cell>
          <cell r="F207" t="str">
            <v>Organic Perfumed Rooibos</v>
          </cell>
          <cell r="G207" t="str">
            <v xml:space="preserve">Ingredients: rooibos*, lemongrass* 11%, ginger* 9%. *From organic farming. </v>
          </cell>
          <cell r="H207" t="str">
            <v>/</v>
          </cell>
          <cell r="I207" t="str">
            <v>As a certified member of the World Fair Trade Organization, Les Jardins de Gaïa is committed to fairer trade and meets the requirements of fair trade. For more information: www.wfto.com.</v>
          </cell>
          <cell r="J207" t="str">
            <v>Loose rooibos</v>
          </cell>
          <cell r="K207" t="str">
            <v>/</v>
          </cell>
          <cell r="L207" t="str">
            <v>/</v>
          </cell>
        </row>
        <row r="208">
          <cell r="A208" t="str">
            <v>TH2625</v>
          </cell>
          <cell r="B208" t="str">
            <v>Ginkgo</v>
          </cell>
          <cell r="C208" t="str">
            <v>/</v>
          </cell>
          <cell r="D208" t="str">
            <v>Ginkgo</v>
          </cell>
          <cell r="E208" t="str">
            <v>/</v>
          </cell>
          <cell r="F208" t="str">
            <v>Organic Herbal Tea Infusion</v>
          </cell>
          <cell r="G208" t="str">
            <v>Ingredient: ginkgo leaves* (Ginkgo biloba). *From organic farming.</v>
          </cell>
          <cell r="H208" t="str">
            <v>/</v>
          </cell>
          <cell r="I208" t="str">
            <v>/</v>
          </cell>
          <cell r="J208" t="str">
            <v>Loose Infusion</v>
          </cell>
          <cell r="K208" t="str">
            <v>/</v>
          </cell>
          <cell r="L208" t="str">
            <v>/</v>
          </cell>
        </row>
        <row r="209">
          <cell r="A209" t="str">
            <v>TH2622</v>
          </cell>
          <cell r="B209" t="str">
            <v>Ginkgo</v>
          </cell>
          <cell r="C209" t="str">
            <v>/</v>
          </cell>
          <cell r="D209" t="str">
            <v>Ginkgo</v>
          </cell>
          <cell r="E209" t="str">
            <v>/</v>
          </cell>
          <cell r="F209" t="str">
            <v>Organic Herbal Tea Infusion</v>
          </cell>
          <cell r="G209" t="str">
            <v>Ingredient: ginkgo leaves* (Ginkgo biloba). *From organic farming.</v>
          </cell>
          <cell r="H209" t="str">
            <v>/</v>
          </cell>
          <cell r="I209" t="str">
            <v>/</v>
          </cell>
          <cell r="J209" t="str">
            <v>Loose Infusion</v>
          </cell>
          <cell r="K209" t="str">
            <v>/</v>
          </cell>
          <cell r="L209" t="str">
            <v>/</v>
          </cell>
        </row>
        <row r="210">
          <cell r="A210" t="str">
            <v>TN1195</v>
          </cell>
          <cell r="B210" t="str">
            <v>Golden Monkey</v>
          </cell>
          <cell r="C210" t="str">
            <v xml:space="preserve">Jin Hou Cha </v>
          </cell>
          <cell r="D210" t="str">
            <v>Golden Monkey</v>
          </cell>
          <cell r="E210" t="str">
            <v xml:space="preserve">Jin Hou Cha </v>
          </cell>
          <cell r="F210" t="str">
            <v>Organic Original Black Tea</v>
          </cell>
          <cell r="G210" t="str">
            <v>Ingredient: black tea*. *From organic farming.</v>
          </cell>
          <cell r="H210" t="str">
            <v>/</v>
          </cell>
          <cell r="I210" t="str">
            <v>/</v>
          </cell>
          <cell r="J210" t="str">
            <v>Loose leaf tea</v>
          </cell>
          <cell r="K210" t="str">
            <v>/</v>
          </cell>
          <cell r="L210" t="str">
            <v>/</v>
          </cell>
        </row>
        <row r="211">
          <cell r="A211" t="str">
            <v>TN1192</v>
          </cell>
          <cell r="B211" t="str">
            <v>Golden Monkey</v>
          </cell>
          <cell r="C211" t="str">
            <v xml:space="preserve">Jin Hou Cha </v>
          </cell>
          <cell r="D211" t="str">
            <v>Golden Monkey</v>
          </cell>
          <cell r="E211" t="str">
            <v xml:space="preserve">Jin Hou Cha </v>
          </cell>
          <cell r="F211" t="str">
            <v>Organic Original Black Tea</v>
          </cell>
          <cell r="G211" t="str">
            <v>Ingredient: black tea*. *From organic farming.</v>
          </cell>
          <cell r="H211" t="str">
            <v>/</v>
          </cell>
          <cell r="I211" t="str">
            <v>/</v>
          </cell>
          <cell r="J211" t="str">
            <v>Loose leaf tea</v>
          </cell>
          <cell r="K211" t="str">
            <v>/</v>
          </cell>
          <cell r="L211" t="str">
            <v>/</v>
          </cell>
        </row>
        <row r="212">
          <cell r="A212" t="str">
            <v>TN1192R</v>
          </cell>
          <cell r="B212" t="str">
            <v>Golden Monkey</v>
          </cell>
          <cell r="C212" t="str">
            <v xml:space="preserve">Jin Hou Cha </v>
          </cell>
          <cell r="D212" t="str">
            <v>Golden Monkey</v>
          </cell>
          <cell r="E212" t="str">
            <v xml:space="preserve">Jin Hou Cha </v>
          </cell>
          <cell r="F212" t="str">
            <v>Organic Original Black Tea</v>
          </cell>
          <cell r="G212" t="str">
            <v>Ingredient: black tea*. *From organic farming.</v>
          </cell>
          <cell r="H212" t="str">
            <v>/</v>
          </cell>
          <cell r="I212" t="str">
            <v>/</v>
          </cell>
          <cell r="J212" t="str">
            <v>Loose leaf tea</v>
          </cell>
          <cell r="K212" t="str">
            <v>/</v>
          </cell>
          <cell r="L212" t="str">
            <v>/</v>
          </cell>
        </row>
        <row r="213">
          <cell r="A213" t="str">
            <v>TA7202</v>
          </cell>
          <cell r="B213" t="str">
            <v>Gorgée de Soleil</v>
          </cell>
          <cell r="C213" t="str">
            <v>Pêche - Abricot</v>
          </cell>
          <cell r="D213" t="str">
            <v>Mouthful of sun</v>
          </cell>
          <cell r="E213" t="str">
            <v>Peach - Apricot</v>
          </cell>
          <cell r="F213" t="str">
            <v>Organic Flavoured Black Tea</v>
          </cell>
          <cell r="G213" t="str">
            <v>Ingredients: black tea*, natural (peach*, apricot*) flavourings 8%, fruit pieces (apricot*, peach*) 1%, sunflower petals*. *From organic farming.</v>
          </cell>
          <cell r="H213" t="str">
            <v>/</v>
          </cell>
          <cell r="I213" t="str">
            <v>As a certified member of the World Fair Trade Organization, Les Jardins de Gaïa is committed to fairer trade and meets the requirements of fair trade. For more information: www.wfto.com.</v>
          </cell>
          <cell r="J213" t="str">
            <v>Loose leaf tea</v>
          </cell>
          <cell r="K213" t="str">
            <v>/</v>
          </cell>
          <cell r="L213"/>
        </row>
        <row r="214">
          <cell r="A214" t="str">
            <v>TN4672</v>
          </cell>
          <cell r="B214" t="str">
            <v>Grand Keemun FOP</v>
          </cell>
          <cell r="C214" t="str">
            <v>Qi Men Hong Cha</v>
          </cell>
          <cell r="D214" t="str">
            <v>Grand Keemun FOP</v>
          </cell>
          <cell r="E214" t="str">
            <v>Qi Men Hong Cha</v>
          </cell>
          <cell r="F214" t="str">
            <v>Organic Original Black Tea</v>
          </cell>
          <cell r="G214" t="str">
            <v xml:space="preserve">Ingredient: black tea*. *From organic farming. </v>
          </cell>
          <cell r="H214" t="str">
            <v>/</v>
          </cell>
          <cell r="I214" t="str">
            <v>/</v>
          </cell>
          <cell r="J214" t="str">
            <v>Loose leaf tea</v>
          </cell>
          <cell r="K214" t="str">
            <v>/</v>
          </cell>
          <cell r="L214"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215">
          <cell r="A215" t="str">
            <v>TN4676</v>
          </cell>
          <cell r="B215" t="str">
            <v>Grand Keemun FOP</v>
          </cell>
          <cell r="C215" t="str">
            <v>Qi Men Hong Cha</v>
          </cell>
          <cell r="D215" t="str">
            <v>Grand Keemun FOP</v>
          </cell>
          <cell r="E215" t="str">
            <v>Qi Men Hong Cha</v>
          </cell>
          <cell r="F215" t="str">
            <v>Organic Original Black Tea</v>
          </cell>
          <cell r="G215" t="str">
            <v xml:space="preserve">Ingredient: black tea*. *From organic farming. </v>
          </cell>
          <cell r="H215" t="str">
            <v>/</v>
          </cell>
          <cell r="I215" t="str">
            <v>/</v>
          </cell>
          <cell r="J215" t="str">
            <v>Loose leaf tea</v>
          </cell>
          <cell r="K215" t="str">
            <v>/</v>
          </cell>
          <cell r="L215"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216">
          <cell r="A216" t="str">
            <v>TA6992</v>
          </cell>
          <cell r="B216" t="str">
            <v>Green Pep's</v>
          </cell>
          <cell r="C216" t="str">
            <v>Argousier – Huiles essentielles d'agrumes</v>
          </cell>
          <cell r="D216" t="str">
            <v>Green Pep's</v>
          </cell>
          <cell r="E216" t="str">
            <v>Sea-buckthorn - Citrus essential oils</v>
          </cell>
          <cell r="F216" t="str">
            <v>Organic Flavoured Green Tea</v>
          </cell>
          <cell r="G216" t="str">
            <v xml:space="preserve">Ingredients: green tea*, sea buckthorn* 5%, citrus essential oils (sweet orange, lemon*, blood orange*, grapefruit*, mandarin*) 2%. *From organic farming. </v>
          </cell>
          <cell r="H216" t="str">
            <v>/</v>
          </cell>
          <cell r="I216" t="str">
            <v>As a certified member of the World Fair Trade Organization, Les Jardins de Gaïa is committed to fairer trade and meets the requirements of fair trade. For more information: www.wfto.com.</v>
          </cell>
          <cell r="J216" t="str">
            <v>Loose leaf tea</v>
          </cell>
          <cell r="K216" t="str">
            <v>/</v>
          </cell>
          <cell r="L216"/>
        </row>
        <row r="217">
          <cell r="A217" t="str">
            <v>TB3715</v>
          </cell>
          <cell r="B217" t="str">
            <v>Griffes de Snowview</v>
          </cell>
          <cell r="C217" t="str">
            <v>First Flush 
cultivar AV2</v>
          </cell>
          <cell r="D217" t="str">
            <v>Snowview Claws</v>
          </cell>
          <cell r="E217" t="str">
            <v>First Flush 
cultivar AV2</v>
          </cell>
          <cell r="F217" t="str">
            <v>Single Estate First Flush Organic White Tea</v>
          </cell>
          <cell r="G217" t="str">
            <v xml:space="preserve">Ingredient: white tea*. *From organic farming. </v>
          </cell>
          <cell r="H217" t="str">
            <v>/</v>
          </cell>
          <cell r="I217" t="str">
            <v>As a certified member of the World Fair Trade Organization, Les Jardins de Gaïa is committed to fairer trade and meets the requirements of fair trade. For more information: www.wfto.com.</v>
          </cell>
          <cell r="J217" t="str">
            <v>Loose leaf tea</v>
          </cell>
          <cell r="K217" t="str">
            <v>Several infusions</v>
          </cell>
          <cell r="L217"/>
        </row>
        <row r="218">
          <cell r="A218" t="str">
            <v>TB3716</v>
          </cell>
          <cell r="B218" t="str">
            <v>Griffes de Snowview</v>
          </cell>
          <cell r="C218" t="str">
            <v>First Flush 
cultivar AV2</v>
          </cell>
          <cell r="D218" t="str">
            <v>Snowview Claws</v>
          </cell>
          <cell r="E218" t="str">
            <v>First Flush 
cultivar AV2</v>
          </cell>
          <cell r="F218" t="str">
            <v>Single Estate First Flush Organic White Tea</v>
          </cell>
          <cell r="G218" t="str">
            <v xml:space="preserve">Ingredient: white tea*. *From organic farming. </v>
          </cell>
          <cell r="H218" t="str">
            <v>/</v>
          </cell>
          <cell r="I218" t="str">
            <v>As a certified member of the World Fair Trade Organization, Les Jardins de Gaïa is committed to fairer trade and meets the requirements of fair trade. For more information: www.wfto.com.</v>
          </cell>
          <cell r="J218" t="str">
            <v>Loose leaf tea</v>
          </cell>
          <cell r="K218" t="str">
            <v>Several infusions</v>
          </cell>
          <cell r="L218"/>
        </row>
        <row r="219">
          <cell r="A219" t="str">
            <v>TB3716R</v>
          </cell>
          <cell r="B219" t="str">
            <v>Griffes de Snowview</v>
          </cell>
          <cell r="C219" t="str">
            <v>First Flush 
cultivar AV2</v>
          </cell>
          <cell r="D219" t="str">
            <v>Snowview Claws</v>
          </cell>
          <cell r="E219" t="str">
            <v>First Flush 
cultivar AV2</v>
          </cell>
          <cell r="F219" t="str">
            <v>Single Estate First Flush Organic White Tea</v>
          </cell>
          <cell r="G219" t="str">
            <v xml:space="preserve">Ingredient: white tea*. *From organic farming. </v>
          </cell>
          <cell r="H219" t="str">
            <v>/</v>
          </cell>
          <cell r="I219" t="str">
            <v>As a certified member of the World Fair Trade Organization, Les Jardins de Gaïa is committed to fairer trade and meets the requirements of fair trade. For more information: www.wfto.com.</v>
          </cell>
          <cell r="J219" t="str">
            <v>Loose leaf tea</v>
          </cell>
          <cell r="K219" t="str">
            <v>Several infusions</v>
          </cell>
          <cell r="L219"/>
        </row>
        <row r="220">
          <cell r="A220" t="str">
            <v>TV6492</v>
          </cell>
          <cell r="B220" t="str">
            <v>Gunpowder</v>
          </cell>
          <cell r="C220" t="str">
            <v>/</v>
          </cell>
          <cell r="D220" t="str">
            <v>Gunpowder</v>
          </cell>
          <cell r="E220" t="str">
            <v>/</v>
          </cell>
          <cell r="F220" t="str">
            <v>Organic Original Green Tea</v>
          </cell>
          <cell r="G220" t="str">
            <v>Ingredient: green tea*. *From organic farming.</v>
          </cell>
          <cell r="H220" t="str">
            <v>/</v>
          </cell>
          <cell r="I220" t="str">
            <v>As a certified member of the World Fair Trade Organization, Les Jardins de Gaïa is committed to fairer trade and meets the requirements of fair trade. For more information: www.wfto.com.</v>
          </cell>
          <cell r="J220" t="str">
            <v>Loose leaf tea</v>
          </cell>
          <cell r="K220" t="str">
            <v>/</v>
          </cell>
          <cell r="L220"/>
        </row>
        <row r="221">
          <cell r="A221" t="str">
            <v>TV7492</v>
          </cell>
          <cell r="B221" t="str">
            <v>Gunpowder Pinhead</v>
          </cell>
          <cell r="C221" t="str">
            <v>/</v>
          </cell>
          <cell r="D221" t="str">
            <v>Gunpowder Pinhead</v>
          </cell>
          <cell r="E221" t="str">
            <v>/</v>
          </cell>
          <cell r="F221" t="str">
            <v>Organic Original Green Tea</v>
          </cell>
          <cell r="G221" t="str">
            <v>Ingredient: green tea*. *From organic farming.</v>
          </cell>
          <cell r="H221" t="str">
            <v>/</v>
          </cell>
          <cell r="I221" t="str">
            <v>As a certified member of the World Fair Trade Organization, Les Jardins de Gaïa is committed to fairer trade and meets the requirements of fair trade. For more information: www.wfto.com.</v>
          </cell>
          <cell r="J221" t="str">
            <v>Loose leaf tea</v>
          </cell>
          <cell r="K221" t="str">
            <v>/</v>
          </cell>
          <cell r="L221"/>
        </row>
        <row r="222">
          <cell r="A222" t="str">
            <v>TV3402</v>
          </cell>
          <cell r="B222" t="str">
            <v>Gunpowder Selimbong</v>
          </cell>
          <cell r="C222" t="str">
            <v>/</v>
          </cell>
          <cell r="D222" t="str">
            <v>Gunpowder Selimbong</v>
          </cell>
          <cell r="E222" t="str">
            <v>/</v>
          </cell>
          <cell r="F222" t="str">
            <v>Organic Original Green Tea</v>
          </cell>
          <cell r="G222" t="str">
            <v>Ingredient: green tea**. **From organic and biodynamic farming. demeter is the brand for products from biodynamic agriculture.</v>
          </cell>
          <cell r="H222" t="str">
            <v>/</v>
          </cell>
          <cell r="I222" t="str">
            <v>As a certified member of the World Fair Trade Organization, Les Jardins de Gaïa is committed to fairer trade and meets the requirements of fair trade. For more information: www.wfto.com.</v>
          </cell>
          <cell r="J222" t="str">
            <v>Loose leaf tea</v>
          </cell>
          <cell r="K222" t="str">
            <v>/</v>
          </cell>
          <cell r="L222"/>
        </row>
        <row r="223">
          <cell r="A223" t="str">
            <v>TV6552</v>
          </cell>
          <cell r="B223" t="str">
            <v>Gyokuro</v>
          </cell>
          <cell r="C223" t="str">
            <v>/</v>
          </cell>
          <cell r="D223" t="str">
            <v>Gyokuro</v>
          </cell>
          <cell r="E223" t="str">
            <v>/</v>
          </cell>
          <cell r="F223" t="str">
            <v>Organic Original Green Tea</v>
          </cell>
          <cell r="G223" t="str">
            <v>Ingredient: green tea*. *From organic farming.</v>
          </cell>
          <cell r="H223" t="str">
            <v>/</v>
          </cell>
          <cell r="I223" t="str">
            <v>/</v>
          </cell>
          <cell r="J223" t="str">
            <v>Loose leaf tea</v>
          </cell>
          <cell r="K223" t="str">
            <v>Several infusions ?</v>
          </cell>
          <cell r="L223"/>
        </row>
        <row r="224">
          <cell r="A224" t="str">
            <v>TV6556</v>
          </cell>
          <cell r="B224" t="str">
            <v>Gyokuro</v>
          </cell>
          <cell r="C224" t="str">
            <v>/</v>
          </cell>
          <cell r="D224" t="str">
            <v>Gyokuro</v>
          </cell>
          <cell r="E224" t="str">
            <v>/</v>
          </cell>
          <cell r="F224" t="str">
            <v>Organic Original Green Tea</v>
          </cell>
          <cell r="G224" t="str">
            <v>Ingredient: green tea*. *From organic farming.</v>
          </cell>
          <cell r="H224" t="str">
            <v>/</v>
          </cell>
          <cell r="I224" t="str">
            <v>/</v>
          </cell>
          <cell r="J224" t="str">
            <v>Loose leaf tea</v>
          </cell>
          <cell r="K224" t="str">
            <v>Several infusions ?</v>
          </cell>
          <cell r="L224"/>
        </row>
        <row r="225">
          <cell r="A225" t="str">
            <v>TUTJ0706</v>
          </cell>
          <cell r="B225" t="str">
            <v>Gyokuro</v>
          </cell>
          <cell r="C225" t="str">
            <v>À l'ombre du phénix 玉露</v>
          </cell>
          <cell r="D225" t="str">
            <v>Gyokuro</v>
          </cell>
          <cell r="E225" t="str">
            <v>Shadow of the phoenix 玉露</v>
          </cell>
          <cell r="F225" t="str">
            <v>Organic Green Tea</v>
          </cell>
          <cell r="G225" t="str">
            <v>Ingredient: green tea*. *From organic farming.</v>
          </cell>
          <cell r="H225" t="str">
            <v>/</v>
          </cell>
          <cell r="I225" t="str">
            <v>/</v>
          </cell>
          <cell r="J225" t="str">
            <v>Loose leaf tea</v>
          </cell>
          <cell r="K225" t="str">
            <v>Several infusions</v>
          </cell>
          <cell r="L225"/>
        </row>
        <row r="226">
          <cell r="A226" t="str">
            <v>TUTJ0836</v>
          </cell>
          <cell r="B226" t="str">
            <v>Gyokuro Karigane</v>
          </cell>
          <cell r="C226" t="str">
            <v>Kukicha 玉露</v>
          </cell>
          <cell r="D226" t="str">
            <v>Gyokuro Karigane</v>
          </cell>
          <cell r="E226" t="str">
            <v>Kukicha 玉露</v>
          </cell>
          <cell r="F226" t="str">
            <v>Organic Green Tea</v>
          </cell>
          <cell r="G226" t="str">
            <v>Ingredient: green tea*. *From organic farming.</v>
          </cell>
          <cell r="H226" t="str">
            <v>/</v>
          </cell>
          <cell r="I226" t="str">
            <v>/</v>
          </cell>
          <cell r="J226" t="str">
            <v>Loose leaf tea</v>
          </cell>
          <cell r="K226" t="str">
            <v>Several infusions</v>
          </cell>
          <cell r="L226"/>
        </row>
        <row r="227">
          <cell r="A227" t="str">
            <v>TV6572</v>
          </cell>
          <cell r="B227" t="str">
            <v>Gyokuro Premium</v>
          </cell>
          <cell r="C227" t="str">
            <v>Vert éternel 玉露</v>
          </cell>
          <cell r="D227" t="str">
            <v>Gyokuro Premium</v>
          </cell>
          <cell r="E227" t="str">
            <v>Eternal Green 玉露</v>
          </cell>
          <cell r="F227" t="str">
            <v>Organic Original Green Tea</v>
          </cell>
          <cell r="G227" t="str">
            <v>Ingredient: green tea*. *From organic farming.</v>
          </cell>
          <cell r="H227" t="str">
            <v>/</v>
          </cell>
          <cell r="I227" t="str">
            <v>/</v>
          </cell>
          <cell r="J227" t="str">
            <v>Loose leaf tea</v>
          </cell>
          <cell r="K227" t="str">
            <v>several infusions</v>
          </cell>
          <cell r="L227"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228">
          <cell r="A228" t="str">
            <v>TV6576</v>
          </cell>
          <cell r="B228" t="str">
            <v>Gyokuro Premium</v>
          </cell>
          <cell r="C228" t="str">
            <v>Vert éternel 玉露</v>
          </cell>
          <cell r="D228" t="str">
            <v>Gyokuro Premium</v>
          </cell>
          <cell r="E228" t="str">
            <v>Eternal Green 玉露</v>
          </cell>
          <cell r="F228" t="str">
            <v>Organic Original Green Tea</v>
          </cell>
          <cell r="G228" t="str">
            <v>Ingredient: green tea*. *From organic farming.</v>
          </cell>
          <cell r="H228" t="str">
            <v>/</v>
          </cell>
          <cell r="I228" t="str">
            <v>/</v>
          </cell>
          <cell r="J228" t="str">
            <v>Loose leaf tea</v>
          </cell>
          <cell r="K228" t="str">
            <v>several infusions</v>
          </cell>
          <cell r="L228"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229">
          <cell r="A229" t="str">
            <v>TR2162</v>
          </cell>
          <cell r="B229" t="str">
            <v>Halloween</v>
          </cell>
          <cell r="C229" t="str">
            <v>Orange - Cannelle</v>
          </cell>
          <cell r="D229" t="str">
            <v>Halloween</v>
          </cell>
          <cell r="E229" t="str">
            <v>Orange - Cinnamon</v>
          </cell>
          <cell r="F229" t="str">
            <v>Organic Flavoured Rooibos</v>
          </cell>
          <cell r="G229" t="str">
            <v>Ingredients: rooibos*, carrot pieces*, cinnamon pieces* 4%, orange essential oil* 2%, orange peels* 2%, cinnamon extract* 0.4%, marigold petals*. *From organic farming.</v>
          </cell>
          <cell r="H229" t="str">
            <v>/</v>
          </cell>
          <cell r="I229" t="str">
            <v>As a certified member of the World Fair Trade Organization, Les Jardins de Gaïa is committed to fairer trade and meets the requirements of fair trade. For more information: www.wfto.com.</v>
          </cell>
          <cell r="J229" t="str">
            <v>Loose rooibos</v>
          </cell>
          <cell r="K229" t="str">
            <v>/</v>
          </cell>
          <cell r="L229" t="str">
            <v>/</v>
          </cell>
        </row>
        <row r="230">
          <cell r="A230" t="str">
            <v>TH7011</v>
          </cell>
          <cell r="B230" t="str">
            <v>Happy Bedon</v>
          </cell>
          <cell r="C230" t="str">
            <v>Digestive
Mauve - Menthe douce</v>
          </cell>
          <cell r="D230" t="str">
            <v>Happy Belly</v>
          </cell>
          <cell r="E230" t="str">
            <v>Digestive
Mallow - Spearmint</v>
          </cell>
          <cell r="F230" t="str">
            <v>Organic Herbal Tea Infusion</v>
          </cell>
          <cell r="G230" t="str">
            <v>Ingredients: mallow petals* 25% (Malva sylvestris), lemon balm* (Melissa officinalis), spearmint* 20% (Mentha spicata), greek mountain tea* (Sideritis scardica), yarrow* (Achillea millefolium), marigold petals* (Calendula officinalis). *From organic product.</v>
          </cell>
          <cell r="H230"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230" t="str">
            <v>/</v>
          </cell>
          <cell r="J230" t="str">
            <v>Loose Infusion</v>
          </cell>
          <cell r="K230" t="str">
            <v>/</v>
          </cell>
          <cell r="L230" t="str">
            <v>/</v>
          </cell>
        </row>
        <row r="231">
          <cell r="A231" t="str">
            <v>TH701</v>
          </cell>
          <cell r="B231" t="str">
            <v>Happy Bedon</v>
          </cell>
          <cell r="C231" t="str">
            <v>Digestive
Mauve - Menthe douce</v>
          </cell>
          <cell r="D231" t="str">
            <v>Happy Belly</v>
          </cell>
          <cell r="E231" t="str">
            <v>Digestive
Mallow - Spearmint</v>
          </cell>
          <cell r="F231" t="str">
            <v>Organic Herbal Tea Infusion</v>
          </cell>
          <cell r="G231" t="str">
            <v>Ingredients: mallow petals* 25% (Malva sylvestris), lemon balm* (Melissa officinalis), spearmint* 20% (Mentha spicata), greek mountain tea* (Sideritis scardica), yarrow* (Achillea millefolium), marigold petals* (Calendula officinalis). *From organic product.</v>
          </cell>
          <cell r="H231"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231" t="str">
            <v>/</v>
          </cell>
          <cell r="J231" t="str">
            <v>Loose Infusion</v>
          </cell>
          <cell r="K231" t="str">
            <v>/</v>
          </cell>
          <cell r="L231" t="str">
            <v>/</v>
          </cell>
        </row>
        <row r="232">
          <cell r="A232" t="str">
            <v>TH1502</v>
          </cell>
          <cell r="B232" t="str">
            <v>Hibiscus</v>
          </cell>
          <cell r="C232" t="str">
            <v>Revitalisant</v>
          </cell>
          <cell r="D232" t="str">
            <v>Hibiscus</v>
          </cell>
          <cell r="E232" t="str">
            <v>Revitalizing</v>
          </cell>
          <cell r="F232" t="str">
            <v>Organic Herbal Tea Infusion</v>
          </cell>
          <cell r="G232" t="str">
            <v>Ingredient: hibiscus* (Hibiscus sabdariffa). *From organic farming.</v>
          </cell>
          <cell r="H232"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232" t="str">
            <v>As a certified member of the World Fair Trade Organization, Les Jardins de Gaïa is committed to fairer trade and meets the requirements of fair trade. For more information: www.wfto.com.</v>
          </cell>
          <cell r="J232" t="str">
            <v>Loose Infusion</v>
          </cell>
          <cell r="K232" t="str">
            <v>/</v>
          </cell>
          <cell r="L232" t="str">
            <v>/</v>
          </cell>
        </row>
        <row r="233">
          <cell r="A233" t="str">
            <v>TN5342</v>
          </cell>
          <cell r="B233" t="str">
            <v>Highgrown SOFA</v>
          </cell>
          <cell r="C233" t="str">
            <v>OP</v>
          </cell>
          <cell r="D233" t="str">
            <v>Highgrown SOFA</v>
          </cell>
          <cell r="E233" t="str">
            <v>OP</v>
          </cell>
          <cell r="F233" t="str">
            <v>Organic Original Black Tea</v>
          </cell>
          <cell r="G233" t="str">
            <v xml:space="preserve">Ingredient: black tea**. **From organic and biodynamic farming. demeter is the brand for products from biodynamic agriculture. </v>
          </cell>
          <cell r="H233" t="str">
            <v>/</v>
          </cell>
          <cell r="I233" t="str">
            <v>As a certified member of the World Fair Trade Organization, Les Jardins de Gaïa is committed to fairer trade and meets the requirements of fair trade. For more information: www.wfto.com.</v>
          </cell>
          <cell r="J233" t="str">
            <v>Loose leaf tea</v>
          </cell>
          <cell r="K233" t="str">
            <v>/</v>
          </cell>
          <cell r="L233"/>
        </row>
        <row r="234">
          <cell r="A234" t="str">
            <v>TN5362</v>
          </cell>
          <cell r="B234" t="str">
            <v>Highgrown SOFA</v>
          </cell>
          <cell r="C234" t="str">
            <v>FBOP1</v>
          </cell>
          <cell r="D234" t="str">
            <v>Highgrown SOFA</v>
          </cell>
          <cell r="E234" t="str">
            <v>FBOP1</v>
          </cell>
          <cell r="F234" t="str">
            <v>Organic Original Black Tea</v>
          </cell>
          <cell r="G234" t="str">
            <v xml:space="preserve">Ingredient: black tea**. **From organic and biodynamic farming. demeter is the brand for products from biodynamic agriculture. </v>
          </cell>
          <cell r="H234" t="str">
            <v>/</v>
          </cell>
          <cell r="I234" t="str">
            <v>As a certified member of the World Fair Trade Organization, Les Jardins de Gaïa is committed to fairer trade and meets the requirements of fair trade. For more information: www.wfto.com.</v>
          </cell>
          <cell r="J234" t="str">
            <v>Loose leaf tea</v>
          </cell>
          <cell r="K234" t="str">
            <v>/</v>
          </cell>
          <cell r="L234"/>
        </row>
        <row r="235">
          <cell r="A235" t="str">
            <v>TN5392</v>
          </cell>
          <cell r="B235" t="str">
            <v>Highgrown SOFA</v>
          </cell>
          <cell r="C235" t="str">
            <v>OP1</v>
          </cell>
          <cell r="D235" t="str">
            <v>Highgrown SOFA</v>
          </cell>
          <cell r="E235" t="str">
            <v>OP1</v>
          </cell>
          <cell r="F235" t="str">
            <v>Organic Original Black Tea</v>
          </cell>
          <cell r="G235" t="str">
            <v xml:space="preserve">Ingredient: black tea**. **From organic and biodynamic farming. demeter is the brand for products from biodynamic agriculture. </v>
          </cell>
          <cell r="H235" t="str">
            <v>/</v>
          </cell>
          <cell r="I235" t="str">
            <v>As a certified member of the World Fair Trade Organization, Les Jardins de Gaïa is committed to fairer trade and meets the requirements of fair trade. For more information: www.wfto.com.</v>
          </cell>
          <cell r="J235" t="str">
            <v>Loose leaf tea</v>
          </cell>
          <cell r="K235" t="str">
            <v>/</v>
          </cell>
          <cell r="L235"/>
        </row>
        <row r="236">
          <cell r="A236" t="str">
            <v>TN2155</v>
          </cell>
          <cell r="B236" t="str">
            <v>Himalayan Secret</v>
          </cell>
          <cell r="C236" t="str">
            <v>jardin de Seeyok</v>
          </cell>
          <cell r="D236" t="str">
            <v>Himalayan Secret</v>
          </cell>
          <cell r="E236" t="str">
            <v>Seeyok garden</v>
          </cell>
          <cell r="F236" t="str">
            <v>Single Estate First Flush Organic Black Tea</v>
          </cell>
          <cell r="G236" t="str">
            <v xml:space="preserve">Ingredient: black tea*. *From organic farming. </v>
          </cell>
          <cell r="H236" t="str">
            <v>/</v>
          </cell>
          <cell r="I236" t="str">
            <v>As a certified member of the World Fair Trade Organization, Les Jardins de Gaïa is committed to fairer trade and meets the requirements of fair trade. For more information: www.wfto.com.</v>
          </cell>
          <cell r="J236" t="str">
            <v>Loose leaf tea</v>
          </cell>
          <cell r="K236" t="str">
            <v>/</v>
          </cell>
          <cell r="L236" t="str">
            <v>/</v>
          </cell>
        </row>
        <row r="237">
          <cell r="A237" t="str">
            <v>TN2156</v>
          </cell>
          <cell r="B237" t="str">
            <v>Himalayan Secret</v>
          </cell>
          <cell r="C237" t="str">
            <v>jardin de Seeyok</v>
          </cell>
          <cell r="D237" t="str">
            <v>Himalayan Secret</v>
          </cell>
          <cell r="E237" t="str">
            <v>Seeyok garden</v>
          </cell>
          <cell r="F237" t="str">
            <v>Single Estate First Flush Organic Black Tea</v>
          </cell>
          <cell r="G237" t="str">
            <v xml:space="preserve">Ingredient: black tea*. *From organic farming. </v>
          </cell>
          <cell r="H237" t="str">
            <v>/</v>
          </cell>
          <cell r="I237" t="str">
            <v>As a certified member of the World Fair Trade Organization, Les Jardins de Gaïa is committed to fairer trade and meets the requirements of fair trade. For more information: www.wfto.com.</v>
          </cell>
          <cell r="J237" t="str">
            <v>Loose leaf tea</v>
          </cell>
          <cell r="K237" t="str">
            <v>/</v>
          </cell>
          <cell r="L237" t="str">
            <v>/</v>
          </cell>
        </row>
        <row r="238">
          <cell r="A238" t="str">
            <v>TN2156R</v>
          </cell>
          <cell r="B238" t="str">
            <v>Himalayan Secret</v>
          </cell>
          <cell r="C238" t="str">
            <v>jardin de Seeyok</v>
          </cell>
          <cell r="D238" t="str">
            <v>Himalayan Secret</v>
          </cell>
          <cell r="E238" t="str">
            <v>Seeyok garden</v>
          </cell>
          <cell r="F238" t="str">
            <v>Single Estate First Flush Organic Black Tea</v>
          </cell>
          <cell r="G238" t="str">
            <v xml:space="preserve">Ingredient: black tea*. *From organic farming. </v>
          </cell>
          <cell r="H238" t="str">
            <v>/</v>
          </cell>
          <cell r="I238" t="str">
            <v>As a certified member of the World Fair Trade Organization, Les Jardins de Gaïa is committed to fairer trade and meets the requirements of fair trade. For more information: www.wfto.com.</v>
          </cell>
          <cell r="J238" t="str">
            <v>Loose leaf tea</v>
          </cell>
          <cell r="K238" t="str">
            <v>/</v>
          </cell>
          <cell r="L238" t="str">
            <v>/</v>
          </cell>
        </row>
        <row r="239">
          <cell r="A239" t="str">
            <v>TN2315</v>
          </cell>
          <cell r="B239" t="str">
            <v>Himalayan Treasure</v>
          </cell>
          <cell r="C239" t="str">
            <v>FTGFOP1 FF
Singell Tea Estate - jardin de Potong - EX.04.04.2022</v>
          </cell>
          <cell r="D239" t="str">
            <v>Himalayan Treasure</v>
          </cell>
          <cell r="E239" t="str">
            <v>FTGFOP1 FF
Singell Tea Estate - Potong garden - EX.04.04.2022</v>
          </cell>
          <cell r="F239" t="str">
            <v>Single Estate First Flush Organic Black Tea</v>
          </cell>
          <cell r="G239" t="str">
            <v xml:space="preserve">Ingredient: black tea*. *From organic farming. </v>
          </cell>
          <cell r="H239" t="str">
            <v>/</v>
          </cell>
          <cell r="I239" t="str">
            <v>As a certified member of the World Fair Trade Organization, Les Jardins de Gaïa is committed to fairer trade and meets the requirements of fair trade. For more information: www.wfto.com.</v>
          </cell>
          <cell r="J239" t="str">
            <v>Loose leaf tea</v>
          </cell>
          <cell r="K239" t="str">
            <v>/</v>
          </cell>
          <cell r="L239" t="str">
            <v>/</v>
          </cell>
        </row>
        <row r="240">
          <cell r="A240" t="str">
            <v>TN2316</v>
          </cell>
          <cell r="B240" t="str">
            <v>Himalayan Treasure</v>
          </cell>
          <cell r="C240" t="str">
            <v>FTGFOP1 FF
Singell Tea Estate - jardin de Potong - EX.04.04.2022</v>
          </cell>
          <cell r="D240" t="str">
            <v>Himalayan Treasure</v>
          </cell>
          <cell r="E240" t="str">
            <v>FTGFOP1 FF
Singell Tea Estate - Potong garden - EX.04.04.2022</v>
          </cell>
          <cell r="F240" t="str">
            <v>Single Estate First Flush Organic Black Tea</v>
          </cell>
          <cell r="G240" t="str">
            <v xml:space="preserve">Ingredient: black tea*. *From organic farming. </v>
          </cell>
          <cell r="H240" t="str">
            <v>/</v>
          </cell>
          <cell r="I240" t="str">
            <v>As a certified member of the World Fair Trade Organization, Les Jardins de Gaïa is committed to fairer trade and meets the requirements of fair trade. For more information: www.wfto.com.</v>
          </cell>
          <cell r="J240" t="str">
            <v>Loose leaf tea</v>
          </cell>
          <cell r="K240" t="str">
            <v>/</v>
          </cell>
          <cell r="L240" t="str">
            <v>/</v>
          </cell>
        </row>
        <row r="241">
          <cell r="A241" t="str">
            <v>TN2316R</v>
          </cell>
          <cell r="B241" t="str">
            <v>Himalayan Treasure</v>
          </cell>
          <cell r="C241" t="str">
            <v>FTGFOP1 FF
Singell Tea Estate - jardin de Potong - EX.04.04.2022</v>
          </cell>
          <cell r="D241" t="str">
            <v>Himalayan Treasure</v>
          </cell>
          <cell r="E241" t="str">
            <v>FTGFOP1 FF
Singell Tea Estate - Potong garden - EX.04.04.2022</v>
          </cell>
          <cell r="F241" t="str">
            <v>Single Estate First Flush Organic Black Tea</v>
          </cell>
          <cell r="G241" t="str">
            <v xml:space="preserve">Ingredient: black tea*. *From organic farming. </v>
          </cell>
          <cell r="H241" t="str">
            <v>/</v>
          </cell>
          <cell r="I241" t="str">
            <v>As a certified member of the World Fair Trade Organization, Les Jardins de Gaïa is committed to fairer trade and meets the requirements of fair trade. For more information: www.wfto.com.</v>
          </cell>
          <cell r="J241" t="str">
            <v>Loose leaf tea</v>
          </cell>
          <cell r="K241" t="str">
            <v>/</v>
          </cell>
          <cell r="L241" t="str">
            <v>/</v>
          </cell>
        </row>
        <row r="242">
          <cell r="A242" t="str">
            <v>TV1092</v>
          </cell>
          <cell r="B242" t="str">
            <v>Hojicha</v>
          </cell>
          <cell r="C242" t="str">
            <v>ほうじ茶</v>
          </cell>
          <cell r="D242" t="str">
            <v>Hojicha</v>
          </cell>
          <cell r="E242" t="str">
            <v>ほうじ茶</v>
          </cell>
          <cell r="F242" t="str">
            <v xml:space="preserve">Organic Roasted Green Tea </v>
          </cell>
          <cell r="G242" t="str">
            <v>Ingredient: green tea*. *From organic farming.</v>
          </cell>
          <cell r="H242" t="str">
            <v>/</v>
          </cell>
          <cell r="I242" t="str">
            <v>/</v>
          </cell>
          <cell r="J242" t="str">
            <v>Loose leaf tea</v>
          </cell>
          <cell r="K242" t="str">
            <v>/</v>
          </cell>
          <cell r="L242"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243">
          <cell r="A243" t="str">
            <v>TJ2266</v>
          </cell>
          <cell r="B243" t="str">
            <v>Hojicha en poudre</v>
          </cell>
          <cell r="C243" t="str">
            <v>ほうじ茶</v>
          </cell>
          <cell r="D243" t="str">
            <v xml:space="preserve">Ground Hojicha </v>
          </cell>
          <cell r="E243" t="str">
            <v>ほうじ茶</v>
          </cell>
          <cell r="F243" t="str">
            <v xml:space="preserve">Organic Roasted Green Tea </v>
          </cell>
          <cell r="G243" t="str">
            <v xml:space="preserve">Ingredient: ground green tea*. *From organic farming. </v>
          </cell>
          <cell r="H243" t="str">
            <v>/</v>
          </cell>
          <cell r="I243" t="str">
            <v>/</v>
          </cell>
          <cell r="J243" t="str">
            <v>Powdered tea</v>
          </cell>
          <cell r="K243" t="str">
            <v>/</v>
          </cell>
          <cell r="L243" t="str">
            <v>How to prepare Hojicha powder?
For drinking: on its own, in a mocktail or even a smoothie, it will add a delicious hint of toasted cereal to hot or cold drinks!
Delicately whisk 2g of hojicha powder (about 1 teaspoon) with 80 ml of water heated to 80°C.
For cooking: whether incorporated straight into the mixture or beaten beforehand, this hojicha is perfect for pastries, lattes and cheesecakes!</v>
          </cell>
        </row>
        <row r="244">
          <cell r="A244" t="str">
            <v>TN2195</v>
          </cell>
          <cell r="B244" t="str">
            <v xml:space="preserve">Holi Beauty  </v>
          </cell>
          <cell r="C244" t="str">
            <v>FTGFOP1 FF 
jardin de Selimbong Ex. 08.04.2023
cultivar AV-2</v>
          </cell>
          <cell r="D244" t="str">
            <v xml:space="preserve">Holi Beauty  </v>
          </cell>
          <cell r="E244" t="str">
            <v>FTGFOP1 FF Selimbong garden Ex. 08.04.2023
cultivar AV-2</v>
          </cell>
          <cell r="F244" t="str">
            <v>Single Estate First Flush Organic Black Tea</v>
          </cell>
          <cell r="G244" t="str">
            <v xml:space="preserve">Ingredient: black tea**. **From organic and biodynamic farming. demeter is the brand for products from biodynamic agriculture.   </v>
          </cell>
          <cell r="H244" t="str">
            <v>/</v>
          </cell>
          <cell r="I244" t="str">
            <v>As a certified member of the World Fair Trade Organization, Les Jardins de Gaïa is committed to fairer trade and meets the requirements of fair trade. For more information: www.wfto.com.</v>
          </cell>
          <cell r="J244" t="str">
            <v>Loose leaf tea</v>
          </cell>
          <cell r="K244" t="str">
            <v>/</v>
          </cell>
          <cell r="L244" t="str">
            <v>/</v>
          </cell>
        </row>
        <row r="245">
          <cell r="A245" t="str">
            <v>TN2196</v>
          </cell>
          <cell r="B245" t="str">
            <v xml:space="preserve">Holi Beauty  </v>
          </cell>
          <cell r="C245" t="str">
            <v>FTGFOP1 FF 
jardin de Selimbong Ex. 08.04.2023
cultivar AV-2</v>
          </cell>
          <cell r="D245" t="str">
            <v xml:space="preserve">Holi Beauty  </v>
          </cell>
          <cell r="E245" t="str">
            <v>FTGFOP1 FF Selimbong garden Ex. 08.04.2023
cultivar AV-2</v>
          </cell>
          <cell r="F245" t="str">
            <v>Single Estate First Flush Organic Black Tea</v>
          </cell>
          <cell r="G245" t="str">
            <v xml:space="preserve">Ingredient: black tea**. **From organic and biodynamic farming. demeter is the brand for products from biodynamic agriculture.   </v>
          </cell>
          <cell r="H245" t="str">
            <v>/</v>
          </cell>
          <cell r="I245" t="str">
            <v>As a certified member of the World Fair Trade Organization, Les Jardins de Gaïa is committed to fairer trade and meets the requirements of fair trade. For more information: www.wfto.com.</v>
          </cell>
          <cell r="J245" t="str">
            <v>Loose leaf tea</v>
          </cell>
          <cell r="K245" t="str">
            <v>/</v>
          </cell>
          <cell r="L245" t="str">
            <v>/</v>
          </cell>
        </row>
        <row r="246">
          <cell r="A246" t="str">
            <v>TN2196R</v>
          </cell>
          <cell r="B246" t="str">
            <v xml:space="preserve">Holi Beauty  </v>
          </cell>
          <cell r="C246" t="str">
            <v>FTGFOP1 FF 
jardin de Selimbong Ex. 08.04.2023
cultivar AV-2</v>
          </cell>
          <cell r="D246" t="str">
            <v xml:space="preserve">Holi Beauty  </v>
          </cell>
          <cell r="E246" t="str">
            <v>FTGFOP1 FF Selimbong garden Ex. 08.04.2023
cultivar AV-2</v>
          </cell>
          <cell r="F246" t="str">
            <v>Single Estate First Flush Organic Black Tea</v>
          </cell>
          <cell r="G246" t="str">
            <v xml:space="preserve">Ingredient: black tea**. **From organic and biodynamic farming. demeter is the brand for products from biodynamic agriculture.   </v>
          </cell>
          <cell r="H246" t="str">
            <v>/</v>
          </cell>
          <cell r="I246" t="str">
            <v>As a certified member of the World Fair Trade Organization, Les Jardins de Gaïa is committed to fairer trade and meets the requirements of fair trade. For more information: www.wfto.com.</v>
          </cell>
          <cell r="J246" t="str">
            <v>Loose leaf tea</v>
          </cell>
          <cell r="K246" t="str">
            <v>/</v>
          </cell>
          <cell r="L246" t="str">
            <v>/</v>
          </cell>
        </row>
        <row r="247">
          <cell r="A247" t="str">
            <v>TN4186</v>
          </cell>
          <cell r="B247" t="str">
            <v>Honey Black</v>
          </cell>
          <cell r="C247" t="str">
            <v>Mi Xiang Hong Cha</v>
          </cell>
          <cell r="D247" t="str">
            <v>Honey Black</v>
          </cell>
          <cell r="E247" t="str">
            <v>Mi Xiang Hong Cha</v>
          </cell>
          <cell r="F247" t="str">
            <v>Organic Original Black Tea</v>
          </cell>
          <cell r="G247" t="str">
            <v xml:space="preserve">Ingredient: black tea*. *From organic farming. </v>
          </cell>
          <cell r="H247" t="str">
            <v>/</v>
          </cell>
          <cell r="I247" t="str">
            <v>/</v>
          </cell>
          <cell r="J247" t="str">
            <v>Loose leaf tea</v>
          </cell>
          <cell r="K247" t="str">
            <v>/</v>
          </cell>
          <cell r="L247"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248">
          <cell r="A248" t="str">
            <v>HB1702</v>
          </cell>
          <cell r="B248" t="str">
            <v>Honeybush</v>
          </cell>
          <cell r="C248" t="str">
            <v>Nature</v>
          </cell>
          <cell r="D248" t="str">
            <v>Honeybush</v>
          </cell>
          <cell r="E248" t="str">
            <v>Original</v>
          </cell>
          <cell r="F248" t="str">
            <v>Organic Original Honeybush</v>
          </cell>
          <cell r="G248" t="str">
            <v>Ingredient: honeybush*. *From organic farming.</v>
          </cell>
          <cell r="H248" t="str">
            <v>/</v>
          </cell>
          <cell r="I248" t="str">
            <v>/</v>
          </cell>
          <cell r="J248" t="str">
            <v>Loose honeybush</v>
          </cell>
          <cell r="K248" t="str">
            <v>/</v>
          </cell>
          <cell r="L248" t="str">
            <v>/</v>
          </cell>
        </row>
        <row r="249">
          <cell r="A249" t="str">
            <v>TR2312</v>
          </cell>
          <cell r="B249" t="str">
            <v>Honeymoon in Africa</v>
          </cell>
          <cell r="C249" t="str">
            <v>Noisette - Cacao</v>
          </cell>
          <cell r="D249" t="str">
            <v>Honeymoon in Africa</v>
          </cell>
          <cell r="E249" t="str">
            <v>Hazelnut - Cocoa</v>
          </cell>
          <cell r="F249" t="str">
            <v>Organic Flavoured Rooibos</v>
          </cell>
          <cell r="G249" t="str">
            <v>Ingredients: rooibos*, honeybush*, natural hazelnut flavouring* 5%, cocoa barks* 2%, crushed hazelnuts* 1%, guarana*, osmanthus flowers*, rose petals*. *From organic farming.</v>
          </cell>
          <cell r="H249" t="str">
            <v>/</v>
          </cell>
          <cell r="I249" t="str">
            <v>As a certified member of the World Fair Trade Organization, Les Jardins de Gaïa is committed to fairer trade and meets the requirements of fair trade. For more information: www.wfto.com.</v>
          </cell>
          <cell r="J249" t="str">
            <v>Loose rooibos</v>
          </cell>
          <cell r="K249" t="str">
            <v>/</v>
          </cell>
          <cell r="L249" t="str">
            <v>/</v>
          </cell>
        </row>
        <row r="250">
          <cell r="A250" t="str">
            <v>TN1065</v>
          </cell>
          <cell r="B250" t="str">
            <v>Hong Bi Luo</v>
          </cell>
          <cell r="C250" t="str">
            <v>Spirale de jade pourpre 红碧螺</v>
          </cell>
          <cell r="D250" t="str">
            <v>Hong Bi Luo</v>
          </cell>
          <cell r="E250" t="str">
            <v>Purple jade spiral 红碧螺</v>
          </cell>
          <cell r="F250" t="str">
            <v>Organic Original Black Tea</v>
          </cell>
          <cell r="G250" t="str">
            <v>Ingredient: black tea*. *From organic farming.</v>
          </cell>
          <cell r="H250" t="str">
            <v>/</v>
          </cell>
          <cell r="I250" t="str">
            <v>As a certified member of the World Fair Trade Organization, Les Jardins de Gaïa is committed to fairer trade and meets the requirements of fair trade. For more information: www.wfto.com.</v>
          </cell>
          <cell r="J250" t="str">
            <v>Loose leaf tea</v>
          </cell>
          <cell r="K250" t="str">
            <v>/</v>
          </cell>
          <cell r="L250" t="str">
            <v>/</v>
          </cell>
        </row>
        <row r="251">
          <cell r="A251" t="str">
            <v>TN1062</v>
          </cell>
          <cell r="B251" t="str">
            <v>Hong Bi Luo</v>
          </cell>
          <cell r="C251" t="str">
            <v>Spirale de jade pourpre 红碧螺</v>
          </cell>
          <cell r="D251" t="str">
            <v>Hong Bi Luo</v>
          </cell>
          <cell r="E251" t="str">
            <v>Purple jade spiral 红碧螺</v>
          </cell>
          <cell r="F251" t="str">
            <v>Organic Original Black Tea</v>
          </cell>
          <cell r="G251" t="str">
            <v>Ingredient: black tea*. *From organic farming.</v>
          </cell>
          <cell r="H251" t="str">
            <v>/</v>
          </cell>
          <cell r="I251" t="str">
            <v>As a certified member of the World Fair Trade Organization, Les Jardins de Gaïa is committed to fairer trade and meets the requirements of fair trade. For more information: www.wfto.com.</v>
          </cell>
          <cell r="J251" t="str">
            <v>Loose leaf tea</v>
          </cell>
          <cell r="K251" t="str">
            <v>/</v>
          </cell>
          <cell r="L251" t="str">
            <v>/</v>
          </cell>
        </row>
        <row r="252">
          <cell r="A252" t="str">
            <v>TN1062R</v>
          </cell>
          <cell r="B252" t="str">
            <v>Hong Bi Luo</v>
          </cell>
          <cell r="C252" t="str">
            <v>Spirale de jade pourpre 红碧螺</v>
          </cell>
          <cell r="D252" t="str">
            <v>Hong Bi Luo</v>
          </cell>
          <cell r="E252" t="str">
            <v>Purple jade spiral 红碧螺</v>
          </cell>
          <cell r="F252" t="str">
            <v>Organic Original Black Tea</v>
          </cell>
          <cell r="G252" t="str">
            <v>Ingredient: black tea*. *From organic farming.</v>
          </cell>
          <cell r="H252" t="str">
            <v>/</v>
          </cell>
          <cell r="I252" t="str">
            <v>As a certified member of the World Fair Trade Organization, Les Jardins de Gaïa is committed to fairer trade and meets the requirements of fair trade. For more information: www.wfto.com.</v>
          </cell>
          <cell r="J252" t="str">
            <v>Loose leaf tea</v>
          </cell>
          <cell r="K252" t="str">
            <v>/</v>
          </cell>
          <cell r="L252" t="str">
            <v>/</v>
          </cell>
        </row>
        <row r="253">
          <cell r="A253" t="str">
            <v>TN4122</v>
          </cell>
          <cell r="B253" t="str">
            <v>Hong Mao Jian</v>
          </cell>
          <cell r="C253" t="str">
            <v>Pointes duveteuses rouge</v>
          </cell>
          <cell r="D253" t="str">
            <v>Hong Mao Jian</v>
          </cell>
          <cell r="E253" t="str">
            <v>Red Downy Tips</v>
          </cell>
          <cell r="F253" t="str">
            <v>Organic Original Black Tea</v>
          </cell>
          <cell r="G253" t="str">
            <v xml:space="preserve">Ingredient: black tea*. *From organic farming. </v>
          </cell>
          <cell r="H253" t="str">
            <v>/</v>
          </cell>
          <cell r="I253" t="str">
            <v>As a certified member of the World Fair Trade Organization, Les Jardins de Gaïa is committed to fairer trade and meets the requirements of fair trade. For more information: www.wfto.com.</v>
          </cell>
          <cell r="J253" t="str">
            <v>Loose leaf tea</v>
          </cell>
          <cell r="K253" t="str">
            <v>/</v>
          </cell>
          <cell r="L253"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254">
          <cell r="A254" t="str">
            <v>TV1135</v>
          </cell>
          <cell r="B254" t="str">
            <v>Huang Ya Cha</v>
          </cell>
          <cell r="C254" t="str">
            <v>Bourgeons dorés 黃芽茶</v>
          </cell>
          <cell r="D254" t="str">
            <v>Huang Ya Cha</v>
          </cell>
          <cell r="E254" t="str">
            <v>Golden buds 黃芽茶</v>
          </cell>
          <cell r="F254" t="str">
            <v>Singel Estate Organic Mingqian Yellow Tea</v>
          </cell>
          <cell r="G254" t="str">
            <v>Ingredient: yellow tea*. *From organic farming.</v>
          </cell>
          <cell r="H254" t="str">
            <v>/</v>
          </cell>
          <cell r="I254" t="str">
            <v>As a certified member of the World Fair Trade Organization, Les Jardins de Gaïa is committed to fairer trade and meets the requirements of fair trade. For more information: www.wfto.com.</v>
          </cell>
          <cell r="J254" t="str">
            <v>Loose leaf tea</v>
          </cell>
          <cell r="K254" t="str">
            <v>Several infusions</v>
          </cell>
          <cell r="L254"/>
        </row>
        <row r="255">
          <cell r="A255" t="str">
            <v>TV1136</v>
          </cell>
          <cell r="B255" t="str">
            <v>Huang Ya Cha</v>
          </cell>
          <cell r="C255" t="str">
            <v>Bourgeons dorés 黃芽茶</v>
          </cell>
          <cell r="D255" t="str">
            <v>Huang Ya Cha</v>
          </cell>
          <cell r="E255" t="str">
            <v>Golden buds 黃芽茶</v>
          </cell>
          <cell r="F255" t="str">
            <v>Singel Estate Organic Mingqian Yellow Tea</v>
          </cell>
          <cell r="G255" t="str">
            <v>Ingredient: yellow tea*. *From organic farming.</v>
          </cell>
          <cell r="H255" t="str">
            <v>/</v>
          </cell>
          <cell r="I255" t="str">
            <v>As a certified member of the World Fair Trade Organization, Les Jardins de Gaïa is committed to fairer trade and meets the requirements of fair trade. For more information: www.wfto.com.</v>
          </cell>
          <cell r="J255" t="str">
            <v>Loose leaf tea</v>
          </cell>
          <cell r="K255" t="str">
            <v>Several infusions</v>
          </cell>
          <cell r="L255"/>
        </row>
        <row r="256">
          <cell r="A256" t="str">
            <v>TV1136R</v>
          </cell>
          <cell r="B256" t="str">
            <v>Huang Ya Cha</v>
          </cell>
          <cell r="C256" t="str">
            <v>Bourgeons dorés 黃芽茶</v>
          </cell>
          <cell r="D256" t="str">
            <v>Huang Ya Cha</v>
          </cell>
          <cell r="E256" t="str">
            <v>Golden buds 黃芽茶</v>
          </cell>
          <cell r="F256" t="str">
            <v>Singel Estate Organic Mingqian Yellow Tea</v>
          </cell>
          <cell r="G256" t="str">
            <v>Ingredient: yellow tea*. *From organic farming.</v>
          </cell>
          <cell r="H256" t="str">
            <v>/</v>
          </cell>
          <cell r="I256" t="str">
            <v>As a certified member of the World Fair Trade Organization, Les Jardins de Gaïa is committed to fairer trade and meets the requirements of fair trade. For more information: www.wfto.com.</v>
          </cell>
          <cell r="J256" t="str">
            <v>Loose leaf tea</v>
          </cell>
          <cell r="K256" t="str">
            <v>Several infusions</v>
          </cell>
          <cell r="L256"/>
        </row>
        <row r="257">
          <cell r="A257" t="str">
            <v>TA7402</v>
          </cell>
          <cell r="B257" t="str">
            <v>Hymne à la Terre</v>
          </cell>
          <cell r="C257" t="str">
            <v>Saveurs myrtille - cassis</v>
          </cell>
          <cell r="D257" t="str">
            <v>Hymn to the earth</v>
          </cell>
          <cell r="E257" t="str">
            <v>Blueberry - blackcurrant flavours</v>
          </cell>
          <cell r="F257" t="str">
            <v>Organic Flavoured Black Tea</v>
          </cell>
          <cell r="G257" t="str">
            <v>Ingredients: black tea*, natural (blueberry*, blackcurrant*) flavourings 11%, aronia*, heather flowers*, poppy petals*. *From organic farming.</v>
          </cell>
          <cell r="H257" t="str">
            <v>/</v>
          </cell>
          <cell r="I257" t="str">
            <v>As a certified member of the World Fair Trade Organization, Les Jardins de Gaïa is committed to fairer trade and meets the requirements of fair trade. For more information: www.wfto.com.</v>
          </cell>
          <cell r="J257" t="str">
            <v>Leaf Tea</v>
          </cell>
          <cell r="K257" t="str">
            <v>/</v>
          </cell>
          <cell r="L257" t="str">
            <v>/</v>
          </cell>
        </row>
        <row r="258">
          <cell r="A258" t="str">
            <v>TUTA7402</v>
          </cell>
          <cell r="B258" t="str">
            <v>Hymne à la Terre</v>
          </cell>
          <cell r="C258" t="str">
            <v>Saveurs myrtille - cassis</v>
          </cell>
          <cell r="D258" t="str">
            <v>Hymn to the earth</v>
          </cell>
          <cell r="E258" t="str">
            <v>Blueberry - blackcurrant flavours</v>
          </cell>
          <cell r="F258" t="str">
            <v>Organic Flavoured Black Tea</v>
          </cell>
          <cell r="G258" t="str">
            <v>Ingredients: black tea*, natural (blueberry*, blackcurrant*) flavourings 11%, aronia*, heather flowers*, poppy petals*. *From organic farming.</v>
          </cell>
          <cell r="H258" t="str">
            <v>/</v>
          </cell>
          <cell r="I258" t="str">
            <v>As a certified member of the World Fair Trade Organization, Les Jardins de Gaïa is committed to fairer trade and meets the requirements of fair trade. For more information: www.wfto.com.</v>
          </cell>
          <cell r="J258" t="str">
            <v>Leaf Tea</v>
          </cell>
          <cell r="K258" t="str">
            <v>/</v>
          </cell>
          <cell r="L258" t="str">
            <v>/</v>
          </cell>
        </row>
        <row r="259">
          <cell r="A259" t="str">
            <v>TA6692</v>
          </cell>
          <cell r="B259" t="str">
            <v>Instants divins</v>
          </cell>
          <cell r="C259" t="str">
            <v>Saveurs figue - amande</v>
          </cell>
          <cell r="D259" t="str">
            <v>Blissful moments</v>
          </cell>
          <cell r="E259" t="str">
            <v>Fig - almond flavours</v>
          </cell>
          <cell r="F259" t="str">
            <v>Organic Flavoured Green Tea</v>
          </cell>
          <cell r="G259" t="str">
            <v xml:space="preserve">Ingredients: green tea*, grape pomace*, ginger*, orange peels*,  cinnamon leaves*, natural (fig, almond*) flavourings 7%, orange essential oil*, cornflower petals*. *From organic farming. </v>
          </cell>
          <cell r="H259" t="str">
            <v>/</v>
          </cell>
          <cell r="I259" t="str">
            <v>As a certified member of the World Fair Trade Organization, Les Jardins de Gaïa is committed to fairer trade and meets the requirements of fair trade. For more information: www.wfto.com.</v>
          </cell>
          <cell r="J259" t="str">
            <v>Loose leaf tea</v>
          </cell>
          <cell r="K259" t="str">
            <v>/</v>
          </cell>
          <cell r="L259"/>
        </row>
        <row r="260">
          <cell r="A260" t="str">
            <v>TA6692</v>
          </cell>
          <cell r="B260" t="str">
            <v>Instants divins</v>
          </cell>
          <cell r="C260" t="str">
            <v>Saveurs figue - amande</v>
          </cell>
          <cell r="D260" t="str">
            <v>Blissful moments</v>
          </cell>
          <cell r="E260" t="str">
            <v>Fig - almond flavours</v>
          </cell>
          <cell r="F260" t="str">
            <v>Organic Flavoured Green Tea</v>
          </cell>
          <cell r="G260" t="str">
            <v xml:space="preserve">Ingredients: green tea*, grape pomace*, ginger*, orange peels*,  cinnamon leaves*, natural (fig, almond*) flavourings 7%, orange essential oil*, cornflower petals*. *From organic farming. </v>
          </cell>
          <cell r="H260" t="str">
            <v>/</v>
          </cell>
          <cell r="I260" t="str">
            <v>As a certified member of the World Fair Trade Organization, Les Jardins de Gaïa is committed to fairer trade and meets the requirements of fair trade. For more information: www.wfto.com.</v>
          </cell>
          <cell r="J260" t="str">
            <v>Loose leaf tea</v>
          </cell>
          <cell r="K260" t="str">
            <v>/</v>
          </cell>
          <cell r="L260"/>
        </row>
        <row r="261">
          <cell r="A261" t="str">
            <v>TA7042</v>
          </cell>
          <cell r="B261" t="str">
            <v>Instants sauvages</v>
          </cell>
          <cell r="C261" t="str">
            <v>Cacao - Noisette</v>
          </cell>
          <cell r="D261" t="str">
            <v>Wild Moments</v>
          </cell>
          <cell r="E261" t="str">
            <v>Cocoa - Hazelnut</v>
          </cell>
          <cell r="F261" t="str">
            <v>Organic Flavoured Black Tea</v>
          </cell>
          <cell r="G261" t="str">
            <v>Ingredients: black tea*, honeybush*, cocoa barks* 10%, crushed hazelnuts* 5%, natural hazelnut flavouring* 5%, guarana*, osmanthus flowers*. *From organic farming.</v>
          </cell>
          <cell r="H261" t="str">
            <v>/</v>
          </cell>
          <cell r="I261" t="str">
            <v>As a certified member of the World Fair Trade Organization, Les Jardins de Gaïa is committed to fairer trade and meets the requirements of fair trade. For more information: www.wfto.com.</v>
          </cell>
          <cell r="J261" t="str">
            <v>Loose leaf tea</v>
          </cell>
          <cell r="K261" t="str">
            <v>/</v>
          </cell>
          <cell r="L261"/>
        </row>
        <row r="262">
          <cell r="A262" t="str">
            <v>TV1345</v>
          </cell>
          <cell r="B262" t="str">
            <v>Jade Dew</v>
          </cell>
          <cell r="C262" t="str">
            <v>Rosée de jade 玉露</v>
          </cell>
          <cell r="D262" t="str">
            <v>Jade Dew</v>
          </cell>
          <cell r="E262" t="str">
            <v>玉露</v>
          </cell>
          <cell r="F262" t="str">
            <v>Singel Estate Organic Mingqian Green Tea</v>
          </cell>
          <cell r="G262" t="str">
            <v>Ingredient: green tea*. *From organic farming.</v>
          </cell>
          <cell r="H262" t="str">
            <v>/</v>
          </cell>
          <cell r="I262" t="str">
            <v>As a certified member of the World Fair Trade Organization, Les Jardins de Gaïa is committed to fairer trade and meets the requirements of fair trade. For more information: www.wfto.com.</v>
          </cell>
          <cell r="J262" t="str">
            <v>Loose leaf tea</v>
          </cell>
          <cell r="K262" t="str">
            <v>Several infusions</v>
          </cell>
          <cell r="L262"/>
        </row>
        <row r="263">
          <cell r="A263" t="str">
            <v>TV1346</v>
          </cell>
          <cell r="B263" t="str">
            <v>Jade Dew</v>
          </cell>
          <cell r="C263" t="str">
            <v>Rosée de jade 玉露</v>
          </cell>
          <cell r="D263" t="str">
            <v>Jade Dew</v>
          </cell>
          <cell r="E263" t="str">
            <v>玉露</v>
          </cell>
          <cell r="F263" t="str">
            <v>Singel Estate Organic Mingqian Green Tea</v>
          </cell>
          <cell r="G263" t="str">
            <v>Ingredient: green tea*. *From organic farming.</v>
          </cell>
          <cell r="H263" t="str">
            <v>/</v>
          </cell>
          <cell r="I263" t="str">
            <v>As a certified member of the World Fair Trade Organization, Les Jardins de Gaïa is committed to fairer trade and meets the requirements of fair trade. For more information: www.wfto.com.</v>
          </cell>
          <cell r="J263" t="str">
            <v>Loose leaf tea</v>
          </cell>
          <cell r="K263" t="str">
            <v>Several infusions</v>
          </cell>
          <cell r="L263"/>
        </row>
        <row r="264">
          <cell r="A264" t="str">
            <v>TV1346R</v>
          </cell>
          <cell r="B264" t="str">
            <v>Jade Dew</v>
          </cell>
          <cell r="C264" t="str">
            <v>Rosée de jade 玉露</v>
          </cell>
          <cell r="D264" t="str">
            <v>Jade Dew</v>
          </cell>
          <cell r="E264" t="str">
            <v>玉露</v>
          </cell>
          <cell r="F264" t="str">
            <v>Singel Estate Organic Mingqian Green Tea</v>
          </cell>
          <cell r="G264" t="str">
            <v>Ingredient: green tea*. *From organic farming.</v>
          </cell>
          <cell r="H264" t="str">
            <v>/</v>
          </cell>
          <cell r="I264" t="str">
            <v>As a certified member of the World Fair Trade Organization, Les Jardins de Gaïa is committed to fairer trade and meets the requirements of fair trade. For more information: www.wfto.com.</v>
          </cell>
          <cell r="J264" t="str">
            <v>Loose leaf tea</v>
          </cell>
          <cell r="K264" t="str">
            <v>Several infusions</v>
          </cell>
          <cell r="L264"/>
        </row>
        <row r="265">
          <cell r="A265" t="str">
            <v>TO1132</v>
          </cell>
          <cell r="B265" t="str">
            <v>Jade Wu Long</v>
          </cell>
          <cell r="C265" t="str">
            <v>绿玉乌龙</v>
          </cell>
          <cell r="D265" t="str">
            <v>Jade Wu Long</v>
          </cell>
          <cell r="E265" t="str">
            <v>绿玉乌龙</v>
          </cell>
          <cell r="F265" t="str">
            <v>Organic Original Wu Long Tea</v>
          </cell>
          <cell r="G265" t="str">
            <v>Ingredient: wu long tea*. *From organic farming.</v>
          </cell>
          <cell r="H265" t="str">
            <v>/</v>
          </cell>
          <cell r="I265" t="str">
            <v>As a certified member of the World Fair Trade Organization, Les Jardins de Gaïa is committed to fairer trade and meets the requirements of fair trade. For more information: www.wfto.com.</v>
          </cell>
          <cell r="J265" t="str">
            <v>Loose leaf tea</v>
          </cell>
          <cell r="K265" t="str">
            <v>/</v>
          </cell>
          <cell r="L265"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266">
          <cell r="A266" t="str">
            <v>TM6892</v>
          </cell>
          <cell r="B266" t="str">
            <v>Jardin d'épices</v>
          </cell>
          <cell r="C266" t="str">
            <v>Digestion
Cumin - Fenouil - Anis - Menthe douce</v>
          </cell>
          <cell r="D266" t="str">
            <v>Spice Garden</v>
          </cell>
          <cell r="E266" t="str">
            <v>Digestive 
Cumin - Fennel - Anise - Spearmint</v>
          </cell>
          <cell r="F266" t="str">
            <v>Organic Perfumed Green Tea</v>
          </cell>
          <cell r="G266" t="str">
            <v xml:space="preserve">Ingredients: green tea*, spices (fennel*, anise*, cumin*, spearmint* =&gt; la menthe n'est pas une épice, coriander*) 40%. *From organic farming. </v>
          </cell>
          <cell r="H266"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266" t="str">
            <v>As a certified member of the World Fair Trade Organization, Les Jardins de Gaïa is committed to fairer trade and meets the requirements of fair trade. For more information: www.wfto.com.</v>
          </cell>
          <cell r="J266" t="str">
            <v>Loose leaf tea</v>
          </cell>
          <cell r="K266" t="str">
            <v>/</v>
          </cell>
          <cell r="L266"/>
        </row>
        <row r="267">
          <cell r="A267" t="str">
            <v>TH5111</v>
          </cell>
          <cell r="B267" t="str">
            <v>Jardin enchanté</v>
          </cell>
          <cell r="C267" t="str">
            <v>/</v>
          </cell>
          <cell r="D267" t="str">
            <v>Secret Garden</v>
          </cell>
          <cell r="E267" t="str">
            <v>/</v>
          </cell>
          <cell r="F267" t="str">
            <v>Organic Herbal Tea Infusion</v>
          </cell>
          <cell r="G267" t="str">
            <v xml:space="preserve">Ingredients: apple mint* (Mentha rotundifolia), sunflower leaves* (Helianthus annuus - Folium), marigold petals* (Calendula officinalis), sunflower petals* (Helianthus annuus - Flores Folia), oregano* (Origanum vulgare - Flos), chamomile* (Matricaria chamomilla), cornflower petals* (Centaurea cyanus), rose petals* (Rosa damascena), lilac flowers* (Syringa vulgaris). *From organic farming. </v>
          </cell>
          <cell r="H267" t="str">
            <v>/</v>
          </cell>
          <cell r="I267" t="str">
            <v>/</v>
          </cell>
          <cell r="J267" t="str">
            <v>Loose Infusion</v>
          </cell>
          <cell r="K267" t="str">
            <v>/</v>
          </cell>
          <cell r="L267" t="str">
            <v>/</v>
          </cell>
        </row>
        <row r="268">
          <cell r="A268" t="str">
            <v>TH511</v>
          </cell>
          <cell r="B268" t="str">
            <v>Jardin enchanté</v>
          </cell>
          <cell r="C268" t="str">
            <v>/</v>
          </cell>
          <cell r="D268" t="str">
            <v>Secret Garden</v>
          </cell>
          <cell r="E268" t="str">
            <v>/</v>
          </cell>
          <cell r="F268" t="str">
            <v>Organic Herbal Tea Infusion</v>
          </cell>
          <cell r="G268" t="str">
            <v xml:space="preserve">Ingredients: apple mint* (Mentha rotundifolia), sunflower leaves* (Helianthus annuus - Folium), marigold petals* (Calendula officinalis), sunflower petals* (Helianthus annuus - Flores Folia), oregano* (Origanum vulgare - Flos), chamomile* (Matricaria chamomilla), cornflower petals* (Centaurea cyanus), rose petals* (Rosa damascena), lilac flowers* (Syringa vulgaris). *From organic farming. </v>
          </cell>
          <cell r="H268" t="str">
            <v>/</v>
          </cell>
          <cell r="I268" t="str">
            <v>/</v>
          </cell>
          <cell r="J268" t="str">
            <v>Loose Infusion</v>
          </cell>
          <cell r="K268" t="str">
            <v>/</v>
          </cell>
          <cell r="L268" t="str">
            <v>/</v>
          </cell>
        </row>
        <row r="269">
          <cell r="A269" t="str">
            <v>TA6212</v>
          </cell>
          <cell r="B269" t="str">
            <v>Jardin sous la lune</v>
          </cell>
          <cell r="C269" t="str">
            <v>Tulsi - Cardamome</v>
          </cell>
          <cell r="D269" t="str">
            <v>A Garden under the Moon</v>
          </cell>
          <cell r="E269" t="str">
            <v>Tulsi - Cardamom</v>
          </cell>
          <cell r="F269" t="str">
            <v>Organic Perfumed Green Tea</v>
          </cell>
          <cell r="G269" t="str">
            <v>Ingredients: green tea**, mandarin peels**, tulsi* 10%, cardamom* 9%, amaranth*. *From organic farming. **From organic and biodynamic farming. demeter is the brand for products from biodynamic agriculture.</v>
          </cell>
          <cell r="H269" t="str">
            <v>/</v>
          </cell>
          <cell r="I269" t="str">
            <v>As a certified member of the World Fair Trade Organization, Les Jardins de Gaïa is committed to fairer trade and meets the requirements of fair trade. For more information: www.wfto.com.</v>
          </cell>
          <cell r="J269" t="str">
            <v>Leaf Tea</v>
          </cell>
          <cell r="K269" t="str">
            <v>/</v>
          </cell>
          <cell r="L269" t="str">
            <v>/</v>
          </cell>
        </row>
        <row r="270">
          <cell r="A270" t="str">
            <v>TUTA6212</v>
          </cell>
          <cell r="B270" t="str">
            <v>Jardin sous la lune</v>
          </cell>
          <cell r="C270" t="str">
            <v>Tulsi - Cardamome</v>
          </cell>
          <cell r="D270" t="str">
            <v>A Garden under the Moon</v>
          </cell>
          <cell r="E270" t="str">
            <v>Tulsi - Cardamom</v>
          </cell>
          <cell r="F270" t="str">
            <v>Organic Perfumed Green Tea</v>
          </cell>
          <cell r="G270" t="str">
            <v>Ingredients: green tea**, mandarin peels**, tulsi* 10%, cardamom* 9%, amaranth*. *From organic farming. **From organic and biodynamic farming. demeter is the brand for products from biodynamic agriculture.</v>
          </cell>
          <cell r="H270" t="str">
            <v>/</v>
          </cell>
          <cell r="I270" t="str">
            <v>As a certified member of the World Fair Trade Organization, Les Jardins de Gaïa is committed to fairer trade and meets the requirements of fair trade. For more information: www.wfto.com.</v>
          </cell>
          <cell r="J270" t="str">
            <v>Leaf Tea</v>
          </cell>
          <cell r="K270" t="str">
            <v>/</v>
          </cell>
          <cell r="L270" t="str">
            <v>/</v>
          </cell>
        </row>
        <row r="271">
          <cell r="A271" t="str">
            <v>TV7362</v>
          </cell>
          <cell r="B271" t="str">
            <v>Jasmine Flowers</v>
          </cell>
          <cell r="C271" t="str">
            <v>Moli Hua Cha</v>
          </cell>
          <cell r="D271" t="str">
            <v>Jasmine Flowers</v>
          </cell>
          <cell r="E271" t="str">
            <v>Moli Hua Cha</v>
          </cell>
          <cell r="F271" t="str">
            <v>Organic Original Scented Green Tea</v>
          </cell>
          <cell r="G271" t="str">
            <v xml:space="preserve">Ingredient: jasmine green tea*. *From organic farming. </v>
          </cell>
          <cell r="H271" t="str">
            <v>/</v>
          </cell>
          <cell r="I271" t="str">
            <v>As a certified member of the World Fair Trade Organization, Les Jardins de Gaïa is committed to fairer trade and meets the requirements of fair trade. For more information: www.wfto.com.</v>
          </cell>
          <cell r="J271" t="str">
            <v>Loose leaf tea</v>
          </cell>
          <cell r="K271" t="str">
            <v>/</v>
          </cell>
          <cell r="L271"/>
        </row>
        <row r="272">
          <cell r="A272" t="str">
            <v>TUTV7362</v>
          </cell>
          <cell r="B272" t="str">
            <v>Jasmine Flowers</v>
          </cell>
          <cell r="C272" t="str">
            <v>Moli Hua Cha</v>
          </cell>
          <cell r="D272" t="str">
            <v>Jasmine Flowers</v>
          </cell>
          <cell r="E272" t="str">
            <v>Moli Hua Cha</v>
          </cell>
          <cell r="F272" t="str">
            <v>Organic Original Scented Green Tea</v>
          </cell>
          <cell r="G272" t="str">
            <v xml:space="preserve">Ingredient: jasmine green tea*. *From organic farming. </v>
          </cell>
          <cell r="H272" t="str">
            <v>/</v>
          </cell>
          <cell r="I272" t="str">
            <v>As a certified member of the World Fair Trade Organization, Les Jardins de Gaïa is committed to fairer trade and meets the requirements of fair trade. For more information: www.wfto.com.</v>
          </cell>
          <cell r="J272" t="str">
            <v>Loose leaf tea</v>
          </cell>
          <cell r="K272" t="str">
            <v>/</v>
          </cell>
          <cell r="L272"/>
        </row>
        <row r="273">
          <cell r="A273" t="str">
            <v>TN4642</v>
          </cell>
          <cell r="B273" t="str">
            <v>Jasmine Golden Pearls</v>
          </cell>
          <cell r="C273" t="str">
            <v>Perles de jasmin
Mo Li Jin Zhu Cha 茉莉绣球</v>
          </cell>
          <cell r="D273" t="str">
            <v>Jasmine Golden Pearls</v>
          </cell>
          <cell r="E273" t="str">
            <v>Mo Li Jin Zhu Cha 茉莉绣球</v>
          </cell>
          <cell r="F273" t="str">
            <v>Organic Original Black Tea</v>
          </cell>
          <cell r="G273" t="str">
            <v>Ingredient: jasmine black tea*. *From organic farming.</v>
          </cell>
          <cell r="H273" t="str">
            <v>/</v>
          </cell>
          <cell r="I273"/>
          <cell r="J273" t="str">
            <v>Loose leaf tea</v>
          </cell>
          <cell r="K273" t="str">
            <v>/</v>
          </cell>
          <cell r="L273"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274">
          <cell r="A274" t="str">
            <v>TV7352</v>
          </cell>
          <cell r="B274" t="str">
            <v>Jasmine Mao Feng</v>
          </cell>
          <cell r="C274" t="str">
            <v>Cimes duveteuses
Mo Li Mao Feng Cha 茉莉毛峰茶</v>
          </cell>
          <cell r="D274" t="str">
            <v>Jasmine Mao Feng</v>
          </cell>
          <cell r="E274" t="str">
            <v>Downy peaks
Mo Li Mao Feng Cha 茉莉毛峰茶</v>
          </cell>
          <cell r="F274" t="str">
            <v>Organic Scented Green Tea</v>
          </cell>
          <cell r="G274" t="str">
            <v>Ingredient: jasmine green tea*. *From organic farming.</v>
          </cell>
          <cell r="H274" t="str">
            <v>/</v>
          </cell>
          <cell r="I274" t="str">
            <v>/</v>
          </cell>
          <cell r="J274" t="str">
            <v>Loose leaf tea</v>
          </cell>
          <cell r="K274" t="str">
            <v>/</v>
          </cell>
          <cell r="L274"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275">
          <cell r="A275" t="str">
            <v>TV7356</v>
          </cell>
          <cell r="B275" t="str">
            <v>Jasmine Mao Feng</v>
          </cell>
          <cell r="C275" t="str">
            <v>Cimes duveteuses
Mo Li Mao Feng Cha 茉莉毛峰茶</v>
          </cell>
          <cell r="D275" t="str">
            <v>Jasmine Mao Feng</v>
          </cell>
          <cell r="E275" t="str">
            <v>Downy peaks
Mo Li Mao Feng Cha 茉莉毛峰茶</v>
          </cell>
          <cell r="F275" t="str">
            <v>Organic Scented Green Tea</v>
          </cell>
          <cell r="G275" t="str">
            <v>Ingredient: jasmine green tea*. *From organic farming.</v>
          </cell>
          <cell r="H275" t="str">
            <v>/</v>
          </cell>
          <cell r="I275" t="str">
            <v>/</v>
          </cell>
          <cell r="J275" t="str">
            <v>Loose leaf tea</v>
          </cell>
          <cell r="K275" t="str">
            <v>/</v>
          </cell>
          <cell r="L275"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276">
          <cell r="A276" t="str">
            <v>TB8145</v>
          </cell>
          <cell r="B276" t="str">
            <v>Jasmine Phoenix Dragon Pearls</v>
          </cell>
          <cell r="C276" t="str">
            <v>Perles de jasmin 茉莉龙凤珠</v>
          </cell>
          <cell r="D276" t="str">
            <v>Jasmine Phoenix Dragon Pearls</v>
          </cell>
          <cell r="E276" t="str">
            <v>Jasmine pearls 茉莉龙凤珠</v>
          </cell>
          <cell r="F276" t="str">
            <v>Organic Original Perfumed White Tea</v>
          </cell>
          <cell r="G276" t="str">
            <v>Ingredient: jasmine white tea*. *From organic farming.</v>
          </cell>
          <cell r="H276" t="str">
            <v>/</v>
          </cell>
          <cell r="I276" t="str">
            <v>/</v>
          </cell>
          <cell r="J276" t="str">
            <v>Loose leaf tea</v>
          </cell>
          <cell r="K276" t="str">
            <v>Several infusions</v>
          </cell>
          <cell r="L276"/>
        </row>
        <row r="277">
          <cell r="A277" t="str">
            <v>TB8142</v>
          </cell>
          <cell r="B277" t="str">
            <v>Jasmine Phoenix Dragon Pearls</v>
          </cell>
          <cell r="C277" t="str">
            <v>Perles de jasmin 茉莉龙凤珠</v>
          </cell>
          <cell r="D277" t="str">
            <v>Jasmine Phoenix Dragon Pearls</v>
          </cell>
          <cell r="E277" t="str">
            <v>Jasmine pearls 茉莉龙凤珠</v>
          </cell>
          <cell r="F277" t="str">
            <v>Organic Original Perfumed White Tea</v>
          </cell>
          <cell r="G277" t="str">
            <v>Ingredient: jasmine white tea*. *From organic farming.</v>
          </cell>
          <cell r="H277" t="str">
            <v>/</v>
          </cell>
          <cell r="I277" t="str">
            <v>/</v>
          </cell>
          <cell r="J277" t="str">
            <v>Loose leaf tea</v>
          </cell>
          <cell r="K277" t="str">
            <v>Several infusions</v>
          </cell>
          <cell r="L277"/>
        </row>
        <row r="278">
          <cell r="A278" t="str">
            <v>TB8142R</v>
          </cell>
          <cell r="B278" t="str">
            <v>Jasmine Phoenix Dragon Pearls</v>
          </cell>
          <cell r="C278" t="str">
            <v>Perles de jasmin 茉莉龙凤珠</v>
          </cell>
          <cell r="D278" t="str">
            <v>Jasmine Phoenix Dragon Pearls</v>
          </cell>
          <cell r="E278" t="str">
            <v>Jasmine pearls 茉莉龙凤珠</v>
          </cell>
          <cell r="F278" t="str">
            <v>Organic Original Perfumed White Tea</v>
          </cell>
          <cell r="G278" t="str">
            <v>Ingredient: jasmine white tea*. *From organic farming.</v>
          </cell>
          <cell r="H278" t="str">
            <v>/</v>
          </cell>
          <cell r="I278" t="str">
            <v>/</v>
          </cell>
          <cell r="J278" t="str">
            <v>Loose leaf tea</v>
          </cell>
          <cell r="K278" t="str">
            <v>Several infusions</v>
          </cell>
          <cell r="L278"/>
        </row>
        <row r="279">
          <cell r="A279" t="str">
            <v>TA3882</v>
          </cell>
          <cell r="B279" t="str">
            <v>Jasmine Spice</v>
          </cell>
          <cell r="C279" t="str">
            <v>Thé vert au jasmin – Épices - Amande</v>
          </cell>
          <cell r="D279" t="str">
            <v>Jasmine Spice</v>
          </cell>
          <cell r="E279" t="str">
            <v>Jasmine green tea - Spices - Almond</v>
          </cell>
          <cell r="F279" t="str">
            <v>Organic Flavoured Blended Teas</v>
          </cell>
          <cell r="G279" t="str">
            <v>Ingredients: black tea*, jasmine green tea* 32%, fruit pieces (orange*, apple*, rosehip*), spices (cinnamon*, ginger*, cloves*) 1,7%, hibiscus*, orange essential oil*, cinnamon extract* 0.5%, flaked almonds* 0,5%, natural almond* flavouring 4%. *From organic farming.</v>
          </cell>
          <cell r="H279" t="str">
            <v>/</v>
          </cell>
          <cell r="I279" t="str">
            <v>As a certified member of the World Fair Trade Organization, Les Jardins de Gaïa is committed to fairer trade and meets the requirements of fair trade. For more information: www.wfto.com.</v>
          </cell>
          <cell r="J279" t="str">
            <v>Loose leaf tea</v>
          </cell>
          <cell r="K279" t="str">
            <v>/</v>
          </cell>
          <cell r="L279"/>
        </row>
        <row r="280">
          <cell r="A280" t="str">
            <v>TA7162</v>
          </cell>
          <cell r="B280" t="str">
            <v>Je l'appelle Cannelle</v>
          </cell>
          <cell r="C280" t="str">
            <v>Thé noir à la cannelle</v>
          </cell>
          <cell r="D280" t="str">
            <v>Sweet Beauty</v>
          </cell>
          <cell r="E280" t="str">
            <v>Black tea with cinnamon</v>
          </cell>
          <cell r="F280" t="str">
            <v>Organic Perfumed Black Tea</v>
          </cell>
          <cell r="G280" t="str">
            <v xml:space="preserve">Ingredients: black tea*, cinnamon* 24%, cinnamon leaves*. *From organic farming. </v>
          </cell>
          <cell r="H280" t="str">
            <v>/</v>
          </cell>
          <cell r="I280" t="str">
            <v>As a certified member of the World Fair Trade Organization, Les Jardins de Gaïa is committed to fairer trade and meets the requirements of fair trade. For more information: www.wfto.com.</v>
          </cell>
          <cell r="J280" t="str">
            <v>Loose leaf tea</v>
          </cell>
          <cell r="K280" t="str">
            <v>/</v>
          </cell>
          <cell r="L280"/>
        </row>
        <row r="281">
          <cell r="A281" t="str">
            <v>TJ2004</v>
          </cell>
          <cell r="B281" t="str">
            <v>Kabuse Bancha</v>
          </cell>
          <cell r="C281" t="str">
            <v>Thé vert de pénombre</v>
          </cell>
          <cell r="D281" t="str">
            <v>Kabuse Bancha</v>
          </cell>
          <cell r="E281" t="str">
            <v>Half-shaded green tea</v>
          </cell>
          <cell r="F281" t="str">
            <v>Organic Original Green Tea</v>
          </cell>
          <cell r="G281" t="str">
            <v>Ingredient: green tea*. *From organic farming.</v>
          </cell>
          <cell r="H281" t="str">
            <v>/</v>
          </cell>
          <cell r="I281" t="str">
            <v>/</v>
          </cell>
          <cell r="J281" t="str">
            <v>Loose leaf tea</v>
          </cell>
          <cell r="K281" t="str">
            <v>Several infusions</v>
          </cell>
          <cell r="L281"/>
        </row>
        <row r="282">
          <cell r="A282" t="str">
            <v>TJ3034</v>
          </cell>
          <cell r="B282" t="str">
            <v>Kabuse Genmaicha + matcha</v>
          </cell>
          <cell r="C282" t="str">
            <v>Thé vert au riz grillé &amp; Matcha</v>
          </cell>
          <cell r="D282" t="str">
            <v>Kabuse Genmaicha + matcha</v>
          </cell>
          <cell r="E282" t="str">
            <v>Green tea with roasted rice &amp; Matcha</v>
          </cell>
          <cell r="F282" t="str">
            <v>Organic Original Green Tea</v>
          </cell>
          <cell r="G282" t="str">
            <v>Ingredients: green tea*, roasted rice*, matcha* 3%. *From organic farming.</v>
          </cell>
          <cell r="H282" t="str">
            <v>/</v>
          </cell>
          <cell r="I282" t="str">
            <v>/</v>
          </cell>
          <cell r="J282" t="str">
            <v>Loose leaf tea</v>
          </cell>
          <cell r="K282" t="str">
            <v>Several infusions</v>
          </cell>
          <cell r="L282"/>
        </row>
        <row r="283">
          <cell r="A283" t="str">
            <v>TJ1084</v>
          </cell>
          <cell r="B283" t="str">
            <v>Kabuse Hojicha</v>
          </cell>
          <cell r="C283" t="str">
            <v>Thé vert de pénombre grillé</v>
          </cell>
          <cell r="D283" t="str">
            <v>Kabuse Hojicha</v>
          </cell>
          <cell r="E283" t="str">
            <v>Roasted half-shaded green tea</v>
          </cell>
          <cell r="F283" t="str">
            <v>Organic Original Green Tea</v>
          </cell>
          <cell r="G283" t="str">
            <v>Ingredient: green tea*. *From organic farming.</v>
          </cell>
          <cell r="H283" t="str">
            <v>/</v>
          </cell>
          <cell r="I283" t="str">
            <v>/</v>
          </cell>
          <cell r="J283" t="str">
            <v>Loose leaf tea</v>
          </cell>
          <cell r="K283" t="str">
            <v>Several infusions</v>
          </cell>
          <cell r="L283"/>
        </row>
        <row r="284">
          <cell r="A284" t="str">
            <v>IF306</v>
          </cell>
          <cell r="B284" t="str">
            <v>Kabuse Konacha</v>
          </cell>
          <cell r="C284" t="str">
            <v>Thé vert de pénombre</v>
          </cell>
          <cell r="D284" t="str">
            <v>Kabuse Konacha</v>
          </cell>
          <cell r="E284" t="str">
            <v>Half-shaded green tea</v>
          </cell>
          <cell r="F284" t="str">
            <v>Organic Original Green Tea</v>
          </cell>
          <cell r="G284" t="str">
            <v>Ingredient: green tea*. *From organic farming.</v>
          </cell>
          <cell r="H284" t="str">
            <v>/</v>
          </cell>
          <cell r="I284" t="str">
            <v>/</v>
          </cell>
          <cell r="J284" t="str">
            <v>Teabags</v>
          </cell>
          <cell r="K284" t="str">
            <v>/</v>
          </cell>
          <cell r="L284"/>
        </row>
        <row r="285">
          <cell r="A285" t="str">
            <v>TJ1074</v>
          </cell>
          <cell r="B285" t="str">
            <v>Kabuse Kukicha</v>
          </cell>
          <cell r="C285" t="str">
            <v>Thé vert de pénombre</v>
          </cell>
          <cell r="D285" t="str">
            <v>Kabuse Kukicha</v>
          </cell>
          <cell r="E285" t="str">
            <v>Half-shaded green tea</v>
          </cell>
          <cell r="F285" t="str">
            <v>Organic Original Green Tea</v>
          </cell>
          <cell r="G285" t="str">
            <v>Ingredient: green tea*. *From organic farming.</v>
          </cell>
          <cell r="H285" t="str">
            <v>/</v>
          </cell>
          <cell r="I285" t="str">
            <v>/</v>
          </cell>
          <cell r="J285" t="str">
            <v>Loose leaf tea</v>
          </cell>
          <cell r="K285" t="str">
            <v>Several infusions</v>
          </cell>
          <cell r="L285"/>
        </row>
        <row r="286">
          <cell r="A286" t="str">
            <v>TJ1014</v>
          </cell>
          <cell r="B286" t="str">
            <v>Kabuse No.1</v>
          </cell>
          <cell r="C286" t="str">
            <v>Thé vert de pénombre</v>
          </cell>
          <cell r="D286" t="str">
            <v>Kabuse No.1</v>
          </cell>
          <cell r="E286" t="str">
            <v>Half-shaded green tea</v>
          </cell>
          <cell r="F286" t="str">
            <v>Organic Original Green Tea</v>
          </cell>
          <cell r="G286" t="str">
            <v>Ingredient: green tea*. *From organic farming.</v>
          </cell>
          <cell r="H286" t="str">
            <v>/</v>
          </cell>
          <cell r="I286" t="str">
            <v>/</v>
          </cell>
          <cell r="J286" t="str">
            <v>Loose leaf tea</v>
          </cell>
          <cell r="K286" t="str">
            <v>Several infusions</v>
          </cell>
          <cell r="L286"/>
        </row>
        <row r="287">
          <cell r="A287" t="str">
            <v>TJ1024</v>
          </cell>
          <cell r="B287" t="str">
            <v>Kabuse No.2</v>
          </cell>
          <cell r="C287" t="str">
            <v>Thé vert de pénombre</v>
          </cell>
          <cell r="D287" t="str">
            <v>Kabuse No.2</v>
          </cell>
          <cell r="E287" t="str">
            <v>Half-shaded green tea</v>
          </cell>
          <cell r="F287" t="str">
            <v>Organic Original Green Tea</v>
          </cell>
          <cell r="G287" t="str">
            <v>Ingredient: green tea*. *From organic farming.</v>
          </cell>
          <cell r="H287" t="str">
            <v>/</v>
          </cell>
          <cell r="I287" t="str">
            <v>/</v>
          </cell>
          <cell r="J287" t="str">
            <v>Loose leaf tea</v>
          </cell>
          <cell r="K287" t="str">
            <v>Several infusions</v>
          </cell>
          <cell r="L287"/>
        </row>
        <row r="288">
          <cell r="A288" t="str">
            <v>TJ1004</v>
          </cell>
          <cell r="B288" t="str">
            <v>Kabuse Soshun</v>
          </cell>
          <cell r="C288" t="str">
            <v>Thé vert de pénombre</v>
          </cell>
          <cell r="D288" t="str">
            <v>Kabuse Soshun</v>
          </cell>
          <cell r="E288" t="str">
            <v>Half-shaded green tea</v>
          </cell>
          <cell r="F288" t="str">
            <v>Organic Original Green Tea</v>
          </cell>
          <cell r="G288" t="str">
            <v>Ingredient: green tea*. *From organic farming.</v>
          </cell>
          <cell r="H288" t="str">
            <v>/</v>
          </cell>
          <cell r="I288" t="str">
            <v>/</v>
          </cell>
          <cell r="J288" t="str">
            <v>Loose leaf tea</v>
          </cell>
          <cell r="K288" t="str">
            <v>Several infusions</v>
          </cell>
          <cell r="L288"/>
        </row>
        <row r="289">
          <cell r="A289" t="str">
            <v>TJ1054</v>
          </cell>
          <cell r="B289" t="str">
            <v>Kabuse Tenbu Fuka</v>
          </cell>
          <cell r="C289" t="str">
            <v>Thé vert de pénombre</v>
          </cell>
          <cell r="D289" t="str">
            <v>Kabuse Tenbu Fuka</v>
          </cell>
          <cell r="E289" t="str">
            <v>Half-shaded green tea</v>
          </cell>
          <cell r="F289" t="str">
            <v>Organic Original Green Tea</v>
          </cell>
          <cell r="G289" t="str">
            <v>Ingredient: green tea*. *From organic farming.</v>
          </cell>
          <cell r="H289" t="str">
            <v>/</v>
          </cell>
          <cell r="I289" t="str">
            <v>/</v>
          </cell>
          <cell r="J289" t="str">
            <v>Loose leaf tea</v>
          </cell>
          <cell r="K289" t="str">
            <v>Several infusions</v>
          </cell>
          <cell r="L289"/>
        </row>
        <row r="290">
          <cell r="A290" t="str">
            <v>TJ1044</v>
          </cell>
          <cell r="B290" t="str">
            <v>Kabuse Tenko</v>
          </cell>
          <cell r="C290" t="str">
            <v>Thé vert de pénombre</v>
          </cell>
          <cell r="D290" t="str">
            <v>Kabuse Tenko</v>
          </cell>
          <cell r="E290" t="str">
            <v>Half-shaded green tea</v>
          </cell>
          <cell r="F290" t="str">
            <v>Organic Original Green Tea</v>
          </cell>
          <cell r="G290" t="str">
            <v>Ingredient: green tea*. *From organic farming.</v>
          </cell>
          <cell r="H290" t="str">
            <v>/</v>
          </cell>
          <cell r="I290" t="str">
            <v>/</v>
          </cell>
          <cell r="J290" t="str">
            <v>Loose leaf tea</v>
          </cell>
          <cell r="K290" t="str">
            <v>Several infusions</v>
          </cell>
          <cell r="L290"/>
        </row>
        <row r="291">
          <cell r="A291" t="str">
            <v>TN4032</v>
          </cell>
          <cell r="B291" t="str">
            <v xml:space="preserve">Keemun </v>
          </cell>
          <cell r="C291" t="str">
            <v>OP</v>
          </cell>
          <cell r="D291" t="str">
            <v xml:space="preserve">Keemun </v>
          </cell>
          <cell r="E291" t="str">
            <v>OP</v>
          </cell>
          <cell r="F291" t="str">
            <v>Organic Original Black Tea</v>
          </cell>
          <cell r="G291" t="str">
            <v xml:space="preserve">Ingredient: black tea*. *From organic farming. </v>
          </cell>
          <cell r="H291" t="str">
            <v>/</v>
          </cell>
          <cell r="I291" t="str">
            <v>As a certified member of the World Fair Trade Organization, Les Jardins de Gaïa is committed to fairer trade and meets the requirements of fair trade. For more information: www.wfto.com.</v>
          </cell>
          <cell r="J291" t="str">
            <v>Loose leaf tea</v>
          </cell>
          <cell r="K291" t="str">
            <v>/</v>
          </cell>
          <cell r="L291"/>
        </row>
        <row r="292">
          <cell r="A292" t="str">
            <v>TN5202</v>
          </cell>
          <cell r="B292" t="str">
            <v>Kerala's wonder</v>
          </cell>
          <cell r="C292" t="str">
            <v>TGFOP</v>
          </cell>
          <cell r="D292" t="str">
            <v>Kerala's wonder</v>
          </cell>
          <cell r="E292" t="str">
            <v>TGFOP</v>
          </cell>
          <cell r="F292" t="str">
            <v>Organic Original Black Tea</v>
          </cell>
          <cell r="G292" t="str">
            <v>Ingredient: black tea*. *From organic farming.</v>
          </cell>
          <cell r="H292" t="str">
            <v>/</v>
          </cell>
          <cell r="I292" t="str">
            <v>As a certified member of the World Fair Trade Organization, Les Jardins de Gaïa is committed to fairer trade and meets the requirements of fair trade. For more information: www.wfto.com.</v>
          </cell>
          <cell r="J292" t="str">
            <v>Loose leaf tea</v>
          </cell>
          <cell r="K292" t="str">
            <v>/</v>
          </cell>
          <cell r="L292"/>
        </row>
        <row r="293">
          <cell r="A293" t="str">
            <v>TH5061</v>
          </cell>
          <cell r="B293" t="str">
            <v>Kids Infusion</v>
          </cell>
          <cell r="C293" t="str">
            <v>/</v>
          </cell>
          <cell r="D293" t="str">
            <v>Kids Infusion</v>
          </cell>
          <cell r="E293" t="str">
            <v>/</v>
          </cell>
          <cell r="F293" t="str">
            <v>Organic Herbal Tea Infusion</v>
          </cell>
          <cell r="G293" t="str">
            <v>Ingredients: anise hyssop* (Agastache foeniculum), lemon balm* (Melissa officinalis), mallow petals* (Malva sylvestris), raspberry leaves* (Rubus idaeus), linden flowers* (Tiliae flos), cornflower petals* (Centaurea cyanus), monarda* (Monarda didyma). *From organic farming.</v>
          </cell>
          <cell r="H293" t="str">
            <v>/</v>
          </cell>
          <cell r="I293" t="str">
            <v>/</v>
          </cell>
          <cell r="J293" t="str">
            <v>Loose Infusion</v>
          </cell>
          <cell r="K293" t="str">
            <v>/</v>
          </cell>
          <cell r="L293" t="str">
            <v>/</v>
          </cell>
        </row>
        <row r="294">
          <cell r="A294" t="str">
            <v>TH506</v>
          </cell>
          <cell r="B294" t="str">
            <v>Kids Infusion</v>
          </cell>
          <cell r="C294" t="str">
            <v>/</v>
          </cell>
          <cell r="D294" t="str">
            <v>Kids Infusion</v>
          </cell>
          <cell r="E294" t="str">
            <v>/</v>
          </cell>
          <cell r="F294" t="str">
            <v>Organic Herbal Tea Infusion</v>
          </cell>
          <cell r="G294" t="str">
            <v>Ingredients: anise hyssop* (Agastache foeniculum), lemon balm* (Melissa officinalis), mallow petals* (Malva sylvestris), raspberry leaves* (Rubus idaeus), linden flowers* (Tiliae flos), cornflower petals* (Centaurea cyanus), monarda* (Monarda didyma). *From organic farming.</v>
          </cell>
          <cell r="H294" t="str">
            <v>/</v>
          </cell>
          <cell r="I294" t="str">
            <v>/</v>
          </cell>
          <cell r="J294" t="str">
            <v>Loose Infusion</v>
          </cell>
          <cell r="K294" t="str">
            <v>/</v>
          </cell>
          <cell r="L294" t="str">
            <v>/</v>
          </cell>
        </row>
        <row r="295">
          <cell r="A295" t="str">
            <v>TJ2252</v>
          </cell>
          <cell r="B295" t="str">
            <v>Kuki Hojicha</v>
          </cell>
          <cell r="C295" t="str">
            <v>Thé vert torréfié</v>
          </cell>
          <cell r="D295" t="str">
            <v>Kuki Hojicha</v>
          </cell>
          <cell r="E295" t="str">
            <v>Roasted green tea</v>
          </cell>
          <cell r="F295" t="str">
            <v>Organic Original Green Tea</v>
          </cell>
          <cell r="G295" t="str">
            <v>Ingredient: green tea*. *From organic farming.</v>
          </cell>
          <cell r="H295" t="str">
            <v>/</v>
          </cell>
          <cell r="I295" t="str">
            <v>/</v>
          </cell>
          <cell r="J295" t="str">
            <v>Loose leaf tea</v>
          </cell>
          <cell r="K295" t="str">
            <v>Several infusions</v>
          </cell>
          <cell r="L295"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296">
          <cell r="A296" t="str">
            <v>TV1272</v>
          </cell>
          <cell r="B296" t="str">
            <v>Kukicha Sud-Coréen</v>
          </cell>
          <cell r="C296" t="str">
            <v>/</v>
          </cell>
          <cell r="D296" t="str">
            <v>South Korean Kukicha</v>
          </cell>
          <cell r="E296" t="str">
            <v>/</v>
          </cell>
          <cell r="F296" t="str">
            <v>Organic Original Green Tea</v>
          </cell>
          <cell r="G296" t="str">
            <v>Ingredient: green tea*. *From organic farming.</v>
          </cell>
          <cell r="H296" t="str">
            <v>/</v>
          </cell>
          <cell r="I296" t="str">
            <v>/</v>
          </cell>
          <cell r="J296" t="str">
            <v>Loose leaf tea</v>
          </cell>
          <cell r="K296" t="str">
            <v>/</v>
          </cell>
          <cell r="L296"/>
        </row>
        <row r="297">
          <cell r="A297" t="str">
            <v>TA6822</v>
          </cell>
          <cell r="B297" t="str">
            <v>L’O à la bouche</v>
          </cell>
          <cell r="C297" t="str">
            <v>Huile essentielle d'orange</v>
          </cell>
          <cell r="D297" t="str">
            <v>Tang'O</v>
          </cell>
          <cell r="E297" t="str">
            <v>Orange essential oil</v>
          </cell>
          <cell r="F297" t="str">
            <v>Organic Flavoured Green Tea</v>
          </cell>
          <cell r="G297" t="str">
            <v xml:space="preserve">Ingredients: green tea*, orange peels*, essential oils (sweet orange*, blood orange*) 2%. *From organic farming. </v>
          </cell>
          <cell r="H297" t="str">
            <v>/</v>
          </cell>
          <cell r="I297" t="str">
            <v>As a certified member of the World Fair Trade Organization, Les Jardins de Gaïa is committed to fairer trade and meets the requirements of fair trade. For more information: www.wfto.com.</v>
          </cell>
          <cell r="J297" t="str">
            <v>Loose leaf tea</v>
          </cell>
          <cell r="K297" t="str">
            <v>/</v>
          </cell>
          <cell r="L297"/>
        </row>
        <row r="298">
          <cell r="A298" t="str">
            <v>TA7112</v>
          </cell>
          <cell r="B298" t="str">
            <v>L’Or du Temps</v>
          </cell>
          <cell r="C298" t="str">
            <v>Orange</v>
          </cell>
          <cell r="D298" t="str">
            <v>Golden Hour</v>
          </cell>
          <cell r="E298" t="str">
            <v>Orange</v>
          </cell>
          <cell r="F298" t="str">
            <v>Organic Flavoured Black Tea</v>
          </cell>
          <cell r="G298" t="str">
            <v xml:space="preserve">Ingredients: black tea*, essential oils (sweet orange*, blood orange*) 2%, orange peels* 2%. *From organic farming. </v>
          </cell>
          <cell r="H298" t="str">
            <v>/</v>
          </cell>
          <cell r="I298" t="str">
            <v>As a certified member of the World Fair Trade Organization, Les Jardins de Gaïa is committed to fairer trade and meets the requirements of fair trade. For more information: www.wfto.com.</v>
          </cell>
          <cell r="J298" t="str">
            <v>Loose leaf tea</v>
          </cell>
          <cell r="K298" t="str">
            <v>/</v>
          </cell>
          <cell r="L298"/>
        </row>
        <row r="299">
          <cell r="A299" t="str">
            <v>TA711B</v>
          </cell>
          <cell r="B299" t="str">
            <v>Elixir hivernal / de Noël</v>
          </cell>
          <cell r="C299" t="str">
            <v>Orange</v>
          </cell>
          <cell r="D299"/>
          <cell r="E299" t="str">
            <v>Orange</v>
          </cell>
          <cell r="F299" t="str">
            <v>Organic Flavoured Black Tea</v>
          </cell>
          <cell r="G299" t="str">
            <v xml:space="preserve">Ingredients: black tea*, essential oils (sweet orange*, blood orange*) 4%, orange peels* 1%, mandarin peels* 1%, marigold petals* 0,5%. *From organic farming. </v>
          </cell>
          <cell r="H299" t="str">
            <v>/</v>
          </cell>
          <cell r="I299" t="str">
            <v>As a certified member of the World Fair Trade Organization, Les Jardins de Gaïa is committed to fairer trade and meets the requirements of fair trade. For more information: www.wfto.com.</v>
          </cell>
          <cell r="J299" t="str">
            <v>Loose leaf tea</v>
          </cell>
          <cell r="K299" t="str">
            <v>/</v>
          </cell>
          <cell r="L299" t="str">
            <v>/</v>
          </cell>
        </row>
        <row r="300">
          <cell r="A300" t="str">
            <v>TA6122</v>
          </cell>
          <cell r="B300" t="str">
            <v>La balade du hérisson</v>
          </cell>
          <cell r="C300" t="str">
            <v>Noisette - Saveur Mûre</v>
          </cell>
          <cell r="D300" t="str">
            <v>Hedgehog Walk</v>
          </cell>
          <cell r="E300" t="str">
            <v>Hazelnut - Blackberry flavour</v>
          </cell>
          <cell r="F300" t="str">
            <v>Organic Flavoured Blended Teas</v>
          </cell>
          <cell r="G300" t="str">
            <v>Ingredients: blend of teas 79% (green tea*, black tea*), natural (blackberry*, hazelnut*) flavourings 9%, carrot chips*, crushed hazelnuts* 5%, poppy petals*. *From organic farming.</v>
          </cell>
          <cell r="H300" t="str">
            <v>/</v>
          </cell>
          <cell r="I300" t="str">
            <v>As a certified member of the World Fair Trade Organization, Les Jardins de Gaïa is committed to fairer trade and meets the requirements of fair trade. For more information: www.wfto.com.</v>
          </cell>
          <cell r="J300" t="str">
            <v>Loose leaf tea</v>
          </cell>
          <cell r="K300" t="str">
            <v>/</v>
          </cell>
          <cell r="L300"/>
        </row>
        <row r="301">
          <cell r="A301" t="str">
            <v>TH5771</v>
          </cell>
          <cell r="B301" t="str">
            <v>La nature s'éveille</v>
          </cell>
          <cell r="C301" t="str">
            <v>/</v>
          </cell>
          <cell r="D301" t="str">
            <v>When Nature awakes</v>
          </cell>
          <cell r="E301" t="str">
            <v>/</v>
          </cell>
          <cell r="F301" t="str">
            <v>Organic Herbal Tea Infusion</v>
          </cell>
          <cell r="G301" t="str">
            <v>Ingredients: apple pieces* (Malus domestica), lemon balm* (Melissa officinalis), green oat* (Avena sativa), rose petals* (Rosa damescena), marigold* (Calendula officinalis), cranberry* (Vaccinium macrocarpon), lavender* (Lavandula angustifolia), linden* (Flos tilia), verbena* (Lippia citriodora), chamomile* (Matricaria chamomilla), cornflower petals* (Centaurea cyanus), mallow petals* (Malva sylvestris). *From organic farming.</v>
          </cell>
          <cell r="H301" t="str">
            <v>/</v>
          </cell>
          <cell r="I301" t="str">
            <v>/</v>
          </cell>
          <cell r="J301" t="str">
            <v>Loose Infusion</v>
          </cell>
          <cell r="K301" t="str">
            <v>/</v>
          </cell>
          <cell r="L301" t="str">
            <v>/</v>
          </cell>
        </row>
        <row r="302">
          <cell r="A302" t="str">
            <v>TH577</v>
          </cell>
          <cell r="B302" t="str">
            <v>La nature s'éveille</v>
          </cell>
          <cell r="C302" t="str">
            <v>/</v>
          </cell>
          <cell r="D302" t="str">
            <v>When Nature awakes</v>
          </cell>
          <cell r="E302" t="str">
            <v>/</v>
          </cell>
          <cell r="F302" t="str">
            <v>Organic Herbal Tea Infusion</v>
          </cell>
          <cell r="G302" t="str">
            <v>Ingredients: apple pieces* (Malus domestica), lemon balm* (Melissa officinalis), green oat* (Avena sativa), rose petals* (Rosa damescena), marigold* (Calendula officinalis), cranberry* (Vaccinium macrocarpon), lavender* (Lavandula angustifolia), linden* (Flos tilia), verbena* (Lippia citriodora), chamomile* (Matricaria chamomilla), cornflower petals* (Centaurea cyanus), mallow petals* (Malva sylvestris). *From organic farming.</v>
          </cell>
          <cell r="H302" t="str">
            <v>/</v>
          </cell>
          <cell r="I302" t="str">
            <v>/</v>
          </cell>
          <cell r="J302" t="str">
            <v>Loose Infusion</v>
          </cell>
          <cell r="K302" t="str">
            <v>/</v>
          </cell>
          <cell r="L302" t="str">
            <v>/</v>
          </cell>
        </row>
        <row r="303">
          <cell r="A303" t="str">
            <v>TH5091</v>
          </cell>
          <cell r="B303" t="str">
            <v>La potion de Fée Mélusine</v>
          </cell>
          <cell r="C303" t="str">
            <v>/</v>
          </cell>
          <cell r="D303" t="str">
            <v>Melusine's Fairy Potion</v>
          </cell>
          <cell r="E303" t="str">
            <v>/</v>
          </cell>
          <cell r="F303" t="str">
            <v>Organic Herbal Tea Infusion</v>
          </cell>
          <cell r="G303" t="str">
            <v>Ingredients: hemp leaves* (Cannabis sativa), verbena* (Aloysia citrodora), apple mint* (Mentha spicata), marigold petals* (Calendula officinalis), ribwort plantain* (Plantago lanceolata), rosebuds* (Rosa damascena). *From organic farming.</v>
          </cell>
          <cell r="H303" t="str">
            <v>/</v>
          </cell>
          <cell r="I303" t="str">
            <v>/</v>
          </cell>
          <cell r="J303" t="str">
            <v>Loose Infusion</v>
          </cell>
          <cell r="K303" t="str">
            <v>/</v>
          </cell>
          <cell r="L303" t="str">
            <v>/</v>
          </cell>
        </row>
        <row r="304">
          <cell r="A304" t="str">
            <v>TH509</v>
          </cell>
          <cell r="B304" t="str">
            <v>La potion de Fée Mélusine</v>
          </cell>
          <cell r="C304" t="str">
            <v>/</v>
          </cell>
          <cell r="D304" t="str">
            <v>Melusine's Fairy Potion</v>
          </cell>
          <cell r="E304" t="str">
            <v>/</v>
          </cell>
          <cell r="F304" t="str">
            <v>Organic Herbal Tea Infusion</v>
          </cell>
          <cell r="G304" t="str">
            <v>Ingredients: hemp leaves* (Cannabis sativa), verbena* (Aloysia citrodora), apple mint* (Mentha spicata), marigold petals* (Calendula officinalis), ribwort plantain* (Plantago lanceolata), rosebuds* (Rosa damascena). *From organic farming.</v>
          </cell>
          <cell r="H304" t="str">
            <v>/</v>
          </cell>
          <cell r="I304" t="str">
            <v>/</v>
          </cell>
          <cell r="J304" t="str">
            <v>Loose Infusion</v>
          </cell>
          <cell r="K304" t="str">
            <v>/</v>
          </cell>
          <cell r="L304" t="str">
            <v>/</v>
          </cell>
        </row>
        <row r="305">
          <cell r="A305" t="str">
            <v>TH9741</v>
          </cell>
          <cell r="B305" t="str">
            <v>La salsa du printemps</v>
          </cell>
          <cell r="C305" t="str">
            <v>/</v>
          </cell>
          <cell r="D305" t="str">
            <v>Spring Salsa</v>
          </cell>
          <cell r="E305" t="str">
            <v>/</v>
          </cell>
          <cell r="F305" t="str">
            <v>Organic Herbal Tea Infusion</v>
          </cell>
          <cell r="G305" t="str">
            <v>Ingredients: lemongrass* (Cymbopogon citratus), peppermint* (Mentha piperita), raspberry leaves* (Rubus idaeus), cardamom* (Elettaria cardamomum), liquorice* (Glycyrrhiza glabra), cornflower petals* (Centaurea cyanus), rosebuds* (Rosa damascena). *From organic farming. Contains liquorice: people suffering from hypertension should avoid excessive consumption.</v>
          </cell>
          <cell r="H305" t="str">
            <v>/</v>
          </cell>
          <cell r="I305" t="str">
            <v>/</v>
          </cell>
          <cell r="J305" t="str">
            <v>Loose Infusion</v>
          </cell>
          <cell r="K305" t="str">
            <v>/</v>
          </cell>
          <cell r="L305" t="str">
            <v>/</v>
          </cell>
        </row>
        <row r="306">
          <cell r="A306" t="str">
            <v>TH974</v>
          </cell>
          <cell r="B306" t="str">
            <v>La salsa du printemps</v>
          </cell>
          <cell r="C306" t="str">
            <v>/</v>
          </cell>
          <cell r="D306" t="str">
            <v>Spring Salsa</v>
          </cell>
          <cell r="E306" t="str">
            <v>/</v>
          </cell>
          <cell r="F306" t="str">
            <v>Organic Herbal Tea Infusion</v>
          </cell>
          <cell r="G306" t="str">
            <v>Ingredients: lemongrass* (Cymbopogon citratus), peppermint* (Mentha piperita), raspberry leaves* (Rubus idaeus), cardamom* (Elettaria cardamomum), liquorice* (Glycyrrhiza glabra), cornflower petals* (Centaurea cyanus), rosebuds* (Rosa damascena). *From organic farming. Contains liquorice: people suffering from hypertension should avoid excessive consumption.</v>
          </cell>
          <cell r="H306" t="str">
            <v>/</v>
          </cell>
          <cell r="I306" t="str">
            <v>/</v>
          </cell>
          <cell r="J306" t="str">
            <v>Loose Infusion</v>
          </cell>
          <cell r="K306" t="str">
            <v>/</v>
          </cell>
          <cell r="L306" t="str">
            <v>/</v>
          </cell>
        </row>
        <row r="307">
          <cell r="A307" t="str">
            <v>TH0631</v>
          </cell>
          <cell r="B307" t="str">
            <v>La souplesse du dragon</v>
          </cell>
          <cell r="C307" t="str">
            <v>Anti-inflammatoire
Feuilles de cassis - Curcuma - Reine des prés - Gingembre</v>
          </cell>
          <cell r="D307" t="str">
            <v>Dragon's Agility</v>
          </cell>
          <cell r="E307" t="str">
            <v>Anti-inflammatory
Blackcurrant leaves - Turmeric - Meadowsweet - Ginger</v>
          </cell>
          <cell r="F307" t="str">
            <v>Organic Herbal Tea Infusion</v>
          </cell>
          <cell r="G307" t="str">
            <v>Ingredients: blackcurrant leaves* 34% (Ribes nigrum), turmeric* 25% (Curcuma longa), meadowsweet* 11% (Filipendula ulmaria), ginger* 9% (Zingiber officinale), juniper berries* (Juniperus communis), moringa* (Moringa oleifera), black pepper* (Piper nigrum), cornflower petals* (Centaurea cyanus). *From organic farming.</v>
          </cell>
          <cell r="H307"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307" t="str">
            <v>/</v>
          </cell>
          <cell r="J307" t="str">
            <v>Loose Infusion</v>
          </cell>
          <cell r="K307" t="str">
            <v>/</v>
          </cell>
          <cell r="L307" t="str">
            <v>/</v>
          </cell>
        </row>
        <row r="308">
          <cell r="A308" t="str">
            <v>TH0632</v>
          </cell>
          <cell r="B308" t="str">
            <v>La souplesse du dragon</v>
          </cell>
          <cell r="C308" t="str">
            <v>Anti-inflammatoire
Feuilles de cassis - Curcuma - Reine des prés - Gingembre</v>
          </cell>
          <cell r="D308" t="str">
            <v>Dragon's Agility</v>
          </cell>
          <cell r="E308" t="str">
            <v>Anti-inflammatory
Blackcurrant leaves - Turmeric - Meadowsweet - Ginger</v>
          </cell>
          <cell r="F308" t="str">
            <v>Organic Herbal Tea Infusion</v>
          </cell>
          <cell r="G308" t="str">
            <v>Ingredients: blackcurrant leaves* 34% (Ribes nigrum), turmeric* 25% (Curcuma longa), meadowsweet* 11% (Filipendula ulmaria), ginger* 9% (Zingiber officinale), juniper berries* (Juniperus communis), moringa* (Moringa oleifera), black pepper* (Piper nigrum), cornflower petals* (Centaurea cyanus). *From organic farming.</v>
          </cell>
          <cell r="H308"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308" t="str">
            <v>/</v>
          </cell>
          <cell r="J308" t="str">
            <v>Loose Infusion</v>
          </cell>
          <cell r="K308" t="str">
            <v>/</v>
          </cell>
          <cell r="L308" t="str">
            <v>/</v>
          </cell>
        </row>
        <row r="309">
          <cell r="A309" t="str">
            <v>TH5201</v>
          </cell>
          <cell r="B309" t="str">
            <v>La tisane de l'Amour</v>
          </cell>
          <cell r="C309" t="str">
            <v>/</v>
          </cell>
          <cell r="D309" t="str">
            <v>Love Herbal Tea</v>
          </cell>
          <cell r="E309" t="str">
            <v>/</v>
          </cell>
          <cell r="F309" t="str">
            <v>Organic Herbal Tea Infusion</v>
          </cell>
          <cell r="G309" t="str">
            <v>Ingredients: hemp leaves* (Cannabis sativa), catmint* (Nepeta cataria), parsley* (Petroselinum crispum), verbena* (Aloysia citrodora), savory* (Satureja montana), rosebuds* (Rosa damascena). *From organic farming.</v>
          </cell>
          <cell r="H309" t="str">
            <v>/</v>
          </cell>
          <cell r="I309" t="str">
            <v>/</v>
          </cell>
          <cell r="J309" t="str">
            <v>Loose Infusion</v>
          </cell>
          <cell r="K309" t="str">
            <v>/</v>
          </cell>
          <cell r="L309" t="str">
            <v>/</v>
          </cell>
        </row>
        <row r="310">
          <cell r="A310" t="str">
            <v>TH520</v>
          </cell>
          <cell r="B310" t="str">
            <v>La tisane de l'Amour</v>
          </cell>
          <cell r="C310" t="str">
            <v>/</v>
          </cell>
          <cell r="D310" t="str">
            <v>Love Herbal Tea</v>
          </cell>
          <cell r="E310" t="str">
            <v>/</v>
          </cell>
          <cell r="F310" t="str">
            <v>Organic Herbal Tea Infusion</v>
          </cell>
          <cell r="G310" t="str">
            <v>Ingredients: hemp leaves* (Cannabis sativa), catmint* (Nepeta cataria), parsley* (Petroselinum crispum), verbena* (Aloysia citrodora), savory* (Satureja montana), rosebuds* (Rosa damascena). *From organic farming.</v>
          </cell>
          <cell r="H310" t="str">
            <v>/</v>
          </cell>
          <cell r="I310" t="str">
            <v>/</v>
          </cell>
          <cell r="J310" t="str">
            <v>Loose Infusion</v>
          </cell>
          <cell r="K310" t="str">
            <v>/</v>
          </cell>
          <cell r="L310" t="str">
            <v>/</v>
          </cell>
        </row>
        <row r="311">
          <cell r="A311" t="str">
            <v>TUTH5206</v>
          </cell>
          <cell r="B311" t="str">
            <v>La tisane de l'Amour</v>
          </cell>
          <cell r="C311" t="str">
            <v>/</v>
          </cell>
          <cell r="D311" t="str">
            <v>Love Herbal Tea</v>
          </cell>
          <cell r="E311" t="str">
            <v>/</v>
          </cell>
          <cell r="F311" t="str">
            <v>Organic Herbal Tea Infusion</v>
          </cell>
          <cell r="G311" t="str">
            <v>Ingredients: hemp leaves* (Cannabis sativa), catmint* (Nepeta cataria), parsley* (Petroselinum crispum), verbena* (Aloysia citrodora), savory* (Satureja montana), rosebuds* (Rosa damascena). *From organic farming.</v>
          </cell>
          <cell r="H311" t="str">
            <v>/</v>
          </cell>
          <cell r="I311" t="str">
            <v>/</v>
          </cell>
          <cell r="J311" t="str">
            <v>Loose Infusion</v>
          </cell>
          <cell r="K311" t="str">
            <v>/</v>
          </cell>
          <cell r="L311" t="str">
            <v>/</v>
          </cell>
        </row>
        <row r="312">
          <cell r="A312" t="str">
            <v>TH5211</v>
          </cell>
          <cell r="B312" t="str">
            <v>La tisane de Mamy</v>
          </cell>
          <cell r="C312" t="str">
            <v>Digestive
Menthe poivrée</v>
          </cell>
          <cell r="D312" t="str">
            <v>Granny's Herbal Tea</v>
          </cell>
          <cell r="E312" t="str">
            <v>Digestive
Peppermint</v>
          </cell>
          <cell r="F312" t="str">
            <v>Organic Herbal Tea Infusion</v>
          </cell>
          <cell r="G312" t="str">
            <v>Ingredients: peppermint* 50% (Mentha piperita), blackberry bush leaves* (Rubus fruticosus), wild rose barks* (Rosa caninaa - Fructus), apple pieces* (Malus domestica). *From organic farming.</v>
          </cell>
          <cell r="H312"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312" t="str">
            <v>/</v>
          </cell>
          <cell r="J312" t="str">
            <v>Loose Infusion</v>
          </cell>
          <cell r="K312" t="str">
            <v>/</v>
          </cell>
          <cell r="L312" t="str">
            <v>/</v>
          </cell>
        </row>
        <row r="313">
          <cell r="A313" t="str">
            <v>TH521</v>
          </cell>
          <cell r="B313" t="str">
            <v>La tisane de Mamy</v>
          </cell>
          <cell r="C313" t="str">
            <v>Digestive
Menthe poivrée</v>
          </cell>
          <cell r="D313" t="str">
            <v>Granny's Herbal Tea</v>
          </cell>
          <cell r="E313" t="str">
            <v>Digestive
Peppermint</v>
          </cell>
          <cell r="F313" t="str">
            <v>Organic Herbal Tea Infusion</v>
          </cell>
          <cell r="G313" t="str">
            <v>Ingredients: peppermint* 50% (Mentha piperita), blackberry bush leaves* (Rubus fruticosus), wild rose barks* (Rosa caninaa - Fructus), apple pieces* (Malus domestica). *From organic farming.</v>
          </cell>
          <cell r="H313"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313" t="str">
            <v>/</v>
          </cell>
          <cell r="J313" t="str">
            <v>Loose Infusion</v>
          </cell>
          <cell r="K313" t="str">
            <v>/</v>
          </cell>
          <cell r="L313" t="str">
            <v>/</v>
          </cell>
        </row>
        <row r="314">
          <cell r="A314" t="str">
            <v>TH5226</v>
          </cell>
          <cell r="B314" t="str">
            <v>La tisane de Noël</v>
          </cell>
          <cell r="C314" t="str">
            <v>Cannelle - Mélisse</v>
          </cell>
          <cell r="D314" t="str">
            <v>Christmas Herbal Tea</v>
          </cell>
          <cell r="E314" t="str">
            <v>Cinnamon - Lemon balm</v>
          </cell>
          <cell r="F314" t="str">
            <v>Organic Herbal Tea Infusion</v>
          </cell>
          <cell r="G314" t="str">
            <v xml:space="preserve">Ingredients: cinnamon* 44%, lemon balm* 21%, mulberry leaves*, orange peels*, apple pieces*, liquorice*, cloves*, flower petals (marigold*, cornflower*). *From organic farming. Contains liquorice, people suffering from hypertension should avoid excessive consumption. </v>
          </cell>
          <cell r="H314" t="str">
            <v>/</v>
          </cell>
          <cell r="I314" t="str">
            <v>/</v>
          </cell>
          <cell r="J314" t="str">
            <v>Loose Infusion</v>
          </cell>
          <cell r="K314" t="str">
            <v>/</v>
          </cell>
          <cell r="L314" t="str">
            <v>/</v>
          </cell>
        </row>
        <row r="315">
          <cell r="A315" t="str">
            <v>TSTH5226V4</v>
          </cell>
          <cell r="B315" t="str">
            <v>La tisane de Noël</v>
          </cell>
          <cell r="C315" t="str">
            <v>Cannelle - Mélisse</v>
          </cell>
          <cell r="D315" t="str">
            <v>Christmas Herbal Tea</v>
          </cell>
          <cell r="E315" t="str">
            <v>Cinnamon - Lemon balm</v>
          </cell>
          <cell r="F315" t="str">
            <v>Organic Herbal Tea Infusion</v>
          </cell>
          <cell r="G315" t="str">
            <v xml:space="preserve">Ingredients: cinnamon* 44%, lemon balm* 21%, mulberry leaves*, orange peels*, apple pieces*, liquorice*, cloves*, flower petals (marigold*, cornflower*). *From organic farming. Contains liquorice, people suffering from hypertension should avoid excessive consumption. </v>
          </cell>
          <cell r="H315" t="str">
            <v>/</v>
          </cell>
          <cell r="I315" t="str">
            <v>/</v>
          </cell>
          <cell r="J315" t="str">
            <v>Loose Infusion</v>
          </cell>
          <cell r="K315" t="str">
            <v>/</v>
          </cell>
          <cell r="L315" t="str">
            <v>/</v>
          </cell>
        </row>
        <row r="316">
          <cell r="A316" t="str">
            <v>TH5226</v>
          </cell>
          <cell r="B316" t="str">
            <v>La tisane d'hiver</v>
          </cell>
          <cell r="C316" t="str">
            <v>Cannelle - Mélisse</v>
          </cell>
          <cell r="D316" t="str">
            <v>Winter Herbal Tea</v>
          </cell>
          <cell r="E316" t="str">
            <v>Cinnamon - Lemon balm</v>
          </cell>
          <cell r="F316" t="str">
            <v>Organic Herbal Tea Infusion</v>
          </cell>
          <cell r="G316" t="str">
            <v>Ingredients: cinnamon* 44%, lemon balm* 21%, mulberry leaves*, orange peels*, apple pieces*, liquorice*, cloves*, flower petals (marigold*, cornflower*). *From organic farming. Contains liquorice, people suffering from hypertension should avoid excessive consumption. =&gt; Pas de latin ?</v>
          </cell>
          <cell r="H316" t="str">
            <v>/</v>
          </cell>
          <cell r="I316" t="str">
            <v>/</v>
          </cell>
          <cell r="J316" t="str">
            <v>Loose Infusion</v>
          </cell>
          <cell r="K316" t="str">
            <v>/</v>
          </cell>
          <cell r="L316" t="str">
            <v>/</v>
          </cell>
        </row>
        <row r="317">
          <cell r="A317" t="str">
            <v>TR2072</v>
          </cell>
          <cell r="B317" t="str">
            <v>La voie lactée</v>
          </cell>
          <cell r="C317" t="str">
            <v>Caramel</v>
          </cell>
          <cell r="D317" t="str">
            <v xml:space="preserve">The Milky Way </v>
          </cell>
          <cell r="E317" t="str">
            <v>Caramel</v>
          </cell>
          <cell r="F317" t="str">
            <v>Organic Flavoured Rooibos</v>
          </cell>
          <cell r="G317" t="str">
            <v>Ingredients: rooibos*, natural (caramel* 7%, vanilla*) flavourings, caramel pieces* 6 % (cane sugar*, glucose syrup*, cocoa butter*, coconut milk powder*, pea protein*, dextrose*, salt (fleur de sel), natural Bourbon vanilla flavouring*, sunflower lecithins powder*), white cornflower petals*. *From organic farming.
Nutritional information per 100 ml: energy 3kJ/1kcal. This infusion contains negligible amounts of fat such as saturated fat, and of carbohydrates including sugars, proteins and salt.</v>
          </cell>
          <cell r="H317" t="str">
            <v>/</v>
          </cell>
          <cell r="I317" t="str">
            <v>As a certified member of the World Fair Trade Organization, Les Jardins de Gaïa is committed to fairer trade and meets the requirements of fair trade. For more information: www.wfto.com.</v>
          </cell>
          <cell r="J317" t="str">
            <v>Loose rooibos</v>
          </cell>
          <cell r="K317" t="str">
            <v>/</v>
          </cell>
          <cell r="L317" t="str">
            <v>/</v>
          </cell>
        </row>
        <row r="318">
          <cell r="A318" t="str">
            <v>TA6752</v>
          </cell>
          <cell r="B318" t="str">
            <v>Lady Yang Guifei</v>
          </cell>
          <cell r="C318" t="str">
            <v>Saveurs litchi - poire</v>
          </cell>
          <cell r="D318" t="str">
            <v>Lady Yang Guifei</v>
          </cell>
          <cell r="E318" t="str">
            <v>Lychee - pear flavours</v>
          </cell>
          <cell r="F318" t="str">
            <v>Organic Flavoured Green Tea</v>
          </cell>
          <cell r="G318" t="str">
            <v>Ingredients: green tea*, natural (pear*, lychee°) flavourings 11%, rose petals*. *From organic farming. °Biocompatible flavouring.</v>
          </cell>
          <cell r="H318" t="str">
            <v>/</v>
          </cell>
          <cell r="I318" t="str">
            <v>As a certified member of the World Fair Trade Organization, Les Jardins de Gaïa is committed to fairer trade and meets the requirements of fair trade. For more information: www.wfto.com.</v>
          </cell>
          <cell r="J318" t="str">
            <v>Loose leaf tea</v>
          </cell>
          <cell r="K318" t="str">
            <v>/</v>
          </cell>
          <cell r="L318"/>
        </row>
        <row r="319">
          <cell r="A319" t="str">
            <v>TU6752</v>
          </cell>
          <cell r="B319" t="str">
            <v>Lady Yang Guifei</v>
          </cell>
          <cell r="C319" t="str">
            <v>Saveurs litchi - poire</v>
          </cell>
          <cell r="D319" t="str">
            <v>Lady Yang Guifei</v>
          </cell>
          <cell r="E319" t="str">
            <v>Lychee - pear flavours</v>
          </cell>
          <cell r="F319" t="str">
            <v>Organic Flavoured Green Tea</v>
          </cell>
          <cell r="G319" t="str">
            <v>Ingredients: green tea*, natural (pear*, lychee°) flavourings 11%, rose petals*. *From organic farming. °Biocompatible flavouring.</v>
          </cell>
          <cell r="H319" t="str">
            <v>/</v>
          </cell>
          <cell r="I319" t="str">
            <v>As a certified member of the World Fair Trade Organization, Les Jardins de Gaïa is committed to fairer trade and meets the requirements of fair trade. For more information: www.wfto.com.</v>
          </cell>
          <cell r="J319" t="str">
            <v>Loose leaf tea</v>
          </cell>
          <cell r="K319" t="str">
            <v>/</v>
          </cell>
          <cell r="L319"/>
        </row>
        <row r="320">
          <cell r="A320" t="str">
            <v>TR2302</v>
          </cell>
          <cell r="B320" t="str">
            <v>L'Africain</v>
          </cell>
          <cell r="C320" t="str">
            <v>Ananas - Coco</v>
          </cell>
          <cell r="D320" t="str">
            <v>The African</v>
          </cell>
          <cell r="E320" t="str">
            <v>Pineapple - Coco</v>
          </cell>
          <cell r="F320" t="str">
            <v>Organic Flavoured Rooibos</v>
          </cell>
          <cell r="G320" t="str">
            <v>Ingredients: rooibos*, natural (pineapple* 5% coconut* 4%, banana*) flavourings, fruit pieces (pineapple* 1%, banana*), coconut flakes* 1%. *From organic farming.</v>
          </cell>
          <cell r="H320" t="str">
            <v>/</v>
          </cell>
          <cell r="I320" t="str">
            <v>As a certified member of the World Fair Trade Organization, Les Jardins de Gaïa is committed to fairer trade and meets the requirements of fair trade. For more information: www.wfto.com.</v>
          </cell>
          <cell r="J320" t="str">
            <v>Loose rooibos</v>
          </cell>
          <cell r="K320" t="str">
            <v>/</v>
          </cell>
          <cell r="L320" t="str">
            <v>/</v>
          </cell>
        </row>
        <row r="321">
          <cell r="A321" t="str">
            <v>TL4032</v>
          </cell>
          <cell r="B321" t="str">
            <v>Lapacho Agrumes</v>
          </cell>
          <cell r="C321" t="str">
            <v>Antioxydant &amp; Défenses immunitaires</v>
          </cell>
          <cell r="D321" t="str">
            <v>Citrus Lapacho</v>
          </cell>
          <cell r="E321" t="str">
            <v>Antioxidant &amp; Immune system</v>
          </cell>
          <cell r="F321" t="str">
            <v>Organic Flavoured Infusion</v>
          </cell>
          <cell r="G321" t="str">
            <v>Ingredients: lapacho* (Tabebuia impetiginosa), orange peels* 15%, essential oils (sweet orange*, blood orange*, grapefruit*, lemon*) 3%. *From organic farming.</v>
          </cell>
          <cell r="H321" t="str">
            <v>Recommended daily consumption: four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321" t="str">
            <v>/</v>
          </cell>
          <cell r="J321" t="str">
            <v>Loose infusion</v>
          </cell>
          <cell r="K321" t="str">
            <v>/</v>
          </cell>
          <cell r="L321" t="str">
            <v>To enjoy the benefits of lapacho, prepare it as a decoction in simmering water at 95°C for 5 min and leave it to infuse for 10 to 15 min. To enjoy the infusion, 5 to 10 min are enough.</v>
          </cell>
        </row>
        <row r="322">
          <cell r="A322" t="str">
            <v>TL1004</v>
          </cell>
          <cell r="B322" t="str">
            <v>Lapacho nature</v>
          </cell>
          <cell r="C322" t="str">
            <v>Antioxydant &amp; Défenses immunitaires</v>
          </cell>
          <cell r="D322" t="str">
            <v>Original Lapacho</v>
          </cell>
          <cell r="E322" t="str">
            <v>Antioxidant &amp; Immune system</v>
          </cell>
          <cell r="F322" t="str">
            <v>Organic Original Infusion</v>
          </cell>
          <cell r="G322" t="str">
            <v>Ingredient: lapacho* (Tabebuia impetiginosa). *From organic farming.</v>
          </cell>
          <cell r="H322" t="str">
            <v>Recommended daily consumption: four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322" t="str">
            <v>/</v>
          </cell>
          <cell r="J322" t="str">
            <v>Loose infusion</v>
          </cell>
          <cell r="K322" t="str">
            <v>/</v>
          </cell>
          <cell r="L322" t="str">
            <v>/</v>
          </cell>
        </row>
        <row r="323">
          <cell r="A323" t="str">
            <v>TL1002</v>
          </cell>
          <cell r="B323" t="str">
            <v>Lapacho nature</v>
          </cell>
          <cell r="C323" t="str">
            <v>Antioxydant &amp; Défenses immunitaires</v>
          </cell>
          <cell r="D323" t="str">
            <v>Original Lapacho</v>
          </cell>
          <cell r="E323" t="str">
            <v>Antioxidant &amp; Immune system</v>
          </cell>
          <cell r="F323" t="str">
            <v>Organic Original Infusion</v>
          </cell>
          <cell r="G323" t="str">
            <v>Ingredient: lapacho* (Tabebuia impetiginosa). *From organic farming.</v>
          </cell>
          <cell r="H323" t="str">
            <v>Recommended daily consumption: four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323" t="str">
            <v>/</v>
          </cell>
          <cell r="J323" t="str">
            <v>Loose infusion</v>
          </cell>
          <cell r="K323" t="str">
            <v>/</v>
          </cell>
          <cell r="L323" t="str">
            <v>/</v>
          </cell>
        </row>
        <row r="324">
          <cell r="A324" t="str">
            <v>TA6792</v>
          </cell>
          <cell r="B324" t="str">
            <v>L'appel du large</v>
          </cell>
          <cell r="C324" t="str">
            <v>Algues - saveur citron vert</v>
          </cell>
          <cell r="D324" t="str">
            <v xml:space="preserve">Call of the Wild </v>
          </cell>
          <cell r="E324" t="str">
            <v>Seaweeds - Green lemon flavour</v>
          </cell>
          <cell r="F324" t="str">
            <v>Organic Flavoured Green Tea</v>
          </cell>
          <cell r="G324" t="str">
            <v>Ingredients:  green tea*, natural green lemon flavouring* 7%, seaweeds blend* (dulce*, nori*, sea lettuce*) 6%, white ginseng*. *From organic farming.</v>
          </cell>
          <cell r="H324" t="str">
            <v>/</v>
          </cell>
          <cell r="I324" t="str">
            <v>As a certified member of the World Fair Trade Organization, Les Jardins de Gaïa is committed to fairer trade and meets the requirements of fair trade. For more information: www.wfto.com.</v>
          </cell>
          <cell r="J324" t="str">
            <v>Loose leaf tea</v>
          </cell>
          <cell r="K324" t="str">
            <v>/</v>
          </cell>
          <cell r="L324"/>
        </row>
        <row r="325">
          <cell r="A325" t="str">
            <v>TA6892</v>
          </cell>
          <cell r="B325" t="str">
            <v>L'Aventurier</v>
          </cell>
          <cell r="C325" t="str">
            <v>Ananas</v>
          </cell>
          <cell r="D325" t="str">
            <v xml:space="preserve">The Explorer </v>
          </cell>
          <cell r="E325" t="str">
            <v>Pineapple</v>
          </cell>
          <cell r="F325" t="str">
            <v>Organic Flavoured Green Tea</v>
          </cell>
          <cell r="G325" t="str">
            <v xml:space="preserve">Ingredients: green tea*, natural pineapple flavouring* 10%, fruit pieces (apple*, pineapple* 2%), amaranth*. * From organic farming. </v>
          </cell>
          <cell r="H325" t="str">
            <v>/</v>
          </cell>
          <cell r="I325" t="str">
            <v>/</v>
          </cell>
          <cell r="J325" t="str">
            <v>Loose leaf tea</v>
          </cell>
          <cell r="K325" t="str">
            <v>/</v>
          </cell>
          <cell r="L325"/>
        </row>
        <row r="326">
          <cell r="A326" t="str">
            <v>TR2342</v>
          </cell>
          <cell r="B326" t="str">
            <v>Le chant de la Terre</v>
          </cell>
          <cell r="C326" t="str">
            <v>Rose - Graines</v>
          </cell>
          <cell r="D326" t="str">
            <v>Earth Song</v>
          </cell>
          <cell r="E326" t="str">
            <v>Rose - Seeds</v>
          </cell>
          <cell r="F326" t="str">
            <v>Organic Flavoured Rooibos</v>
          </cell>
          <cell r="G326" t="str">
            <v>Ingredients: rooibos*, seeds (coriander*, caraway*, fennel*, anise*) 14%, rose extract* 6%, geranium*, rose petals* 1%. *From organic farming.</v>
          </cell>
          <cell r="H326" t="str">
            <v>/</v>
          </cell>
          <cell r="I326" t="str">
            <v>As a certified member of the World Fair Trade Organization, Les Jardins de Gaïa is committed to fairer trade and meets the requirements of fair trade. For more information: www.wfto.com.</v>
          </cell>
          <cell r="J326" t="str">
            <v>Loose rooibos</v>
          </cell>
          <cell r="K326" t="str">
            <v>/</v>
          </cell>
          <cell r="L326" t="str">
            <v>/</v>
          </cell>
        </row>
        <row r="327">
          <cell r="A327" t="str">
            <v>TF1222</v>
          </cell>
          <cell r="B327" t="str">
            <v>Le fruit qui rougit</v>
          </cell>
          <cell r="C327" t="str">
            <v>Drainant
Hibiscus, rooibos, saveurs myrtille et fraise</v>
          </cell>
          <cell r="D327" t="str">
            <v>Blushy Fruit</v>
          </cell>
          <cell r="E327" t="str">
            <v>Diuretic
Hibiscus, rooibos, blueberry and strawberry flavours</v>
          </cell>
          <cell r="F327" t="str">
            <v>Organic Flavoured Fruit Tea</v>
          </cell>
          <cell r="G327" t="str">
            <v>Ingredients: rooibos* 27%, apple pieces*, hibiscus* 18%, natural (blueberry* 7%, strawberry* 3%, raspberry*, blackberry*, blackcurrant*) flavourings, aronia*, rosehip peels*, liquorice*, strawberry pieces* 2%, elderberries*, elderflowers*. *From organic farming. Contains liquorice: people suffering from hypertension should avoid excessive consumption.</v>
          </cell>
          <cell r="H327"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327" t="str">
            <v>/</v>
          </cell>
          <cell r="J327" t="str">
            <v>Loose infusion</v>
          </cell>
          <cell r="K327" t="str">
            <v>/</v>
          </cell>
          <cell r="L327" t="str">
            <v>/</v>
          </cell>
        </row>
        <row r="328">
          <cell r="A328" t="str">
            <v>TA6182</v>
          </cell>
          <cell r="B328" t="str">
            <v>Le joueur de flûte</v>
          </cell>
          <cell r="C328" t="str">
            <v>Saveurs bergamote - vanille</v>
          </cell>
          <cell r="D328" t="str">
            <v>The Flute player</v>
          </cell>
          <cell r="E328" t="str">
            <v>Bergamot - vanilla flavours</v>
          </cell>
          <cell r="F328" t="str">
            <v>Organic Flavoured Green Tea</v>
          </cell>
          <cell r="G328" t="str">
            <v>Ingredients: green tea*, vanilla extract* 2%, flower petals (marigold*, cornflower*, lavender*), bergamot essential oil* 1%. From organic farming.</v>
          </cell>
          <cell r="H328" t="str">
            <v>/</v>
          </cell>
          <cell r="I328" t="str">
            <v>As a certified member of the World Fair Trade Organization, Les Jardins de Gaïa is committed to fairer trade and meets the requirements of fair trade. For more information: www.wfto.com.</v>
          </cell>
          <cell r="J328" t="str">
            <v>Leaf Tea</v>
          </cell>
          <cell r="K328" t="str">
            <v>/</v>
          </cell>
          <cell r="L328" t="str">
            <v>/</v>
          </cell>
        </row>
        <row r="329">
          <cell r="A329" t="str">
            <v>TUTA6182</v>
          </cell>
          <cell r="B329" t="str">
            <v>Le joueur de flûte</v>
          </cell>
          <cell r="C329" t="str">
            <v>Saveurs bergamote - vanille</v>
          </cell>
          <cell r="D329" t="str">
            <v>The Flute player</v>
          </cell>
          <cell r="E329" t="str">
            <v>Bergamot - vanilla flavours</v>
          </cell>
          <cell r="F329" t="str">
            <v>Organic Flavoured Green Tea</v>
          </cell>
          <cell r="G329" t="str">
            <v>Ingredients: green tea*, vanilla extract* 2%, flower petals (marigold*, cornflower*, lavender*), bergamot essential oil* 1%. From organic farming.</v>
          </cell>
          <cell r="H329" t="str">
            <v>/</v>
          </cell>
          <cell r="I329" t="str">
            <v>As a certified member of the World Fair Trade Organization, Les Jardins de Gaïa is committed to fairer trade and meets the requirements of fair trade. For more information: www.wfto.com.</v>
          </cell>
          <cell r="J329" t="str">
            <v>Leaf Tea</v>
          </cell>
          <cell r="K329" t="str">
            <v>/</v>
          </cell>
          <cell r="L329" t="str">
            <v>/</v>
          </cell>
        </row>
        <row r="330">
          <cell r="A330" t="str">
            <v>TN2292</v>
          </cell>
          <cell r="B330" t="str">
            <v>Le jour se lève</v>
          </cell>
          <cell r="C330" t="str">
            <v>FTGBOP1</v>
          </cell>
          <cell r="D330" t="str">
            <v>It's a new day</v>
          </cell>
          <cell r="E330" t="str">
            <v>FTGBOP1</v>
          </cell>
          <cell r="F330" t="str">
            <v>Organic Original Black Tea</v>
          </cell>
          <cell r="G330" t="str">
            <v>Ingredient: black tea*. *From organic farming.</v>
          </cell>
          <cell r="H330" t="str">
            <v>/</v>
          </cell>
          <cell r="I330" t="str">
            <v>As a certified member of the World Fair Trade Organization, Les Jardins de Gaïa is committed to fairer trade and meets the requirements of fair trade. For more information: www.wfto.com.</v>
          </cell>
          <cell r="J330" t="str">
            <v>Loose leaf tea</v>
          </cell>
          <cell r="K330" t="str">
            <v>/</v>
          </cell>
          <cell r="L330"/>
        </row>
        <row r="331">
          <cell r="A331" t="str">
            <v>TA9026</v>
          </cell>
          <cell r="B331" t="str">
            <v>Le pouvoir des fleurs</v>
          </cell>
          <cell r="C331" t="str">
            <v>Framboise - Saveur vanille</v>
          </cell>
          <cell r="D331" t="str">
            <v>The Flower Power</v>
          </cell>
          <cell r="E331" t="str">
            <v>Raspberry - Vanilla flavour</v>
          </cell>
          <cell r="F331" t="str">
            <v>Organic Flavoured Wu long Tea</v>
          </cell>
          <cell r="G331" t="str">
            <v>Ingredients: wu long tea*, green tea*, natural (raspberry* 3%, elderflower*) flavourings, vanilla extract* 3%, flower petals (marigold*, rose*), raspberry pieces* 1%, mallow* leaves and flowers, elderflowers*. *From organic farming.</v>
          </cell>
          <cell r="H331" t="str">
            <v>/</v>
          </cell>
          <cell r="I331" t="str">
            <v>As a certified member of the World Fair Trade Organization, Les Jardins de Gaïa is committed to fairer trade and meets the requirements of fair trade. For more information: www.wfto.com.</v>
          </cell>
          <cell r="J331" t="str">
            <v>Loose leaf tea</v>
          </cell>
          <cell r="K331" t="str">
            <v>/</v>
          </cell>
          <cell r="L331"/>
        </row>
        <row r="332">
          <cell r="A332" t="str">
            <v>TU9026</v>
          </cell>
          <cell r="B332" t="str">
            <v>Le pouvoir des fleurs</v>
          </cell>
          <cell r="C332" t="str">
            <v>Framboise - Saveur vanille</v>
          </cell>
          <cell r="D332" t="str">
            <v>The Flower Power</v>
          </cell>
          <cell r="E332" t="str">
            <v>Raspberry - Vanilla flavour</v>
          </cell>
          <cell r="F332" t="str">
            <v>Organic Flavoured Wu long Tea</v>
          </cell>
          <cell r="G332" t="str">
            <v>Ingredients: wu long tea*, green tea*, natural (raspberry* 3%, elderflower*) flavourings, vanilla extract* 3%, flower petals (marigold*, rose*), raspberry pieces* 1%, mallow* leaves and flowers, elderflowers*. *From organic farming.</v>
          </cell>
          <cell r="H332" t="str">
            <v>/</v>
          </cell>
          <cell r="I332" t="str">
            <v>As a certified member of the World Fair Trade Organization, Les Jardins de Gaïa is committed to fairer trade and meets the requirements of fair trade. For more information: www.wfto.com.</v>
          </cell>
          <cell r="J332" t="str">
            <v>Loose leaf tea</v>
          </cell>
          <cell r="K332" t="str">
            <v>/</v>
          </cell>
          <cell r="L332"/>
        </row>
        <row r="333">
          <cell r="A333" t="str">
            <v>TV7942</v>
          </cell>
          <cell r="B333" t="str">
            <v>Le rêve de Pema</v>
          </cell>
          <cell r="C333" t="str">
            <v>/</v>
          </cell>
          <cell r="D333" t="str">
            <v>Pema's dream</v>
          </cell>
          <cell r="E333" t="str">
            <v>/</v>
          </cell>
          <cell r="F333" t="str">
            <v>Organic Original Green Tea</v>
          </cell>
          <cell r="G333" t="str">
            <v>Ingredient: green tea*. *From organic farming.</v>
          </cell>
          <cell r="H333" t="str">
            <v>/</v>
          </cell>
          <cell r="I333" t="str">
            <v>As a certified member of the World Fair Trade Organization, Les Jardins de Gaïa is committed to fairer trade and meets the requirements of fair trade. For more information: www.wfto.com.</v>
          </cell>
          <cell r="J333" t="str">
            <v>Loose leaf tea</v>
          </cell>
          <cell r="K333" t="str">
            <v>/</v>
          </cell>
          <cell r="L333"/>
        </row>
        <row r="334">
          <cell r="A334" t="str">
            <v>TH4401</v>
          </cell>
          <cell r="B334" t="str">
            <v>Le secret de miss bikini</v>
          </cell>
          <cell r="C334" t="str">
            <v>Saveur vanille
Cannelle - Coriandre - Mélisse - Fenouil</v>
          </cell>
          <cell r="D334" t="str">
            <v>Miss Bikini's Secret</v>
          </cell>
          <cell r="E334" t="str">
            <v>Vanilla flavour
Cinnamon - Coriander - Lemon balm - Fennel</v>
          </cell>
          <cell r="F334" t="str">
            <v>Organic Herbal Tea Infusion</v>
          </cell>
          <cell r="G334" t="str">
            <v xml:space="preserve">Ingredients: orange peels* (Citrus sinensis), Ceylon cinnamon* 18% (Cinnamomum zeylanicum), coriander* 18% (Coriandrum sativum), lemon balm* 12% (Melissa officinalis), ginger* (Zingiber officinale), fennel* 12% (Foeniculum vulgare), mugwort* (Artemisia vulgaris), rosebuds* (Rosa damascena), vanilla extract* 0.5%. *From organic farming. </v>
          </cell>
          <cell r="H334"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334" t="str">
            <v>/</v>
          </cell>
          <cell r="J334" t="str">
            <v>Loose Infusion</v>
          </cell>
          <cell r="K334" t="str">
            <v>/</v>
          </cell>
          <cell r="L334" t="str">
            <v>/</v>
          </cell>
        </row>
        <row r="335">
          <cell r="A335" t="str">
            <v>TH440</v>
          </cell>
          <cell r="B335" t="str">
            <v>Le secret de miss bikini</v>
          </cell>
          <cell r="C335" t="str">
            <v>Saveur vanille
Cannelle - Coriandre - Mélisse - Fenouil</v>
          </cell>
          <cell r="D335" t="str">
            <v>Miss Bikini's Secret</v>
          </cell>
          <cell r="E335" t="str">
            <v>Vanilla flavour
Cinnamon - Coriander - Lemon balm - Fennel</v>
          </cell>
          <cell r="F335" t="str">
            <v>Organic Herbal Tea Infusion</v>
          </cell>
          <cell r="G335" t="str">
            <v xml:space="preserve">Ingredients: orange peels* (Citrus sinensis), Ceylon cinnamon* 18% (Cinnamomum zeylanicum), coriander* 18% (Coriandrum sativum), lemon balm* 12% (Melissa officinalis), ginger* (Zingiber officinale), fennel* 12% (Foeniculum vulgare), mugwort* (Artemisia vulgaris), rosebuds* (Rosa damascena), vanilla extract* 0.5%. *From organic farming. </v>
          </cell>
          <cell r="H335"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335" t="str">
            <v>/</v>
          </cell>
          <cell r="J335" t="str">
            <v>Loose Infusion</v>
          </cell>
          <cell r="K335" t="str">
            <v>/</v>
          </cell>
          <cell r="L335" t="str">
            <v>/</v>
          </cell>
        </row>
        <row r="336">
          <cell r="A336" t="str">
            <v>TA5026</v>
          </cell>
          <cell r="B336" t="str">
            <v>Le secret des muses</v>
          </cell>
          <cell r="C336" t="str">
            <v>Framboise - Citron</v>
          </cell>
          <cell r="D336" t="str">
            <v>The Secret of the muses</v>
          </cell>
          <cell r="E336" t="str">
            <v xml:space="preserve">Raspberry - Lemon </v>
          </cell>
          <cell r="F336" t="str">
            <v>Organic Flavoured White Tea</v>
          </cell>
          <cell r="G336" t="str">
            <v>Ingredients: white tea*, natural (raspberry* 7%, elderflower*) flavourings, raspberry pieces* 3%, flower petals (rose*, mallow*, lavender*, marigold*, sunflower*, cornflower*) , lemon peels* 1%, lemon essential oil* 0,3%. * From organic farming.</v>
          </cell>
          <cell r="H336" t="str">
            <v>/</v>
          </cell>
          <cell r="I336" t="str">
            <v>As a certified member of the World Fair Trade Organization, Les Jardins de Gaïa is committed to fairer trade and meets the requirements of fair trade. For more information: www.wfto.com.</v>
          </cell>
          <cell r="J336" t="str">
            <v>Loose leaf tea</v>
          </cell>
          <cell r="K336" t="str">
            <v>/</v>
          </cell>
          <cell r="L336"/>
        </row>
        <row r="337">
          <cell r="A337" t="str">
            <v>TA6172</v>
          </cell>
          <cell r="B337" t="str">
            <v>Le Songe du Colibri</v>
          </cell>
          <cell r="C337" t="str">
            <v>Huile essentielle de  citron - Basilic</v>
          </cell>
          <cell r="D337" t="str">
            <v>Hummingbird Reverie</v>
          </cell>
          <cell r="E337" t="str">
            <v>Lemon essential oil - Basil</v>
          </cell>
          <cell r="F337" t="str">
            <v>Organic Flavoured Green Tea</v>
          </cell>
          <cell r="G337" t="str">
            <v xml:space="preserve">Ingredients: green tea*, basil* 12%, marigold petals*, lemon essential oil* 2%. *From organic farming. </v>
          </cell>
          <cell r="H337" t="str">
            <v>/</v>
          </cell>
          <cell r="I337" t="str">
            <v>As a certified member of the World Fair Trade Organization, Les Jardins de Gaïa is committed to fairer trade and meets the requirements of fair trade. For more information: www.wfto.com.</v>
          </cell>
          <cell r="J337" t="str">
            <v>Leaf Tea</v>
          </cell>
          <cell r="K337" t="str">
            <v>/</v>
          </cell>
          <cell r="L337" t="str">
            <v>/</v>
          </cell>
        </row>
        <row r="338">
          <cell r="A338" t="str">
            <v>TUTA6172</v>
          </cell>
          <cell r="B338" t="str">
            <v>Le Songe du Colibri</v>
          </cell>
          <cell r="C338" t="str">
            <v>Huile essentielle de  citron - Basilic</v>
          </cell>
          <cell r="D338" t="str">
            <v>Hummingbird Reverie</v>
          </cell>
          <cell r="E338" t="str">
            <v>Lemon essential oil - Basil</v>
          </cell>
          <cell r="F338" t="str">
            <v>Organic Flavoured Green Tea</v>
          </cell>
          <cell r="G338" t="str">
            <v xml:space="preserve">Ingredients: green tea*, basil* 12%, marigold petals*, lemon essential oil* 2%. *From organic farming. </v>
          </cell>
          <cell r="H338" t="str">
            <v>/</v>
          </cell>
          <cell r="I338" t="str">
            <v>As a certified member of the World Fair Trade Organization, Les Jardins de Gaïa is committed to fairer trade and meets the requirements of fair trade. For more information: www.wfto.com.</v>
          </cell>
          <cell r="J338" t="str">
            <v>Leaf Tea</v>
          </cell>
          <cell r="K338" t="str">
            <v>/</v>
          </cell>
          <cell r="L338" t="str">
            <v>/</v>
          </cell>
        </row>
        <row r="339">
          <cell r="A339" t="str">
            <v>TJ2012</v>
          </cell>
          <cell r="B339" t="str">
            <v>Le thé des Samouraïs</v>
          </cell>
          <cell r="C339" t="str">
            <v>Gingembre - Verveine</v>
          </cell>
          <cell r="D339" t="str">
            <v>Samourai tea</v>
          </cell>
          <cell r="E339" t="str">
            <v>Ginger - Verbena</v>
          </cell>
          <cell r="F339" t="str">
            <v>Organic Perfumed Green Tea</v>
          </cell>
          <cell r="G339" t="str">
            <v>Ingredients: Japanese green tea*, ginger* 12%, verbena* 8%. *From organic farming.</v>
          </cell>
          <cell r="H339" t="str">
            <v>/</v>
          </cell>
          <cell r="I339" t="str">
            <v>/</v>
          </cell>
          <cell r="J339" t="str">
            <v>Loose leaf tea</v>
          </cell>
          <cell r="K339" t="str">
            <v>/</v>
          </cell>
          <cell r="L339"/>
        </row>
        <row r="340">
          <cell r="A340" t="str">
            <v>TH2602</v>
          </cell>
          <cell r="B340" t="str">
            <v>Lemongrass</v>
          </cell>
          <cell r="C340" t="str">
            <v>/</v>
          </cell>
          <cell r="D340" t="str">
            <v>Lemongrass</v>
          </cell>
          <cell r="E340" t="str">
            <v>/</v>
          </cell>
          <cell r="F340" t="str">
            <v>Organic Herbal Tea Infusion</v>
          </cell>
          <cell r="G340" t="str">
            <v xml:space="preserve">Ingredient: lemongrass** (Cymbopogon citratus). **From organic and biodynamic farming. demeter is the brand for products from biodynamic agriculture. </v>
          </cell>
          <cell r="H340" t="str">
            <v>/</v>
          </cell>
          <cell r="I340" t="str">
            <v>As a certified member of the World Fair Trade Organization, Les Jardins de Gaïa is committed to fairer trade and meets the requirements of fair trade. For more information: www.wfto.com.</v>
          </cell>
          <cell r="J340" t="str">
            <v>Loose Infusion</v>
          </cell>
          <cell r="K340" t="str">
            <v>/</v>
          </cell>
          <cell r="L340" t="str">
            <v>/</v>
          </cell>
        </row>
        <row r="341">
          <cell r="A341" t="str">
            <v>TM0036</v>
          </cell>
          <cell r="B341" t="str">
            <v>L'envolée sauvage</v>
          </cell>
          <cell r="C341" t="str">
            <v xml:space="preserve">Eucalyptus - Clous de girofle </v>
          </cell>
          <cell r="D341" t="str">
            <v>Flying Home</v>
          </cell>
          <cell r="E341" t="str">
            <v>Eucalyptus - Cloves</v>
          </cell>
          <cell r="F341" t="str">
            <v>Organic Herbal Tea and Spices Infusion</v>
          </cell>
          <cell r="G341" t="str">
            <v>Ingredients: lime blossom*, eucalyptus* 22%, apple pieces*, lemon balm*, myrtle*, meadowsweet*, cloves* 4%, marigold petals*, cornflower petals*. *From organic farming.</v>
          </cell>
          <cell r="H341" t="str">
            <v>/</v>
          </cell>
          <cell r="I341" t="str">
            <v>/</v>
          </cell>
          <cell r="J341" t="str">
            <v>Loose Infusion</v>
          </cell>
          <cell r="K341" t="str">
            <v>/</v>
          </cell>
          <cell r="L341" t="str">
            <v>/</v>
          </cell>
        </row>
        <row r="342">
          <cell r="A342" t="str">
            <v>TUTM0036</v>
          </cell>
          <cell r="B342" t="str">
            <v>L'envolée sauvage</v>
          </cell>
          <cell r="C342" t="str">
            <v xml:space="preserve">Eucalyptus - Clous de girofle </v>
          </cell>
          <cell r="D342" t="str">
            <v>Flying Home</v>
          </cell>
          <cell r="E342" t="str">
            <v>Eucalyptus - Cloves</v>
          </cell>
          <cell r="F342" t="str">
            <v>Organic Herbal Tea and Spices Infusion</v>
          </cell>
          <cell r="G342" t="str">
            <v>Ingredients: lime blossom*, eucalyptus* 22%, apple pieces*, lemon balm*, myrtle*, meadowsweet*, cloves* 4%, marigold petals*, cornflower petals*. *From organic farming.</v>
          </cell>
          <cell r="H342" t="str">
            <v>/</v>
          </cell>
          <cell r="I342" t="str">
            <v>/</v>
          </cell>
          <cell r="J342" t="str">
            <v>Loose Infusion</v>
          </cell>
          <cell r="K342" t="str">
            <v>/</v>
          </cell>
          <cell r="L342" t="str">
            <v>/</v>
          </cell>
        </row>
        <row r="343">
          <cell r="A343" t="str">
            <v>TO3602</v>
          </cell>
          <cell r="B343" t="str">
            <v>Les quatre portes célestes</v>
          </cell>
          <cell r="C343" t="str">
            <v>FTGBOP1</v>
          </cell>
          <cell r="D343" t="str">
            <v>The four heavenly doors</v>
          </cell>
          <cell r="E343" t="str">
            <v>FTGBOP1</v>
          </cell>
          <cell r="F343" t="str">
            <v>Organic Original Wu Long Tea</v>
          </cell>
          <cell r="G343" t="str">
            <v>Ingredient: wu long tea*. *From organic farming.</v>
          </cell>
          <cell r="H343" t="str">
            <v>/</v>
          </cell>
          <cell r="I343" t="str">
            <v>As a certified member of the World Fair Trade Organization, Les Jardins de Gaïa is committed to fairer trade and meets the requirements of fair trade. For more information: www.wfto.com.</v>
          </cell>
          <cell r="J343" t="str">
            <v>Loose leaf tea</v>
          </cell>
          <cell r="K343" t="str">
            <v>/</v>
          </cell>
          <cell r="L343"/>
        </row>
        <row r="344">
          <cell r="A344" t="str">
            <v>TA6902</v>
          </cell>
          <cell r="B344" t="str">
            <v>Lézar'thé</v>
          </cell>
          <cell r="C344" t="str">
            <v>Mélange tonique
Thé vert - Maté</v>
          </cell>
          <cell r="D344" t="str">
            <v>Lizar'Tea</v>
          </cell>
          <cell r="E344" t="str">
            <v>Tonic blend
Green tea - Mate</v>
          </cell>
          <cell r="F344" t="str">
            <v>Organic Flavoured Green Tea</v>
          </cell>
          <cell r="G344" t="str">
            <v xml:space="preserve">Ingredients: green tea* 65%, mate* 11%, lemongrass*, guarana*, ginger*, verbena*, peach pieces*, natural peach  flavouring*. *From organic farming. </v>
          </cell>
          <cell r="H344"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344" t="str">
            <v>/</v>
          </cell>
          <cell r="J344" t="str">
            <v>Loose leaf tea</v>
          </cell>
          <cell r="K344" t="str">
            <v>/</v>
          </cell>
          <cell r="L344"/>
        </row>
        <row r="345">
          <cell r="A345" t="str">
            <v>TN4082</v>
          </cell>
          <cell r="B345" t="str">
            <v xml:space="preserve">Lien Son </v>
          </cell>
          <cell r="C345" t="str">
            <v>FOP</v>
          </cell>
          <cell r="D345" t="str">
            <v xml:space="preserve">Lien Son </v>
          </cell>
          <cell r="E345" t="str">
            <v>FOP</v>
          </cell>
          <cell r="F345" t="str">
            <v>Organic Original Black Tea</v>
          </cell>
          <cell r="G345" t="str">
            <v>Ingredient: black tea*. *From organic farming.</v>
          </cell>
          <cell r="H345" t="str">
            <v>/</v>
          </cell>
          <cell r="I345" t="str">
            <v>As a certified member of the World Fair Trade Organization, Les Jardins de Gaïa is committed to fairer trade and meets the requirements of fair trade. For more information: www.wfto.com.</v>
          </cell>
          <cell r="J345" t="str">
            <v>Loose leaf tea</v>
          </cell>
          <cell r="K345" t="str">
            <v>/</v>
          </cell>
          <cell r="L345"/>
        </row>
        <row r="346">
          <cell r="A346" t="str">
            <v>TM7372</v>
          </cell>
          <cell r="B346" t="str">
            <v>Light my fire</v>
          </cell>
          <cell r="C346" t="str">
            <v>Ardent</v>
          </cell>
          <cell r="D346" t="str">
            <v>Light my fire</v>
          </cell>
          <cell r="E346" t="str">
            <v>Ardent</v>
          </cell>
          <cell r="F346" t="str">
            <v>Organic Perfumed Black Tea</v>
          </cell>
          <cell r="G346" t="str">
            <v>Ingredients: black tea*, honeybush*, ginger*, tonka bean*, turmeric*, mandarin peels*, chili pepper*, rose berries*, poppy petals*. *From organic farming.</v>
          </cell>
          <cell r="H346" t="str">
            <v>/</v>
          </cell>
          <cell r="I346" t="str">
            <v>As a certified member of the World Fair Trade Organization, Les Jardins de Gaïa is committed to fairer trade and meets the requirements of fair trade. For more information: www.wfto.com.</v>
          </cell>
          <cell r="J346" t="str">
            <v>Loose leaf tea</v>
          </cell>
          <cell r="K346" t="str">
            <v>/</v>
          </cell>
          <cell r="L346"/>
        </row>
        <row r="347">
          <cell r="A347" t="str">
            <v>TUTM7372</v>
          </cell>
          <cell r="B347" t="str">
            <v>Light my fire</v>
          </cell>
          <cell r="C347" t="str">
            <v>Ardent</v>
          </cell>
          <cell r="D347" t="str">
            <v>Light my fire</v>
          </cell>
          <cell r="E347" t="str">
            <v>Ardent</v>
          </cell>
          <cell r="F347" t="str">
            <v>Organic Perfumed Black Tea</v>
          </cell>
          <cell r="G347" t="str">
            <v>Ingredients: black tea*, honeybush*, ginger*, tonka bean*, turmeric*, mandarin peels*, chili pepper*, rose berries*, poppy petals*. *From organic farming.</v>
          </cell>
          <cell r="H347" t="str">
            <v>/</v>
          </cell>
          <cell r="I347" t="str">
            <v>As a certified member of the World Fair Trade Organization, Les Jardins de Gaïa is committed to fairer trade and meets the requirements of fair trade. For more information: www.wfto.com.</v>
          </cell>
          <cell r="J347" t="str">
            <v>Loose leaf tea</v>
          </cell>
          <cell r="K347" t="str">
            <v>/</v>
          </cell>
          <cell r="L347"/>
        </row>
        <row r="348">
          <cell r="A348" t="str">
            <v>TV6562</v>
          </cell>
          <cell r="B348" t="str">
            <v>Long Jing</v>
          </cell>
          <cell r="C348" t="str">
            <v>Puits du dragon</v>
          </cell>
          <cell r="D348" t="str">
            <v>Long Jing</v>
          </cell>
          <cell r="E348" t="str">
            <v>Well of the dragon</v>
          </cell>
          <cell r="F348" t="str">
            <v>Organic Original Green Tea</v>
          </cell>
          <cell r="G348" t="str">
            <v>Ingredient: green tea*. *From organic farming.</v>
          </cell>
          <cell r="H348" t="str">
            <v>/</v>
          </cell>
          <cell r="I348" t="str">
            <v>As a certified member of the World Fair Trade Organization, Les Jardins de Gaïa is committed to fairer trade and meets the requirements of fair trade. For more information: www.wfto.com.</v>
          </cell>
          <cell r="J348" t="str">
            <v>Loose leaf tea</v>
          </cell>
          <cell r="K348" t="str">
            <v>/</v>
          </cell>
          <cell r="L348"/>
        </row>
        <row r="349">
          <cell r="A349" t="str">
            <v>TV4585</v>
          </cell>
          <cell r="B349" t="str">
            <v>Long Jing Senteur céleste</v>
          </cell>
          <cell r="C349" t="str">
            <v>Puits du dragon 龙井</v>
          </cell>
          <cell r="D349" t="str">
            <v>Long Jing Heavenly scent</v>
          </cell>
          <cell r="E349" t="str">
            <v>Well of dragon 龙井</v>
          </cell>
          <cell r="F349" t="str">
            <v>Singel Estate Organic Mingqian Green Tea</v>
          </cell>
          <cell r="G349" t="str">
            <v>Ingredient: green tea*. *From organic farming.</v>
          </cell>
          <cell r="H349" t="str">
            <v>/</v>
          </cell>
          <cell r="I349" t="str">
            <v>As a certified member of the World Fair Trade Organization, Les Jardins de Gaïa is committed to fairer trade and meets the requirements of fair trade. For more information: www.wfto.com.</v>
          </cell>
          <cell r="J349" t="str">
            <v>Loose leaf tea</v>
          </cell>
          <cell r="K349" t="str">
            <v>Several infusions</v>
          </cell>
          <cell r="L349"/>
        </row>
        <row r="350">
          <cell r="A350" t="str">
            <v>TV4586</v>
          </cell>
          <cell r="B350" t="str">
            <v>Long Jing Senteur céleste</v>
          </cell>
          <cell r="C350" t="str">
            <v>Puits du dragon 龙井</v>
          </cell>
          <cell r="D350" t="str">
            <v>Long Jing Heavenly scent</v>
          </cell>
          <cell r="E350" t="str">
            <v>Well of dragon 龙井</v>
          </cell>
          <cell r="F350" t="str">
            <v>Singel Estate Organic Mingqian Green Tea</v>
          </cell>
          <cell r="G350" t="str">
            <v>Ingredient: green tea*. *From organic farming.</v>
          </cell>
          <cell r="H350" t="str">
            <v>/</v>
          </cell>
          <cell r="I350" t="str">
            <v>As a certified member of the World Fair Trade Organization, Les Jardins de Gaïa is committed to fairer trade and meets the requirements of fair trade. For more information: www.wfto.com.</v>
          </cell>
          <cell r="J350" t="str">
            <v>Loose leaf tea</v>
          </cell>
          <cell r="K350" t="str">
            <v>Several infusions</v>
          </cell>
          <cell r="L350"/>
        </row>
        <row r="351">
          <cell r="A351" t="str">
            <v>TV4586R</v>
          </cell>
          <cell r="B351" t="str">
            <v>Long Jing Senteur céleste</v>
          </cell>
          <cell r="C351" t="str">
            <v>Puits du dragon 龙井</v>
          </cell>
          <cell r="D351" t="str">
            <v>Long Jing Heavenly scent</v>
          </cell>
          <cell r="E351" t="str">
            <v>Well of dragon 龙井</v>
          </cell>
          <cell r="F351" t="str">
            <v>Singel Estate Organic Mingqian Green Tea</v>
          </cell>
          <cell r="G351" t="str">
            <v>Ingredient: green tea*. *From organic farming.</v>
          </cell>
          <cell r="H351" t="str">
            <v>/</v>
          </cell>
          <cell r="I351" t="str">
            <v>As a certified member of the World Fair Trade Organization, Les Jardins de Gaïa is committed to fairer trade and meets the requirements of fair trade. For more information: www.wfto.com.</v>
          </cell>
          <cell r="J351" t="str">
            <v>Loose leaf tea</v>
          </cell>
          <cell r="K351" t="str">
            <v>Several infusions</v>
          </cell>
          <cell r="L351"/>
        </row>
        <row r="352">
          <cell r="A352" t="str">
            <v>TM0102</v>
          </cell>
          <cell r="B352" t="str">
            <v>Love supreme</v>
          </cell>
          <cell r="C352" t="str">
            <v>Épices - Fleurs</v>
          </cell>
          <cell r="D352" t="str">
            <v>Love supreme</v>
          </cell>
          <cell r="E352" t="str">
            <v>Spices - Flowers</v>
          </cell>
          <cell r="F352" t="str">
            <v>Organic Perfumed Black Tea</v>
          </cell>
          <cell r="G352" t="str">
            <v xml:space="preserve">Ingredients: black tea*, spices (cinnamon*, ginger*, cloves*, black pepper*, cardamom*) 17%, flower petals (rose*, mallow*, cornflower*, marigold*) 4%. *From organic farming. </v>
          </cell>
          <cell r="H352" t="str">
            <v>/</v>
          </cell>
          <cell r="I352" t="str">
            <v>As a certified member of the World Fair Trade Organization, Les Jardins de Gaïa is committed to fairer trade and meets the requirements of fair trade. For more information: www.wfto.com.</v>
          </cell>
          <cell r="J352" t="str">
            <v>Loose leaf tea</v>
          </cell>
          <cell r="K352" t="str">
            <v>/</v>
          </cell>
          <cell r="L352"/>
        </row>
        <row r="353">
          <cell r="A353" t="str">
            <v>TV1125</v>
          </cell>
          <cell r="B353" t="str">
            <v>Lü Zhen Green Needle Special</v>
          </cell>
          <cell r="C353" t="str">
            <v>Aiguilles vertes 绿针</v>
          </cell>
          <cell r="D353" t="str">
            <v>Lü Zhen Green Needle Special</v>
          </cell>
          <cell r="E353" t="str">
            <v>Green needles 绿针</v>
          </cell>
          <cell r="F353" t="str">
            <v>Singel Estate Organic Mingqian Green Tea</v>
          </cell>
          <cell r="G353" t="str">
            <v>Ingredient: green tea*. *From organic farming.</v>
          </cell>
          <cell r="H353" t="str">
            <v>/</v>
          </cell>
          <cell r="I353" t="str">
            <v>As a certified member of the World Fair Trade Organization, Les Jardins de Gaïa is committed to fairer trade and meets the requirements of fair trade. For more information: www.wfto.com.</v>
          </cell>
          <cell r="J353" t="str">
            <v>Loose leaf tea</v>
          </cell>
          <cell r="K353" t="str">
            <v>Several infusions</v>
          </cell>
          <cell r="L353"/>
        </row>
        <row r="354">
          <cell r="A354" t="str">
            <v>TV1126</v>
          </cell>
          <cell r="B354" t="str">
            <v>Lü Zhen Green Needle Special</v>
          </cell>
          <cell r="C354" t="str">
            <v>Aiguilles vertes 绿针</v>
          </cell>
          <cell r="D354" t="str">
            <v>Lü Zhen Green Needle Special</v>
          </cell>
          <cell r="E354" t="str">
            <v>Green needles 绿针</v>
          </cell>
          <cell r="F354" t="str">
            <v>Singel Estate Organic Mingqian Green Tea</v>
          </cell>
          <cell r="G354" t="str">
            <v>Ingredient: green tea*. *From organic farming.</v>
          </cell>
          <cell r="H354" t="str">
            <v>/</v>
          </cell>
          <cell r="I354" t="str">
            <v>As a certified member of the World Fair Trade Organization, Les Jardins de Gaïa is committed to fairer trade and meets the requirements of fair trade. For more information: www.wfto.com.</v>
          </cell>
          <cell r="J354" t="str">
            <v>Loose leaf tea</v>
          </cell>
          <cell r="K354" t="str">
            <v>Several infusions</v>
          </cell>
          <cell r="L354"/>
        </row>
        <row r="355">
          <cell r="A355" t="str">
            <v>TV1126R</v>
          </cell>
          <cell r="B355" t="str">
            <v>Lü Zhen Green Needle Special</v>
          </cell>
          <cell r="C355" t="str">
            <v>Aiguilles vertes 绿针</v>
          </cell>
          <cell r="D355" t="str">
            <v>Lü Zhen Green Needle Special</v>
          </cell>
          <cell r="E355" t="str">
            <v>Green needles 绿针</v>
          </cell>
          <cell r="F355" t="str">
            <v>Singel Estate Organic Mingqian Green Tea</v>
          </cell>
          <cell r="G355" t="str">
            <v>Ingredient: green tea*. *From organic farming.</v>
          </cell>
          <cell r="H355" t="str">
            <v>/</v>
          </cell>
          <cell r="I355" t="str">
            <v>As a certified member of the World Fair Trade Organization, Les Jardins de Gaïa is committed to fairer trade and meets the requirements of fair trade. For more information: www.wfto.com.</v>
          </cell>
          <cell r="J355" t="str">
            <v>Loose leaf tea</v>
          </cell>
          <cell r="K355" t="str">
            <v>Several infusions</v>
          </cell>
          <cell r="L355"/>
        </row>
        <row r="356">
          <cell r="A356" t="str">
            <v>TR2092</v>
          </cell>
          <cell r="B356" t="str">
            <v>Lumière d'étoiles</v>
          </cell>
          <cell r="C356" t="str">
            <v>Orange - Épices</v>
          </cell>
          <cell r="D356" t="str">
            <v xml:space="preserve">Starlight </v>
          </cell>
          <cell r="E356" t="str">
            <v>Orange - Spices</v>
          </cell>
          <cell r="F356" t="str">
            <v>Organic Flavoured Rooibos</v>
          </cell>
          <cell r="G356" t="str">
            <v>Ingredients: rooibos*, fruit (orange peels* 3%, apple*, rosehips*), sweet orange essential oil* 2%, spices (cinnamon*, ginger*, cloves*) 2%, natural (apple*, almond*, strawberry*) flavourings, hibiscus*, flaked almonds*, cinnamon extract*. *From organic farming.
NOEL 2024 : 
Ingredients: rooibos*, spices (cinnamon*, ginger*, pepper*, cloves*) 14,5%, fruit (orange peels* 2,5%, apple*, rosehips*), sweet orange essential oil* 2%, natural (apple*, almond*, strawberry*) flavourings, hibiscus*, flaked almonds*, cinnamon extract* 0,5%. *From organic farming.</v>
          </cell>
          <cell r="H356" t="str">
            <v>/</v>
          </cell>
          <cell r="I356" t="str">
            <v>As a certified member of the World Fair Trade Organization, Les Jardins de Gaïa is committed to fairer trade and meets the requirements of fair trade. For more information: www.wfto.com.</v>
          </cell>
          <cell r="J356" t="str">
            <v>Loose rooibos</v>
          </cell>
          <cell r="K356" t="str">
            <v>/</v>
          </cell>
          <cell r="L356" t="str">
            <v>/</v>
          </cell>
        </row>
        <row r="357">
          <cell r="A357" t="str">
            <v>TR2092</v>
          </cell>
          <cell r="B357" t="str">
            <v>Lumière d'étoiles</v>
          </cell>
          <cell r="C357" t="str">
            <v>Orange - Épices</v>
          </cell>
          <cell r="D357" t="str">
            <v xml:space="preserve">Starlight </v>
          </cell>
          <cell r="E357" t="str">
            <v>Orange - Spices</v>
          </cell>
          <cell r="F357" t="str">
            <v>Organic Flavoured Rooibos</v>
          </cell>
          <cell r="G357" t="str">
            <v>Ingredients: rooibos*, fruit (orange peels* 3%, apple*, rosehips*), sweet orange essential oil* 2%, spices (cinnamon*, ginger*, cloves*) 2%, natural (apple*, almond*, strawberry*) flavourings, hibiscus*, flaked almonds*, cinnamon extract*. *From organic farming.
NOEL 2024 : 
Ingredients: rooibos*, spices (cinnamon*, ginger*, pepper*, cloves*) 14,5%, fruit (orange peels* 2,5%, apple*, rosehips*), sweet orange essential oil* 2%, natural (apple*, almond*, strawberry*) flavourings, hibiscus*, flaked almonds*, cinnamon extract* 0,5%. *From organic farming.</v>
          </cell>
          <cell r="H357" t="str">
            <v>/</v>
          </cell>
          <cell r="I357" t="str">
            <v>As a certified member of the World Fair Trade Organization, Les Jardins de Gaïa is committed to fairer trade and meets the requirements of fair trade. For more information: www.wfto.com.</v>
          </cell>
          <cell r="J357" t="str">
            <v>Loose rooibos</v>
          </cell>
          <cell r="K357" t="str">
            <v>/</v>
          </cell>
          <cell r="L357" t="str">
            <v>/</v>
          </cell>
        </row>
        <row r="358">
          <cell r="A358" t="str">
            <v>TSTR2092V4</v>
          </cell>
          <cell r="B358" t="str">
            <v>Lumière d'étoiles</v>
          </cell>
          <cell r="C358" t="str">
            <v>Orange - Épices</v>
          </cell>
          <cell r="D358" t="str">
            <v xml:space="preserve">Starlight </v>
          </cell>
          <cell r="E358" t="str">
            <v>Orange - Spices</v>
          </cell>
          <cell r="F358" t="str">
            <v>Organic Flavoured Rooibos</v>
          </cell>
          <cell r="G358" t="str">
            <v>Ingredients: rooibos*, fruit (orange peels* 3%, apple*, rosehips*), sweet orange essential oil* 2%, spices (cinnamon*, ginger*, cloves*) 2%, natural (apple*, almond*, strawberry*) flavourings, hibiscus*, flaked almonds*, cinnamon extract*. *From organic farming.</v>
          </cell>
          <cell r="H358" t="str">
            <v>/</v>
          </cell>
          <cell r="I358" t="str">
            <v>As a certified member of the World Fair Trade Organization, Les Jardins de Gaïa is committed to fairer trade and meets the requirements of fair trade. For more information: www.wfto.com.</v>
          </cell>
          <cell r="J358" t="str">
            <v>Loose rooibos</v>
          </cell>
          <cell r="K358" t="str">
            <v>/</v>
          </cell>
          <cell r="L358" t="str">
            <v>/</v>
          </cell>
        </row>
        <row r="359">
          <cell r="A359" t="str">
            <v>TA6912</v>
          </cell>
          <cell r="B359" t="str">
            <v>Lumière d'Orient</v>
          </cell>
          <cell r="C359" t="str">
            <v>Huiles essentielles d'agrumes - Cannelle</v>
          </cell>
          <cell r="D359" t="str">
            <v>Oriental Light</v>
          </cell>
          <cell r="E359" t="str">
            <v>Citrus essential oils - Cinnamon</v>
          </cell>
          <cell r="F359" t="str">
            <v>Organic Flavoured Green Tea</v>
          </cell>
          <cell r="G359" t="str">
            <v xml:space="preserve">Ingredients: green tea*, orange peels*, citrus essential oils (sweet orange*, lemon*, mandarin*) 1.5%, cinnamon pieces* 1%, cinnamon extract* 0.2%, sunflower petals*. *From organic farming.  </v>
          </cell>
          <cell r="H359" t="str">
            <v>/</v>
          </cell>
          <cell r="I359" t="str">
            <v>As a certified member of the World Fair Trade Organization, Les Jardins de Gaïa is committed to fairer trade and meets the requirements of fair trade. For more information: www.wfto.com.</v>
          </cell>
          <cell r="J359" t="str">
            <v>Loose leaf tea</v>
          </cell>
          <cell r="K359" t="str">
            <v>/</v>
          </cell>
          <cell r="L359"/>
        </row>
        <row r="360">
          <cell r="A360" t="str">
            <v>TA6912</v>
          </cell>
          <cell r="B360" t="str">
            <v>Lumière d'Orient</v>
          </cell>
          <cell r="C360" t="str">
            <v>Huiles essentielles d'agrumes - Cannelle</v>
          </cell>
          <cell r="D360" t="str">
            <v>Oriental Light</v>
          </cell>
          <cell r="E360" t="str">
            <v>Citrus essential oils - Cinnamon</v>
          </cell>
          <cell r="F360" t="str">
            <v>Organic Flavoured Green Tea</v>
          </cell>
          <cell r="G360" t="str">
            <v xml:space="preserve">Ingredients: green tea*, orange peels*, citrus essential oils (sweet orange*, lemon*, mandarin*) 1.5%, cinnamon pieces* 1%, cinnamon extract* 0.2%, sunflower petals*. *From organic farming.  </v>
          </cell>
          <cell r="H360" t="str">
            <v>/</v>
          </cell>
          <cell r="I360" t="str">
            <v>As a certified member of the World Fair Trade Organization, Les Jardins de Gaïa is committed to fairer trade and meets the requirements of fair trade. For more information: www.wfto.com.</v>
          </cell>
          <cell r="J360" t="str">
            <v>Loose leaf tea</v>
          </cell>
          <cell r="K360" t="str">
            <v>/</v>
          </cell>
          <cell r="L360"/>
        </row>
        <row r="361">
          <cell r="A361" t="str">
            <v>TR2292</v>
          </cell>
          <cell r="B361" t="str">
            <v>Macumba du désert</v>
          </cell>
          <cell r="C361" t="str">
            <v>Buchu - Saveur citron</v>
          </cell>
          <cell r="D361" t="str">
            <v>African Macumba</v>
          </cell>
          <cell r="E361" t="str">
            <v>Buchu - Lemon flavour</v>
          </cell>
          <cell r="F361" t="str">
            <v>Organic Perfumed Rooibos</v>
          </cell>
          <cell r="G361" t="str">
            <v>Ingredients: rooibos* 95%, buchu* 1%, lemon essential oil* 1%, currant berries*, pomegranate peels*, chamomile petals*. *From organic farming.</v>
          </cell>
          <cell r="H361" t="str">
            <v>/</v>
          </cell>
          <cell r="I361" t="str">
            <v>As a certified member of the World Fair Trade Organization, Les Jardins de Gaïa is committed to fairer trade and meets the requirements of fair trade. For more information: www.wfto.com.</v>
          </cell>
          <cell r="J361" t="str">
            <v>Loose rooibos</v>
          </cell>
          <cell r="K361" t="str">
            <v>/</v>
          </cell>
          <cell r="L361" t="str">
            <v>/</v>
          </cell>
        </row>
        <row r="362">
          <cell r="A362" t="str">
            <v>TF1112</v>
          </cell>
          <cell r="B362" t="str">
            <v>Mademoiselle Framboise</v>
          </cell>
          <cell r="C362" t="str">
            <v>Framboise</v>
          </cell>
          <cell r="D362" t="str">
            <v>Lady Raspberry</v>
          </cell>
          <cell r="E362" t="str">
            <v>Raspberry</v>
          </cell>
          <cell r="F362" t="str">
            <v>Organic Flavoured Fruit Tea</v>
          </cell>
          <cell r="G362" t="str">
            <v>Ingredients: fruit (apple* 39%, raspberry* 4%), natural (raspberry* 14%, strawberry*, blackcurrant*) flavourings, beetroot pieces*, rosehip peels*, hibiscus*, liquorice* 5%, orange peels* 5%, redcurrants* 3%, mulberry leaves*, lemon essential oil* 1%. *From organic farming. Contains liquorice, people suffering from hypertension should avoid excessive consumption.</v>
          </cell>
          <cell r="H362" t="str">
            <v>/</v>
          </cell>
          <cell r="I362" t="str">
            <v>/</v>
          </cell>
          <cell r="J362" t="str">
            <v>Loose infusion</v>
          </cell>
          <cell r="K362" t="str">
            <v>/</v>
          </cell>
          <cell r="L362" t="str">
            <v>/</v>
          </cell>
        </row>
        <row r="363">
          <cell r="A363" t="str">
            <v>TR2042</v>
          </cell>
          <cell r="B363" t="str">
            <v>Magie des bois</v>
          </cell>
          <cell r="C363" t="str">
            <v>Saveurs myrtille - framboise</v>
          </cell>
          <cell r="D363" t="str">
            <v>Woodland Magic</v>
          </cell>
          <cell r="E363" t="str">
            <v>Blueberry - raspberry flavours</v>
          </cell>
          <cell r="F363" t="str">
            <v>Organic Flavoured Rooibos</v>
          </cell>
          <cell r="G363" t="str">
            <v>Ingredients: rooibos*, natural (blueberry*, raspberry*) flavourings 13%, aronia*, cornflower petals*. *From organic farming.</v>
          </cell>
          <cell r="H363" t="str">
            <v>/</v>
          </cell>
          <cell r="I363" t="str">
            <v>As a certified member of the World Fair Trade Organization, Les Jardins de Gaïa is committed to fairer trade and meets the requirements of fair trade. For more information: www.wfto.com.</v>
          </cell>
          <cell r="J363" t="str">
            <v>Loose rooibos</v>
          </cell>
          <cell r="K363" t="str">
            <v>/</v>
          </cell>
          <cell r="L363" t="str">
            <v>/</v>
          </cell>
        </row>
        <row r="364">
          <cell r="A364" t="str">
            <v>TA7372</v>
          </cell>
          <cell r="B364" t="str">
            <v>Malin comme un chimpanzé</v>
          </cell>
          <cell r="C364" t="str">
            <v>Saveur miel - Figue - Thym</v>
          </cell>
          <cell r="D364" t="str">
            <v>Chimps'tea</v>
          </cell>
          <cell r="E364" t="str">
            <v>Honey flavour - Fig - Thyme</v>
          </cell>
          <cell r="F364" t="str">
            <v>Organic Flavoured Black Tea</v>
          </cell>
          <cell r="G364" t="str">
            <v>Ingredients: black tea*, honeybush*, fig pieces* (19%), natural (fig° 5%, honey* 4%) flavourings, thyme* 1%, marigold petals*. *From organic farming. °Biocompatible flavouring.</v>
          </cell>
          <cell r="H364" t="str">
            <v>/</v>
          </cell>
          <cell r="I364" t="str">
            <v>/</v>
          </cell>
          <cell r="J364" t="str">
            <v>Leaf tea</v>
          </cell>
          <cell r="K364" t="str">
            <v>/</v>
          </cell>
          <cell r="L364" t="str">
            <v>/</v>
          </cell>
        </row>
        <row r="365">
          <cell r="A365" t="str">
            <v>TUTA7372</v>
          </cell>
          <cell r="B365" t="str">
            <v>Malin comme un chimpanzé</v>
          </cell>
          <cell r="C365" t="str">
            <v>Saveur miel - Figue - Thym</v>
          </cell>
          <cell r="D365" t="str">
            <v>Chimps'tea</v>
          </cell>
          <cell r="E365" t="str">
            <v>Honey flavour - Fig - Thyme</v>
          </cell>
          <cell r="F365" t="str">
            <v>Organic Flavoured Black Tea</v>
          </cell>
          <cell r="G365" t="str">
            <v>Ingredients: black tea*, honeybush*, fig pieces* (19%), natural (fig° 5%, honey* 4%) flavourings, thyme* 1%, marigold petals*. *From organic farming. °Biocompatible flavouring.</v>
          </cell>
          <cell r="H365" t="str">
            <v>/</v>
          </cell>
          <cell r="I365" t="str">
            <v>/</v>
          </cell>
          <cell r="J365" t="str">
            <v>Leaf tea</v>
          </cell>
          <cell r="K365" t="str">
            <v>/</v>
          </cell>
          <cell r="L365" t="str">
            <v>/</v>
          </cell>
        </row>
        <row r="366">
          <cell r="A366" t="str">
            <v>TR2272</v>
          </cell>
          <cell r="B366" t="str">
            <v>Mama Rose</v>
          </cell>
          <cell r="C366" t="str">
            <v>Rose</v>
          </cell>
          <cell r="D366" t="str">
            <v>Mama Rose</v>
          </cell>
          <cell r="E366" t="str">
            <v>Rose</v>
          </cell>
          <cell r="F366" t="str">
            <v>Organic Flavoured Rooibos</v>
          </cell>
          <cell r="G366" t="str">
            <v>Ingredients: rooibos**, rose extract* 9%, rose petals** 3%. *From organic farming. **From organic and biodynamic farming. demeter is the brand for products from biodynamic agriculture.</v>
          </cell>
          <cell r="H366" t="str">
            <v>/</v>
          </cell>
          <cell r="I366" t="str">
            <v>As a certified member of the World Fair Trade Organization, Les Jardins de Gaïa is committed to fairer trade and meets the requirements of fair trade. For more information: www.wfto.com.</v>
          </cell>
          <cell r="J366" t="str">
            <v>Loose rooibos</v>
          </cell>
          <cell r="K366" t="str">
            <v>/</v>
          </cell>
          <cell r="L366" t="str">
            <v>/</v>
          </cell>
        </row>
        <row r="367">
          <cell r="A367" t="str">
            <v>TH530</v>
          </cell>
          <cell r="B367" t="str">
            <v>Maman Baby</v>
          </cell>
          <cell r="C367" t="str">
            <v>Allaitement &amp; Confort digestif
Carvi - Fenouil - Anis</v>
          </cell>
          <cell r="D367" t="str">
            <v>Maman Baby</v>
          </cell>
          <cell r="E367" t="str">
            <v>Breastfeeding &amp; Digestive Comfort
Caraway - Fennel - Anise</v>
          </cell>
          <cell r="F367" t="str">
            <v>Organic Herbal Tea Infusion</v>
          </cell>
          <cell r="G367" t="str">
            <v>Ingredients: caraway* 40% (Carum carvi), fennel* 30% (Foeniculum vulgare), anise* 30% (Pimpinella anisum). *From organic farming.</v>
          </cell>
          <cell r="H367"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367" t="str">
            <v>/</v>
          </cell>
          <cell r="J367" t="str">
            <v>Loose Infusion</v>
          </cell>
          <cell r="K367" t="str">
            <v>/</v>
          </cell>
          <cell r="L367" t="str">
            <v>/</v>
          </cell>
        </row>
        <row r="368">
          <cell r="A368" t="str">
            <v>TUTH5072</v>
          </cell>
          <cell r="B368" t="str">
            <v>Maman et bébé</v>
          </cell>
          <cell r="C368" t="str">
            <v>Allaitement &amp; Confort digestif
Fenouil - Anis - Mélisse</v>
          </cell>
          <cell r="D368" t="str">
            <v>Mummy and baby</v>
          </cell>
          <cell r="E368" t="str">
            <v>Breastfeeding &amp; Digestive Comfort
Fennel - Anise - Lemon balm</v>
          </cell>
          <cell r="F368" t="str">
            <v>Organic Herbal Tea Infusion</v>
          </cell>
          <cell r="G368" t="str">
            <v>Ingredients: fennel* 40% (Foeniculum vulgare), anise* 30% (Pimpinella anisum), cumin* (Cuminum cyminum), lemon balm* 10% (Melissa officinalis). *Issu de l’agriculture biologique.</v>
          </cell>
          <cell r="H368" t="str">
            <v>Recommended daily consumption: four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368" t="str">
            <v>/</v>
          </cell>
          <cell r="J368" t="str">
            <v>Loose Infusion</v>
          </cell>
          <cell r="K368" t="str">
            <v>/</v>
          </cell>
          <cell r="L368" t="str">
            <v>/</v>
          </cell>
        </row>
        <row r="369">
          <cell r="A369" t="str">
            <v>TV1162</v>
          </cell>
          <cell r="B369" t="str">
            <v>Mao Feng</v>
          </cell>
          <cell r="C369" t="str">
            <v>Cimes duveteuses 毛峰</v>
          </cell>
          <cell r="D369" t="str">
            <v>Mao Feng</v>
          </cell>
          <cell r="E369" t="str">
            <v>Downy peaks 毛峰</v>
          </cell>
          <cell r="F369" t="str">
            <v>Organic Original Green Tea</v>
          </cell>
          <cell r="G369" t="str">
            <v>Ingredient: green tea*. *From organic farming.</v>
          </cell>
          <cell r="H369" t="str">
            <v>/</v>
          </cell>
          <cell r="I369" t="str">
            <v>As a certified member of the World Fair Trade Organization, Les Jardins de Gaïa is committed to fairer trade and meets the requirements of fair trade. For more information: www.wfto.com.</v>
          </cell>
          <cell r="J369" t="str">
            <v>Loose leaf tea</v>
          </cell>
          <cell r="K369" t="str">
            <v>Several infusions</v>
          </cell>
          <cell r="L369"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370">
          <cell r="A370" t="str">
            <v>TV1172</v>
          </cell>
          <cell r="B370" t="str">
            <v>Mao Jian</v>
          </cell>
          <cell r="C370" t="str">
            <v>Pointes duveteuses 毛尖茶</v>
          </cell>
          <cell r="D370" t="str">
            <v>Mao Jian</v>
          </cell>
          <cell r="E370" t="str">
            <v>Downy tips 毛尖茶</v>
          </cell>
          <cell r="F370" t="str">
            <v>Organic Original Green Tea</v>
          </cell>
          <cell r="G370" t="str">
            <v>Ingredient: green tea*. *From organic farming.</v>
          </cell>
          <cell r="H370" t="str">
            <v>/</v>
          </cell>
          <cell r="I370" t="str">
            <v>As a certified member of the World Fair Trade Organization, Les Jardins de Gaïa is committed to fairer trade and meets the requirements of fair trade. For more information: www.wfto.com.</v>
          </cell>
          <cell r="J370" t="str">
            <v>Loose leaf tea</v>
          </cell>
          <cell r="K370" t="str">
            <v>/</v>
          </cell>
          <cell r="L370"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371">
          <cell r="A371" t="str">
            <v>TM1652</v>
          </cell>
          <cell r="B371" t="str">
            <v>Masala pour Tchaï</v>
          </cell>
          <cell r="C371" t="str">
            <v>Gaïa fort</v>
          </cell>
          <cell r="D371" t="str">
            <v>Masala for Chai</v>
          </cell>
          <cell r="E371" t="str">
            <v>Strong Gaïa</v>
          </cell>
          <cell r="F371" t="str">
            <v>Organic Spices Infusion</v>
          </cell>
          <cell r="G371" t="str">
            <v xml:space="preserve">Ingredients: cinnamon**, ginger**, black pepper**, cloves**, cardamom**. **From organic and biodynamic farming. demeter is the brand for products from biodynamic agriculture. </v>
          </cell>
          <cell r="H371" t="str">
            <v>/</v>
          </cell>
          <cell r="I371" t="str">
            <v>As a certified member of the World Fair Trade Organization, Les Jardins de Gaïa is committed to fairer trade and meets the requirements of fair trade. For more information: www.wfto.com.</v>
          </cell>
          <cell r="J371" t="str">
            <v>Loose infusion</v>
          </cell>
          <cell r="K371" t="str">
            <v>/</v>
          </cell>
          <cell r="L371" t="str">
            <v>/</v>
          </cell>
        </row>
        <row r="372">
          <cell r="A372" t="str">
            <v>TM1652</v>
          </cell>
          <cell r="B372" t="str">
            <v>Masala pour Tchaï</v>
          </cell>
          <cell r="C372" t="str">
            <v>Gaïa fort</v>
          </cell>
          <cell r="D372" t="str">
            <v>Masala for Chai</v>
          </cell>
          <cell r="E372" t="str">
            <v>Strong Gaïa</v>
          </cell>
          <cell r="F372" t="str">
            <v>Organic Spices Infusion</v>
          </cell>
          <cell r="G372" t="str">
            <v xml:space="preserve">Ingredients: cinnamon**, ginger**, black pepper**, cloves**, cardamom**. **From organic and biodynamic farming. demeter is the brand for products from biodynamic agriculture. </v>
          </cell>
          <cell r="H372" t="str">
            <v>/</v>
          </cell>
          <cell r="I372" t="str">
            <v>As a certified member of the World Fair Trade Organization, Les Jardins de Gaïa is committed to fairer trade and meets the requirements of fair trade. For more information: www.wfto.com.</v>
          </cell>
          <cell r="J372" t="str">
            <v>Loose infusion</v>
          </cell>
          <cell r="K372" t="str">
            <v>/</v>
          </cell>
          <cell r="L372" t="str">
            <v>/</v>
          </cell>
        </row>
        <row r="373">
          <cell r="A373" t="str">
            <v>TM1662</v>
          </cell>
          <cell r="B373" t="str">
            <v>Masala pour Tchaï</v>
          </cell>
          <cell r="C373" t="str">
            <v>Gaïa doux</v>
          </cell>
          <cell r="D373" t="str">
            <v>Masala for Chai</v>
          </cell>
          <cell r="E373" t="str">
            <v>Soft Gaïa</v>
          </cell>
          <cell r="F373" t="str">
            <v>Organic Spices Infusion</v>
          </cell>
          <cell r="G373" t="str">
            <v xml:space="preserve">Ingredients: cinnamon**, ginger**, cloves**, black pepper**, cardamom**. **From organic and biodynamic farming. demeter is the brand for products from biodynamic agriculture. </v>
          </cell>
          <cell r="H373" t="str">
            <v>/</v>
          </cell>
          <cell r="I373" t="str">
            <v>As a certified member of the World Fair Trade Organization, Les Jardins de Gaïa is committed to fairer trade and meets the requirements of fair trade. For more information: www.wfto.com.</v>
          </cell>
          <cell r="J373" t="str">
            <v>Loose infusion</v>
          </cell>
          <cell r="K373" t="str">
            <v>/</v>
          </cell>
          <cell r="L373" t="str">
            <v>/</v>
          </cell>
        </row>
        <row r="374">
          <cell r="A374" t="str">
            <v>TA7342</v>
          </cell>
          <cell r="B374" t="str">
            <v>Masala Tchaï</v>
          </cell>
          <cell r="C374" t="str">
            <v>Épices indiennes</v>
          </cell>
          <cell r="D374" t="str">
            <v>Masala Chaï</v>
          </cell>
          <cell r="E374" t="str">
            <v>Indian Spices</v>
          </cell>
          <cell r="F374" t="str">
            <v>Organic Perfumed Black Tea</v>
          </cell>
          <cell r="G374" t="str">
            <v>Ingredients: black tea **, spices (ginger**, cinnamon**, cardamom**, cloves**, black pepper**). **From organic and biodynamic farming. demeter is the brand for products from biodynamic agriculture. 
internalisation recette
Ingrédients : thé noir*, épices 39% (cannelle*, gingembre*, poivre noir*, clou de girofle*, cardamome*). *Issu de l'agriculture biologique.</v>
          </cell>
          <cell r="H374" t="str">
            <v>/</v>
          </cell>
          <cell r="I374" t="str">
            <v>As a certified member of the World Fair Trade Organization, Les Jardins de Gaïa is committed to fairer trade and meets the requirements of fair trade. For more information: www.wfto.com.</v>
          </cell>
          <cell r="J374" t="str">
            <v>Loose leaf tea</v>
          </cell>
          <cell r="K374" t="str">
            <v>/</v>
          </cell>
          <cell r="L374"/>
        </row>
        <row r="375">
          <cell r="A375" t="str">
            <v>TJ2202</v>
          </cell>
          <cell r="B375" t="str">
            <v>Matcha pour la cuisine</v>
          </cell>
          <cell r="C375" t="str">
            <v>Prémium</v>
          </cell>
          <cell r="D375" t="str">
            <v>Matcha for cooking</v>
          </cell>
          <cell r="E375" t="str">
            <v>Premium</v>
          </cell>
          <cell r="F375" t="str">
            <v>Organic Matcha</v>
          </cell>
          <cell r="G375" t="str">
            <v>Ingredient: Japanese green tea*. *From organic farming.</v>
          </cell>
          <cell r="H375" t="str">
            <v>/</v>
          </cell>
          <cell r="I375" t="str">
            <v>/</v>
          </cell>
          <cell r="J375" t="str">
            <v>Powdered tea</v>
          </cell>
          <cell r="K375" t="str">
            <v>/</v>
          </cell>
          <cell r="L375"/>
        </row>
        <row r="376">
          <cell r="A376" t="str">
            <v>TJ2206</v>
          </cell>
          <cell r="B376" t="str">
            <v>Matcha pour la cuisine</v>
          </cell>
          <cell r="C376" t="str">
            <v>Prémium</v>
          </cell>
          <cell r="D376" t="str">
            <v>Matcha for cooking</v>
          </cell>
          <cell r="E376" t="str">
            <v>Premium</v>
          </cell>
          <cell r="F376" t="str">
            <v>Organic Matcha</v>
          </cell>
          <cell r="G376" t="str">
            <v>Ingredient: Japanese green tea*. *From organic farming.</v>
          </cell>
          <cell r="H376" t="str">
            <v>/</v>
          </cell>
          <cell r="I376" t="str">
            <v>/</v>
          </cell>
          <cell r="J376" t="str">
            <v>Powdered tea</v>
          </cell>
          <cell r="K376" t="str">
            <v>/</v>
          </cell>
          <cell r="L376"/>
        </row>
        <row r="377">
          <cell r="A377" t="str">
            <v>TJ0876</v>
          </cell>
          <cell r="B377" t="str">
            <v>Matcha Premium</v>
          </cell>
          <cell r="C377" t="str">
            <v>抹茶</v>
          </cell>
          <cell r="D377" t="str">
            <v>Matcha Premium</v>
          </cell>
          <cell r="E377" t="str">
            <v>抹茶</v>
          </cell>
          <cell r="F377" t="str">
            <v>Organic Matcha</v>
          </cell>
          <cell r="G377" t="str">
            <v>Ingredient: Japanese green tea*. *From organic farming.</v>
          </cell>
          <cell r="H377" t="str">
            <v>/</v>
          </cell>
          <cell r="I377" t="str">
            <v>/</v>
          </cell>
          <cell r="J377" t="str">
            <v>Powdered tea</v>
          </cell>
          <cell r="K377" t="str">
            <v>/</v>
          </cell>
          <cell r="L377"/>
        </row>
        <row r="378">
          <cell r="A378" t="str">
            <v>TJ9051</v>
          </cell>
          <cell r="B378" t="str">
            <v>Matcha Tradition</v>
          </cell>
          <cell r="C378" t="str">
            <v>抹茶</v>
          </cell>
          <cell r="D378" t="str">
            <v>Matcha Tradition</v>
          </cell>
          <cell r="E378" t="str">
            <v>抹茶</v>
          </cell>
          <cell r="F378" t="str">
            <v>Organic Matcha</v>
          </cell>
          <cell r="G378" t="str">
            <v>Ingredient: Japanese green tea*. *From organic farming.</v>
          </cell>
          <cell r="H378" t="str">
            <v>/</v>
          </cell>
          <cell r="I378" t="str">
            <v>/</v>
          </cell>
          <cell r="J378" t="str">
            <v>Powdered tea</v>
          </cell>
          <cell r="K378" t="str">
            <v>/</v>
          </cell>
          <cell r="L378"/>
        </row>
        <row r="379">
          <cell r="A379" t="str">
            <v>TJ0846</v>
          </cell>
          <cell r="B379" t="str">
            <v>Matcha Yuzu</v>
          </cell>
          <cell r="C379" t="str">
            <v>Thé vert en poudre et yuzu du Japon</v>
          </cell>
          <cell r="D379" t="str">
            <v>Ground Organic Japanese Green Tea and Yuzu</v>
          </cell>
          <cell r="E379" t="str">
            <v>For drinking and cooking</v>
          </cell>
          <cell r="F379" t="str">
            <v>Organic Matcha</v>
          </cell>
          <cell r="G379" t="str">
            <v>Ingredient: yuzu green tea*. *From organic farming.</v>
          </cell>
          <cell r="H379" t="str">
            <v>/</v>
          </cell>
          <cell r="I379" t="str">
            <v>/</v>
          </cell>
          <cell r="J379" t="str">
            <v>Powdered tea</v>
          </cell>
          <cell r="K379" t="str">
            <v>/</v>
          </cell>
          <cell r="L379" t="str">
            <v>How to prepare the yuzu matcha?
For drinking: on its own, in a mocktail or even in a smoothie, it will bring freshness and vitality to your hot or cold drinks! 
Gently whisk 2 g of matcha powder (about 2 doses of cha-shaku) for 80 ml of water heated to 75°C. 
For cooking: mixed directly into your preparation or beaten before- hand, this matcha with yuzu is perfect for entremets, pancakes or financiers.</v>
          </cell>
        </row>
        <row r="380">
          <cell r="A380" t="str">
            <v>MT2622</v>
          </cell>
          <cell r="B380" t="str">
            <v>Maté aux épices</v>
          </cell>
          <cell r="C380" t="str">
            <v>Digestion</v>
          </cell>
          <cell r="D380" t="str">
            <v>Spicy Mate</v>
          </cell>
          <cell r="E380" t="str">
            <v>Digestive</v>
          </cell>
          <cell r="F380" t="str">
            <v>Organic Perfumed Infusion</v>
          </cell>
          <cell r="G380" t="str">
            <v>Ingredients: green mate* (Ilex paraguariensis), spices (caraway*, fennel*, anise*, peppermint*, coriander*) 48%. *From organic farming.</v>
          </cell>
          <cell r="H380"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380" t="str">
            <v>As a certified member of the World Fair Trade Organization, Les Jardins de Gaïa is committed to fairer trade and meets the requirements of fair trade. For more information: www.wfto.com.</v>
          </cell>
          <cell r="J380" t="str">
            <v>Loose infusion</v>
          </cell>
          <cell r="K380" t="str">
            <v>/</v>
          </cell>
          <cell r="L380" t="str">
            <v>/</v>
          </cell>
        </row>
        <row r="381">
          <cell r="A381" t="str">
            <v>MT3022</v>
          </cell>
          <cell r="B381" t="str">
            <v>Maté Digest</v>
          </cell>
          <cell r="C381" t="str">
            <v>Digestion
Menthe</v>
          </cell>
          <cell r="D381" t="str">
            <v>Mate Digest</v>
          </cell>
          <cell r="E381" t="str">
            <v>Digestive
Mint</v>
          </cell>
          <cell r="F381" t="str">
            <v>Organic Perfumed Infusion</v>
          </cell>
          <cell r="G381" t="str">
            <v>Ingredients: green mate* (Ilex paraguariensis), spearmint* 18%, liquorice* 15%. *From organic farming. Contains liquorice: people suffering from hypertension should avoid excessive consumption.</v>
          </cell>
          <cell r="H381"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381" t="str">
            <v>As a certified member of the World Fair Trade Organization, Les Jardins de Gaïa is committed to fairer trade and meets the requirements of fair trade. For more information: www.wfto.com.</v>
          </cell>
          <cell r="J381" t="str">
            <v>Loose infusion</v>
          </cell>
          <cell r="K381" t="str">
            <v>/</v>
          </cell>
          <cell r="L381" t="str">
            <v>/</v>
          </cell>
        </row>
        <row r="382">
          <cell r="A382" t="str">
            <v>MT2632</v>
          </cell>
          <cell r="B382" t="str">
            <v>Maté fruité</v>
          </cell>
          <cell r="C382" t="str">
            <v>Stimulant &amp; Drainant
Saveur agrumes</v>
          </cell>
          <cell r="D382" t="str">
            <v>Fruity Mate</v>
          </cell>
          <cell r="E382" t="str">
            <v>Stimulating &amp; Diuretic
Citrus Flavour</v>
          </cell>
          <cell r="F382" t="str">
            <v>Organic Flavoured Infusion</v>
          </cell>
          <cell r="G382" t="str">
            <v>Ingredients: green mate* (Ilex paraguariensis) 76%, apple pieces*, orange peels* 5%, rosehip*, essential oils (lemon*, sweet orange*, mandarin*) 5%.*From organic farming.</v>
          </cell>
          <cell r="H382" t="str">
            <v>Recommended daily consumption: four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382" t="str">
            <v>As a certified member of the World Fair Trade Organization, Les Jardins de Gaïa is committed to fairer trade and meets the requirements of fair trade. For more information: www.wfto.com.</v>
          </cell>
          <cell r="J382" t="str">
            <v>Loose infusion</v>
          </cell>
          <cell r="K382" t="str">
            <v>/</v>
          </cell>
          <cell r="L382" t="str">
            <v>/</v>
          </cell>
        </row>
        <row r="383">
          <cell r="A383" t="str">
            <v>MT2642</v>
          </cell>
          <cell r="B383" t="str">
            <v>Maté fruits rouges</v>
          </cell>
          <cell r="C383" t="str">
            <v>Stimulant &amp; Drainant 
Fraise - Framboise - Saveur myrtille</v>
          </cell>
          <cell r="D383" t="str">
            <v>Redberries Mate</v>
          </cell>
          <cell r="E383" t="str">
            <v>Stimulating &amp; Diuretic 
Strawberry - Raspberry - Blueberry flavour</v>
          </cell>
          <cell r="F383" t="str">
            <v>Organic Flavoured Infusion</v>
          </cell>
          <cell r="G383" t="str">
            <v>Ingredients: green mate* (Ilex paraguariensis) 87%, natural (raspberry* 3%, blackcurrent*, blueberry* 2%, strawberry* 1%, blackberry*) flavourings, fruits pieces (strawberry*, raspberry*) 2%, aronia*, amaranth*. *From organic farming.</v>
          </cell>
          <cell r="H383"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383" t="str">
            <v>As a certified member of the World Fair Trade Organization, Les Jardins de Gaïa is committed to fairer trade and meets the requirements of fair trade. For more information: www.wfto.com.</v>
          </cell>
          <cell r="J383" t="str">
            <v>Loose infusion</v>
          </cell>
          <cell r="K383" t="str">
            <v>/</v>
          </cell>
          <cell r="L383" t="str">
            <v>/</v>
          </cell>
        </row>
        <row r="384">
          <cell r="A384" t="str">
            <v>MT1004</v>
          </cell>
          <cell r="B384" t="str">
            <v>Maté vert</v>
          </cell>
          <cell r="C384" t="str">
            <v>Stimulant &amp; Drainant</v>
          </cell>
          <cell r="D384" t="str">
            <v>Green Mate</v>
          </cell>
          <cell r="E384" t="str">
            <v>Stimulating &amp; Diuretic</v>
          </cell>
          <cell r="F384" t="str">
            <v>Organic Original Infusion</v>
          </cell>
          <cell r="G384" t="str">
            <v xml:space="preserve">Ingredient: green mate* (Ilex paraguariensis). *From organic farming. </v>
          </cell>
          <cell r="H384"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384" t="str">
            <v>As a certified member of the World Fair Trade Organization, Les Jardins de Gaïa is committed to fairer trade and meets the requirements of fair trade. For more information: www.wfto.com.</v>
          </cell>
          <cell r="J384" t="str">
            <v>Loose infusion</v>
          </cell>
          <cell r="K384" t="str">
            <v>/</v>
          </cell>
          <cell r="L384" t="str">
            <v>/</v>
          </cell>
        </row>
        <row r="385">
          <cell r="A385" t="str">
            <v>MT1002</v>
          </cell>
          <cell r="B385" t="str">
            <v>Maté vert</v>
          </cell>
          <cell r="C385" t="str">
            <v>Stimulant &amp; Drainant</v>
          </cell>
          <cell r="D385" t="str">
            <v>Green Mate</v>
          </cell>
          <cell r="E385" t="str">
            <v>Stimulating &amp; Diuretic</v>
          </cell>
          <cell r="F385" t="str">
            <v>Organic Original Infusion</v>
          </cell>
          <cell r="G385" t="str">
            <v xml:space="preserve">Ingredient: green mate* (Ilex paraguariensis). *From organic farming. </v>
          </cell>
          <cell r="H385"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385" t="str">
            <v>As a certified member of the World Fair Trade Organization, Les Jardins de Gaïa is committed to fairer trade and meets the requirements of fair trade. For more information: www.wfto.com.</v>
          </cell>
          <cell r="J385" t="str">
            <v>Loose infusion</v>
          </cell>
          <cell r="K385" t="str">
            <v>/</v>
          </cell>
          <cell r="L385" t="str">
            <v>/</v>
          </cell>
        </row>
        <row r="386">
          <cell r="A386" t="str">
            <v>TH2081</v>
          </cell>
          <cell r="B386" t="str">
            <v>Mélisse</v>
          </cell>
          <cell r="C386" t="str">
            <v>Relaxant &amp; Digestif</v>
          </cell>
          <cell r="D386" t="str">
            <v>Lemon balm</v>
          </cell>
          <cell r="E386" t="str">
            <v>Relaxing &amp; Digestive</v>
          </cell>
          <cell r="F386" t="str">
            <v>Organic Herbal Tea Infusion</v>
          </cell>
          <cell r="G386" t="str">
            <v>Ingredient: lemon balm* (Melissa officinalis). *From organic farming.</v>
          </cell>
          <cell r="H386"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386" t="str">
            <v>/</v>
          </cell>
          <cell r="J386" t="str">
            <v>Loose Infusion</v>
          </cell>
          <cell r="K386" t="str">
            <v>/</v>
          </cell>
          <cell r="L386" t="str">
            <v>/</v>
          </cell>
        </row>
        <row r="387">
          <cell r="A387" t="str">
            <v>TH208</v>
          </cell>
          <cell r="B387" t="str">
            <v>Mélisse</v>
          </cell>
          <cell r="C387" t="str">
            <v>Relaxant &amp; Digestif</v>
          </cell>
          <cell r="D387" t="str">
            <v>Lemon balm</v>
          </cell>
          <cell r="E387" t="str">
            <v>Relaxing &amp; Digestive</v>
          </cell>
          <cell r="F387" t="str">
            <v>Organic Herbal Tea Infusion</v>
          </cell>
          <cell r="G387" t="str">
            <v>Ingredient: lemon balm* (Melissa officinalis). *From organic farming.</v>
          </cell>
          <cell r="H387"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387" t="str">
            <v>/</v>
          </cell>
          <cell r="J387" t="str">
            <v>Loose Infusion</v>
          </cell>
          <cell r="K387" t="str">
            <v>/</v>
          </cell>
          <cell r="L387" t="str">
            <v>/</v>
          </cell>
        </row>
        <row r="388">
          <cell r="A388" t="str">
            <v>TR2172</v>
          </cell>
          <cell r="B388" t="str">
            <v>Mémé gourmandise</v>
          </cell>
          <cell r="C388" t="str">
            <v xml:space="preserve">Saveurs pruneau - mirabelle </v>
          </cell>
          <cell r="D388" t="str">
            <v>Simply irresistible</v>
          </cell>
          <cell r="E388" t="str">
            <v>Prune - mirabelle flavours</v>
          </cell>
          <cell r="F388" t="str">
            <v>Organic Flavoured Rooibos</v>
          </cell>
          <cell r="G388" t="str">
            <v>Ingredients: rooibos*, natural (mirabelle, prune*) flavourings 7%, apple pieces*, cinnamon*, elderflowers*, amaranth*. *From organic farming.</v>
          </cell>
          <cell r="H388" t="str">
            <v>/</v>
          </cell>
          <cell r="I388" t="str">
            <v>As a certified member of the World Fair Trade Organization, Les Jardins de Gaïa is committed to fairer trade and meets the requirements of fair trade. For more information: www.wfto.com.</v>
          </cell>
          <cell r="J388" t="str">
            <v>Loose rooibos</v>
          </cell>
          <cell r="K388" t="str">
            <v>/</v>
          </cell>
          <cell r="L388" t="str">
            <v>/</v>
          </cell>
        </row>
        <row r="389">
          <cell r="A389" t="str">
            <v>TN4162</v>
          </cell>
          <cell r="B389" t="str">
            <v>Mémoire d'Everest</v>
          </cell>
          <cell r="C389" t="str">
            <v>Second Flush</v>
          </cell>
          <cell r="D389" t="str">
            <v xml:space="preserve">Memory of Everest </v>
          </cell>
          <cell r="E389" t="str">
            <v>Second Flush</v>
          </cell>
          <cell r="F389" t="str">
            <v>Organic Original Black Tea</v>
          </cell>
          <cell r="G389" t="str">
            <v>Ingredient: black tea*. *From organic farming.</v>
          </cell>
          <cell r="H389" t="str">
            <v>/</v>
          </cell>
          <cell r="I389" t="str">
            <v>As a certified member of the World Fair Trade Organization, Les Jardins de Gaïa is committed to fairer trade and meets the requirements of fair trade. For more information: www.wfto.com.</v>
          </cell>
          <cell r="J389" t="str">
            <v>Loose leaf tea</v>
          </cell>
          <cell r="K389" t="str">
            <v>/</v>
          </cell>
          <cell r="L389"/>
        </row>
        <row r="390">
          <cell r="A390" t="str">
            <v>TH2001</v>
          </cell>
          <cell r="B390" t="str">
            <v>Menthe</v>
          </cell>
          <cell r="C390" t="str">
            <v>/</v>
          </cell>
          <cell r="D390" t="str">
            <v>Mint</v>
          </cell>
          <cell r="E390" t="str">
            <v>/</v>
          </cell>
          <cell r="F390" t="str">
            <v>Organic Herbal Tea Infusion</v>
          </cell>
          <cell r="G390" t="str">
            <v>Ingredient: mint* (Mentha rotundifolia). *From organic farming.</v>
          </cell>
          <cell r="H390" t="str">
            <v>/</v>
          </cell>
          <cell r="I390" t="str">
            <v>/</v>
          </cell>
          <cell r="J390" t="str">
            <v>Loose Infusion</v>
          </cell>
          <cell r="K390" t="str">
            <v>/</v>
          </cell>
          <cell r="L390" t="str">
            <v>/</v>
          </cell>
        </row>
        <row r="391">
          <cell r="A391" t="str">
            <v>TH200</v>
          </cell>
          <cell r="B391" t="str">
            <v>Menthe</v>
          </cell>
          <cell r="C391" t="str">
            <v>/</v>
          </cell>
          <cell r="D391" t="str">
            <v>Mint</v>
          </cell>
          <cell r="E391" t="str">
            <v>/</v>
          </cell>
          <cell r="F391" t="str">
            <v>Organic Herbal Tea Infusion</v>
          </cell>
          <cell r="G391" t="str">
            <v>Ingredient: mint* (Mentha rotundifolia). *From organic farming.</v>
          </cell>
          <cell r="H391" t="str">
            <v>/</v>
          </cell>
          <cell r="I391" t="str">
            <v>/</v>
          </cell>
          <cell r="J391" t="str">
            <v>Loose Infusion</v>
          </cell>
          <cell r="K391" t="str">
            <v>/</v>
          </cell>
          <cell r="L391" t="str">
            <v>/</v>
          </cell>
        </row>
        <row r="392">
          <cell r="A392" t="str">
            <v>TH2091</v>
          </cell>
          <cell r="B392" t="str">
            <v>Menthe poivrée</v>
          </cell>
          <cell r="C392" t="str">
            <v>Apaisante &amp; Digestive</v>
          </cell>
          <cell r="D392" t="str">
            <v>Peppermint</v>
          </cell>
          <cell r="E392" t="str">
            <v>Soothing &amp; Digestive</v>
          </cell>
          <cell r="F392" t="str">
            <v>Organic Herbal Tea Infusion</v>
          </cell>
          <cell r="G392" t="str">
            <v>Ingredient: peppermint* (Mentha piperita). *From organic farming.</v>
          </cell>
          <cell r="H392"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392" t="str">
            <v>/</v>
          </cell>
          <cell r="J392" t="str">
            <v>Loose Infusion</v>
          </cell>
          <cell r="K392" t="str">
            <v>/</v>
          </cell>
          <cell r="L392" t="str">
            <v>/</v>
          </cell>
        </row>
        <row r="393">
          <cell r="A393" t="str">
            <v>TH209</v>
          </cell>
          <cell r="B393" t="str">
            <v>Menthe poivrée</v>
          </cell>
          <cell r="C393" t="str">
            <v>Apaisante &amp; Digestive</v>
          </cell>
          <cell r="D393" t="str">
            <v>Peppermint</v>
          </cell>
          <cell r="E393" t="str">
            <v>Soothing &amp; Digestive</v>
          </cell>
          <cell r="F393" t="str">
            <v>Organic Herbal Tea Infusion</v>
          </cell>
          <cell r="G393" t="str">
            <v>Ingredient: peppermint* (Mentha piperita). *From organic farming.</v>
          </cell>
          <cell r="H393"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393" t="str">
            <v>/</v>
          </cell>
          <cell r="J393" t="str">
            <v>Loose Infusion</v>
          </cell>
          <cell r="K393" t="str">
            <v>/</v>
          </cell>
          <cell r="L393" t="str">
            <v>/</v>
          </cell>
        </row>
        <row r="394">
          <cell r="A394" t="str">
            <v>TN2032</v>
          </cell>
          <cell r="B394" t="str">
            <v>Mineral Spring</v>
          </cell>
          <cell r="C394" t="str">
            <v>FTGFOP1 FF 
Top Quality
cultivar Mineral Spring China</v>
          </cell>
          <cell r="D394" t="str">
            <v>Mineral Spring</v>
          </cell>
          <cell r="E394" t="str">
            <v>FTGFOP1 FF 
Top Quality 
cultivar Mineral Spring China</v>
          </cell>
          <cell r="F394" t="str">
            <v>Single Estate First Flush Organic Black Tea</v>
          </cell>
          <cell r="G394" t="str">
            <v xml:space="preserve">Ingredient: black tea*. *From organic farming. </v>
          </cell>
          <cell r="H394" t="str">
            <v>/</v>
          </cell>
          <cell r="I394"/>
          <cell r="J394" t="str">
            <v>Loose leaf tea</v>
          </cell>
          <cell r="K394" t="str">
            <v>/</v>
          </cell>
          <cell r="L394"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395">
          <cell r="A395" t="str">
            <v>TU0322</v>
          </cell>
          <cell r="B395" t="str">
            <v>Mini Tuocha</v>
          </cell>
          <cell r="C395" t="str">
            <v>Pu'er</v>
          </cell>
          <cell r="D395" t="str">
            <v>Mini Tuocha</v>
          </cell>
          <cell r="E395" t="str">
            <v>Pu'er</v>
          </cell>
          <cell r="F395" t="str">
            <v>Organic Compressed Pu'er Tea</v>
          </cell>
          <cell r="G395" t="str">
            <v xml:space="preserve">Ingredient: pu'er dark tea* compressed into a nest. *From organic farming. </v>
          </cell>
          <cell r="H395" t="str">
            <v>/</v>
          </cell>
          <cell r="I395" t="str">
            <v>As a certified member of the World Fair Trade Organization, Les Jardins de Gaïa is committed to fairer trade and meets the requirements of fair trade. For more information: www.wfto.com.</v>
          </cell>
          <cell r="J395" t="str">
            <v>Compressed Pu'er</v>
          </cell>
          <cell r="K395" t="str">
            <v>/</v>
          </cell>
          <cell r="L395"/>
        </row>
        <row r="396">
          <cell r="A396" t="str">
            <v>TU0326</v>
          </cell>
          <cell r="B396" t="str">
            <v>Mini Tuocha</v>
          </cell>
          <cell r="C396" t="str">
            <v>Pu'er</v>
          </cell>
          <cell r="D396" t="str">
            <v>Mini Tuocha</v>
          </cell>
          <cell r="E396" t="str">
            <v>Pu'er</v>
          </cell>
          <cell r="F396" t="str">
            <v>Organic Compressed Pu'er Tea</v>
          </cell>
          <cell r="G396" t="str">
            <v xml:space="preserve">Ingredient: pu'er dark tea* compressed into a nest. *From organic farming. </v>
          </cell>
          <cell r="H396" t="str">
            <v>/</v>
          </cell>
          <cell r="I396" t="str">
            <v>As a certified member of the World Fair Trade Organization, Les Jardins de Gaïa is committed to fairer trade and meets the requirements of fair trade. For more information: www.wfto.com.</v>
          </cell>
          <cell r="J396" t="str">
            <v>Compressed Pu'er</v>
          </cell>
          <cell r="K396" t="str">
            <v>/</v>
          </cell>
          <cell r="L396"/>
        </row>
        <row r="397">
          <cell r="A397" t="str">
            <v>TN2426</v>
          </cell>
          <cell r="B397" t="str">
            <v>Moon Beam Snowview</v>
          </cell>
          <cell r="C397" t="str">
            <v>FTGFOP1 FF Top Quality
EX. 20.04.2022</v>
          </cell>
          <cell r="D397" t="str">
            <v>Moon Beam</v>
          </cell>
          <cell r="E397" t="str">
            <v>FTGFOP1 FF Top Quality
EX. 20.04.2022</v>
          </cell>
          <cell r="F397" t="str">
            <v>Single Estate First Flush Organic Black Tea</v>
          </cell>
          <cell r="G397" t="str">
            <v>Ingredient : black tea*. *From organic farming.</v>
          </cell>
          <cell r="H397" t="str">
            <v>/</v>
          </cell>
          <cell r="I397" t="str">
            <v>As a certified member of the World Fair Trade Organization, Les Jardins de Gaïa is committed to fairer trade and meets the requirements of fair trade. For more information: www.wfto.com.</v>
          </cell>
          <cell r="J397" t="str">
            <v>Loose leaf tea</v>
          </cell>
          <cell r="K397" t="str">
            <v>/</v>
          </cell>
          <cell r="L397"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398">
          <cell r="A398" t="str">
            <v>TB720</v>
          </cell>
          <cell r="B398" t="str">
            <v>Moon cake Yue Guang Bai</v>
          </cell>
          <cell r="C398" t="str">
            <v>Reflet blanc de lune
月光白</v>
          </cell>
          <cell r="D398" t="str">
            <v>Moon cake Yue Guang Bai</v>
          </cell>
          <cell r="E398" t="str">
            <v>Moon light white
月光白云南</v>
          </cell>
          <cell r="F398" t="str">
            <v>Organic original compressed white tea</v>
          </cell>
          <cell r="G398" t="str">
            <v xml:space="preserve">Ingredient: white tea*. *From organic farming. </v>
          </cell>
          <cell r="H398" t="str">
            <v>/</v>
          </cell>
          <cell r="I398" t="str">
            <v>As a certified member of the World Fair Trade Organization, Les Jardins de Gaïa is committed to fairer trade and meets the requirements of fair trade. For more information: www.wfto.com.</v>
          </cell>
          <cell r="J398" t="str">
            <v>Compressed leaf tea</v>
          </cell>
          <cell r="K398" t="str">
            <v>Several infusions</v>
          </cell>
          <cell r="L398"/>
        </row>
        <row r="399">
          <cell r="A399" t="str">
            <v>TN2412</v>
          </cell>
          <cell r="B399" t="str">
            <v xml:space="preserve">Moon Light Glory </v>
          </cell>
          <cell r="C399" t="str">
            <v>FTGFOP1 FF
Jardin de Singell - Top Quality 
cultivar AV-2</v>
          </cell>
          <cell r="D399" t="str">
            <v xml:space="preserve">Moon Light Glory </v>
          </cell>
          <cell r="E399" t="str">
            <v>FTGFOP1 FF
Singell garden - Top Quality 
cultivar AV-2</v>
          </cell>
          <cell r="F399" t="str">
            <v>Single Estate First Flush Organic Black Tea</v>
          </cell>
          <cell r="G399" t="str">
            <v>Ingredient : black tea*. *From organic farming.</v>
          </cell>
          <cell r="H399" t="str">
            <v>/</v>
          </cell>
          <cell r="I399"/>
          <cell r="J399" t="str">
            <v>Loose leaf tea</v>
          </cell>
          <cell r="K399" t="str">
            <v>/</v>
          </cell>
          <cell r="L399"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400">
          <cell r="A400" t="str">
            <v>TB4055</v>
          </cell>
          <cell r="B400" t="str">
            <v>Moonlight Walk</v>
          </cell>
          <cell r="C400" t="str">
            <v>Anh Trang</v>
          </cell>
          <cell r="D400" t="str">
            <v>Moonlight Walk</v>
          </cell>
          <cell r="E400" t="str">
            <v>Anh Trang</v>
          </cell>
          <cell r="F400" t="str">
            <v>Organic Original White Tea</v>
          </cell>
          <cell r="G400" t="str">
            <v xml:space="preserve">Ingredient: white tea*. *From organic farming. </v>
          </cell>
          <cell r="H400" t="str">
            <v>/</v>
          </cell>
          <cell r="I400" t="str">
            <v>As a certified member of the World Fair Trade Organization, Les Jardins de Gaïa is committed to fairer trade and meets the requirements of fair trade. For more information: www.wfto.com.</v>
          </cell>
          <cell r="J400" t="str">
            <v>Loose leaf tea</v>
          </cell>
          <cell r="K400" t="str">
            <v>Several infusions</v>
          </cell>
          <cell r="L400"/>
        </row>
        <row r="401">
          <cell r="A401" t="str">
            <v>TB4056</v>
          </cell>
          <cell r="B401" t="str">
            <v>Moonlight Walk</v>
          </cell>
          <cell r="C401" t="str">
            <v>Anh Trang</v>
          </cell>
          <cell r="D401" t="str">
            <v>Moonlight Walk</v>
          </cell>
          <cell r="E401" t="str">
            <v>Anh Trang</v>
          </cell>
          <cell r="F401" t="str">
            <v>Organic Original White Tea</v>
          </cell>
          <cell r="G401" t="str">
            <v xml:space="preserve">Ingredient: white tea*. *From organic farming. </v>
          </cell>
          <cell r="H401" t="str">
            <v>/</v>
          </cell>
          <cell r="I401" t="str">
            <v>As a certified member of the World Fair Trade Organization, Les Jardins de Gaïa is committed to fairer trade and meets the requirements of fair trade. For more information: www.wfto.com.</v>
          </cell>
          <cell r="J401" t="str">
            <v>Loose leaf tea</v>
          </cell>
          <cell r="K401" t="str">
            <v>Several infusions</v>
          </cell>
          <cell r="L401"/>
        </row>
        <row r="402">
          <cell r="A402" t="str">
            <v>TB4056R</v>
          </cell>
          <cell r="B402" t="str">
            <v>Moonlight Walk</v>
          </cell>
          <cell r="C402" t="str">
            <v>Anh Trang</v>
          </cell>
          <cell r="D402" t="str">
            <v>Moonlight Walk</v>
          </cell>
          <cell r="E402" t="str">
            <v>Anh Trang</v>
          </cell>
          <cell r="F402" t="str">
            <v>Organic Original White Tea</v>
          </cell>
          <cell r="G402" t="str">
            <v xml:space="preserve">Ingredient: white tea*. *From organic farming. </v>
          </cell>
          <cell r="H402" t="str">
            <v>/</v>
          </cell>
          <cell r="I402" t="str">
            <v>As a certified member of the World Fair Trade Organization, Les Jardins de Gaïa is committed to fairer trade and meets the requirements of fair trade. For more information: www.wfto.com.</v>
          </cell>
          <cell r="J402" t="str">
            <v>Loose leaf tea</v>
          </cell>
          <cell r="K402" t="str">
            <v>Several infusions</v>
          </cell>
          <cell r="L402"/>
        </row>
        <row r="403">
          <cell r="A403" t="str">
            <v>TUTJ2296</v>
          </cell>
          <cell r="B403" t="str">
            <v>Mûrier blanc</v>
          </cell>
          <cell r="C403" t="str">
            <v>Feuilles 絹豊</v>
          </cell>
          <cell r="D403" t="str">
            <v>White Mulberry</v>
          </cell>
          <cell r="E403" t="str">
            <v>Leaves 絹豊</v>
          </cell>
          <cell r="F403" t="str">
            <v>Organic Herbal Tea</v>
          </cell>
          <cell r="G403" t="str">
            <v>Ingredient: Japanese white mulberry leaves (Morus Alba). 
Guaranteed free of pesticide residues.</v>
          </cell>
          <cell r="H403" t="str">
            <v>/</v>
          </cell>
          <cell r="I403" t="str">
            <v>/</v>
          </cell>
          <cell r="J403" t="str">
            <v>Loose infusion</v>
          </cell>
          <cell r="K403" t="str">
            <v>Several infusions</v>
          </cell>
          <cell r="L403"/>
        </row>
        <row r="404">
          <cell r="A404" t="str">
            <v>TR2152</v>
          </cell>
          <cell r="B404" t="str">
            <v>Murmure de la forêt</v>
          </cell>
          <cell r="C404" t="str">
            <v>Saveurs fraise - mûre</v>
          </cell>
          <cell r="D404" t="str">
            <v>Sounds of the forest</v>
          </cell>
          <cell r="E404" t="str">
            <v>Strawberry - blackberry flavours</v>
          </cell>
          <cell r="F404" t="str">
            <v>Organic Flavoured Rooibos</v>
          </cell>
          <cell r="G404" t="str">
            <v>Ingredients: rooibos*, natural (blueberry*, raspberry*, blackberry* 3%, strawberry* 2%) flavourings, aronia*, strawberry leaves* 1%. *From organic farming.</v>
          </cell>
          <cell r="H404" t="str">
            <v>/</v>
          </cell>
          <cell r="I404" t="str">
            <v>As a certified member of the World Fair Trade Organization, Les Jardins de Gaïa is committed to fairer trade and meets the requirements of fair trade. For more information: www.wfto.com.</v>
          </cell>
          <cell r="J404" t="str">
            <v>Loose rooibos</v>
          </cell>
          <cell r="K404" t="str">
            <v>/</v>
          </cell>
          <cell r="L404" t="str">
            <v>/</v>
          </cell>
        </row>
        <row r="405">
          <cell r="A405" t="str">
            <v>TA6972</v>
          </cell>
          <cell r="B405" t="str">
            <v>Nectar enchanté</v>
          </cell>
          <cell r="C405" t="str">
            <v>Fruits jaunes - Vanille</v>
          </cell>
          <cell r="D405" t="str">
            <v>Enchanting nectar</v>
          </cell>
          <cell r="E405" t="str">
            <v>Yellow fruit - Vanilla</v>
          </cell>
          <cell r="F405" t="str">
            <v>Organic Flavoured Green Tea</v>
          </cell>
          <cell r="G405"/>
          <cell r="H405" t="str">
            <v>/</v>
          </cell>
          <cell r="I405" t="str">
            <v>/</v>
          </cell>
          <cell r="J405" t="str">
            <v>Loose leaf tea</v>
          </cell>
          <cell r="K405" t="str">
            <v>/</v>
          </cell>
          <cell r="L405"/>
        </row>
        <row r="406">
          <cell r="A406" t="str">
            <v>TA5056</v>
          </cell>
          <cell r="B406" t="str">
            <v>Neige au soleil</v>
          </cell>
          <cell r="C406" t="str">
            <v>Fève tonka - Huiles essentielles d'agrumes</v>
          </cell>
          <cell r="D406" t="str">
            <v>Sunshine in the snow</v>
          </cell>
          <cell r="E406" t="str">
            <v>Tonka beans - Citrus essential oils</v>
          </cell>
          <cell r="F406" t="str">
            <v>Organic Flavoured White Tea</v>
          </cell>
          <cell r="G406" t="str">
            <v>Ingredients: white tea*, tonka bean* 13%, mandarin peels* 6%, pink berries*, rose petals*, vanilla extract*, citrus essential oils (orange*, bergamot*) 3%, marigold petals*, violet flowers*. *From organic farming.
Ingredients: white tea*, tonka bean* 13%, mandarin peels* 6%, pink berries*, rose petals*, vanilla extract*, citrus essential oils (orange*, bergamot*) 3%, marigold and amaranth petals*. *From organic farming.</v>
          </cell>
          <cell r="H406" t="str">
            <v>/</v>
          </cell>
          <cell r="I406" t="str">
            <v>As a certified member of the World Fair Trade Organization, Les Jardins de Gaïa is committed to fairer trade and meets the requirements of fair trade. For more information: www.wfto.com.</v>
          </cell>
          <cell r="J406" t="str">
            <v>Loose leaf tea</v>
          </cell>
          <cell r="K406" t="str">
            <v>/</v>
          </cell>
          <cell r="L406"/>
        </row>
        <row r="407">
          <cell r="A407" t="str">
            <v>TA5056</v>
          </cell>
          <cell r="B407" t="str">
            <v>Neige au soleil</v>
          </cell>
          <cell r="C407" t="str">
            <v>Fève tonka - Huiles essentielles d'agrumes</v>
          </cell>
          <cell r="D407" t="str">
            <v>Sunshine in the snow</v>
          </cell>
          <cell r="E407" t="str">
            <v>Tonka beans - Citrus essential oils</v>
          </cell>
          <cell r="F407" t="str">
            <v>Organic Flavoured White Tea</v>
          </cell>
          <cell r="G407" t="str">
            <v>Ingredients: white tea*, tonka bean* 13%, mandarin peels* 6%, pink berries*, rose petals*, vanilla extract*, citrus essential oils (orange*, bergamot*) 3%, marigold petals*, violet flowers*. *From organic farming.
Ingredients: white tea*, tonka bean* 13%, mandarin peels* 6%, pink berries*, rose petals*, vanilla extract*, citrus essential oils (orange*, bergamot*) 3%, marigold and amaranth petals*. *From organic farming.</v>
          </cell>
          <cell r="H407" t="str">
            <v>/</v>
          </cell>
          <cell r="I407" t="str">
            <v>As a certified member of the World Fair Trade Organization, Les Jardins de Gaïa is committed to fairer trade and meets the requirements of fair trade. For more information: www.wfto.com.</v>
          </cell>
          <cell r="J407" t="str">
            <v>Loose leaf tea</v>
          </cell>
          <cell r="K407" t="str">
            <v>/</v>
          </cell>
          <cell r="L407"/>
        </row>
        <row r="408">
          <cell r="A408" t="str">
            <v>TSTA5056V4</v>
          </cell>
          <cell r="B408" t="str">
            <v>Neige au soleil</v>
          </cell>
          <cell r="C408" t="str">
            <v>Fève tonka - Huiles essentielles d'agrumes</v>
          </cell>
          <cell r="D408" t="str">
            <v>Sunshine in the snow</v>
          </cell>
          <cell r="E408" t="str">
            <v>Tonka beans - Citrus essential oils</v>
          </cell>
          <cell r="F408" t="str">
            <v>Organic Flavoured White Tea</v>
          </cell>
          <cell r="G408" t="str">
            <v>Ingredients: white tea*, tonka bean* 13%, mandarin peels* 6%, pink berries*, rose petals*, vanilla extract*, citrus essential oils (orange*, bergamot*) 3%, marigold petals*, violet flowers*. *From organic farming.
Ingredients: white tea*, tonka bean* 13%, mandarin peels* 6%, pink berries*, rose petals*, vanilla extract*, citrus essential oils (orange*, bergamot*) 3%, marigold and amaranth petals*. *From organic farming.</v>
          </cell>
          <cell r="H408" t="str">
            <v>/</v>
          </cell>
          <cell r="I408" t="str">
            <v>As a certified member of the World Fair Trade Organization, Les Jardins de Gaïa is committed to fairer trade and meets the requirements of fair trade. For more information: www.wfto.com.</v>
          </cell>
          <cell r="J408" t="str">
            <v>Loose leaf tea</v>
          </cell>
          <cell r="K408" t="str">
            <v>/</v>
          </cell>
          <cell r="L408"/>
        </row>
        <row r="409">
          <cell r="A409" t="str">
            <v>TN3392</v>
          </cell>
          <cell r="B409" t="str">
            <v xml:space="preserve">Neiges de l’Himalaya </v>
          </cell>
          <cell r="C409" t="str">
            <v>FTGFOP1 FF Top Quality
Récolte de printemps</v>
          </cell>
          <cell r="D409" t="str">
            <v>Snow in Himalayas</v>
          </cell>
          <cell r="E409" t="str">
            <v>FTGFOP1 FF Top Quality
Spring harvest</v>
          </cell>
          <cell r="F409" t="str">
            <v>Organic Black Tea</v>
          </cell>
          <cell r="G409" t="str">
            <v>Ingredient: black tea*. *From organic farming.</v>
          </cell>
          <cell r="H409" t="str">
            <v>/</v>
          </cell>
          <cell r="I409" t="str">
            <v>As a certified member of the World Fair Trade Organization, Les Jardins de Gaïa is committed to fairer trade and meets the requirements of fair trade. For more information: www.wfto.com.</v>
          </cell>
          <cell r="J409" t="str">
            <v>Loose leaf tea</v>
          </cell>
          <cell r="K409" t="str">
            <v>/</v>
          </cell>
          <cell r="L409"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410">
          <cell r="A410" t="str">
            <v>TN4152</v>
          </cell>
          <cell r="B410" t="str">
            <v>Nepali Gold</v>
          </cell>
          <cell r="C410" t="str">
            <v>Bourgeons dorés</v>
          </cell>
          <cell r="D410" t="str">
            <v>Nepali Gold</v>
          </cell>
          <cell r="E410" t="str">
            <v>Golden Buds</v>
          </cell>
          <cell r="F410" t="str">
            <v>Organic Original Black Tea</v>
          </cell>
          <cell r="G410" t="str">
            <v xml:space="preserve">Ingredient: black tea*. *From organic farming. </v>
          </cell>
          <cell r="H410" t="str">
            <v>/</v>
          </cell>
          <cell r="I410" t="str">
            <v>As a certified member of the World Fair Trade Organization, Les Jardins de Gaïa is committed to fairer trade and meets the requirements of fair trade. For more information: www.wfto.com.</v>
          </cell>
          <cell r="J410" t="str">
            <v>Loose leaf tea</v>
          </cell>
          <cell r="K410" t="str">
            <v>/</v>
          </cell>
          <cell r="L410"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411">
          <cell r="A411" t="str">
            <v>TR2472</v>
          </cell>
          <cell r="B411" t="str">
            <v>Noël en famille</v>
          </cell>
          <cell r="C411" t="str">
            <v xml:space="preserve">Saveurs pruneau - mirabelle </v>
          </cell>
          <cell r="D411" t="str">
            <v>Family Christmas</v>
          </cell>
          <cell r="E411" t="str">
            <v>Mirabelle - prune flavours</v>
          </cell>
          <cell r="F411" t="str">
            <v>Organic Flavoured Rooibos</v>
          </cell>
          <cell r="G411" t="str">
            <v>Ingredients: rooibos*, natural (mirabelle, prune*) flavourings 7%, apple pieces*, cinnamon*, elderflowers*, amaranth*. *From organic farming.</v>
          </cell>
          <cell r="H411" t="str">
            <v>/</v>
          </cell>
          <cell r="I411" t="str">
            <v>As a certified member of the World Fair Trade Organization, Les Jardins de Gaïa is committed to fairer trade and meets the requirements of fair trade. For more information: www.wfto.com.</v>
          </cell>
          <cell r="J411" t="str">
            <v>Loose rooibos</v>
          </cell>
          <cell r="K411" t="str">
            <v>/</v>
          </cell>
          <cell r="L411" t="str">
            <v>/</v>
          </cell>
        </row>
        <row r="412">
          <cell r="A412" t="str">
            <v>TM0232</v>
          </cell>
          <cell r="B412" t="str">
            <v>Objectif minceur</v>
          </cell>
          <cell r="C412" t="str">
            <v xml:space="preserve">Menthe poivrée - Maté - Thé - Ortie </v>
          </cell>
          <cell r="D412" t="str">
            <v>Slimming Perspective</v>
          </cell>
          <cell r="E412" t="str">
            <v xml:space="preserve">Peppermint - Mate - Tea - Nettle </v>
          </cell>
          <cell r="F412" t="str">
            <v>Organic Herbal Tea Infusion</v>
          </cell>
          <cell r="G412" t="str">
            <v>Ingredients: peppermint* 25%, honeybush*, mate* 17%, nettle* 13%, green tea* 12%, pu'er dark tea* 8%. *From organic farming.</v>
          </cell>
          <cell r="H412"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412" t="str">
            <v>/</v>
          </cell>
          <cell r="J412" t="str">
            <v>Loose Infusion</v>
          </cell>
          <cell r="K412" t="str">
            <v>/</v>
          </cell>
          <cell r="L412"/>
        </row>
        <row r="413">
          <cell r="A413" t="str">
            <v>TA6922</v>
          </cell>
          <cell r="B413" t="str">
            <v>Océan de fraîcheur</v>
          </cell>
          <cell r="C413" t="str">
            <v>Huiles essentielles d'agrumes</v>
          </cell>
          <cell r="D413" t="str">
            <v>A sea of freshness</v>
          </cell>
          <cell r="E413" t="str">
            <v>Citrus essential oils</v>
          </cell>
          <cell r="F413" t="str">
            <v>Organic Flavoured Green Tea</v>
          </cell>
          <cell r="G413" t="str">
            <v xml:space="preserve">Ingredients: green tea*, orange peels* 4%, citrus essential oils (mandarin*, bergamot*, sweet orange*, blood orange*) 1%. *From organic farming. </v>
          </cell>
          <cell r="H413" t="str">
            <v>/</v>
          </cell>
          <cell r="I413" t="str">
            <v>As a certified member of the World Fair Trade Organization, Les Jardins de Gaïa is committed to fairer trade and meets the requirements of fair trade. For more information: www.wfto.com.</v>
          </cell>
          <cell r="J413" t="str">
            <v>Loose leaf tea</v>
          </cell>
          <cell r="K413" t="str">
            <v>/</v>
          </cell>
          <cell r="L413"/>
        </row>
        <row r="414">
          <cell r="A414" t="str">
            <v>TO1205</v>
          </cell>
          <cell r="B414" t="str">
            <v>Oceanic Wu Long</v>
          </cell>
          <cell r="C414" t="str">
            <v>/</v>
          </cell>
          <cell r="D414" t="str">
            <v>Oceanic Wu Long</v>
          </cell>
          <cell r="E414" t="str">
            <v>/</v>
          </cell>
          <cell r="F414" t="str">
            <v>Organic Original Wu Long Tea</v>
          </cell>
          <cell r="G414" t="str">
            <v>Ingredient: wu long tea*. *From organic farming.</v>
          </cell>
          <cell r="H414" t="str">
            <v>/</v>
          </cell>
          <cell r="I414" t="str">
            <v>/</v>
          </cell>
          <cell r="J414" t="str">
            <v>Loose leaf tea</v>
          </cell>
          <cell r="K414" t="str">
            <v>Several infusions</v>
          </cell>
          <cell r="L414"/>
        </row>
        <row r="415">
          <cell r="A415" t="str">
            <v>TO1202</v>
          </cell>
          <cell r="B415" t="str">
            <v>Oceanic Wu Long</v>
          </cell>
          <cell r="C415" t="str">
            <v>/</v>
          </cell>
          <cell r="D415" t="str">
            <v>Oceanic Wu Long</v>
          </cell>
          <cell r="E415" t="str">
            <v>/</v>
          </cell>
          <cell r="F415" t="str">
            <v>Organic Original Wu Long Tea</v>
          </cell>
          <cell r="G415" t="str">
            <v>Ingredient: wu long tea*. *From organic farming.</v>
          </cell>
          <cell r="H415" t="str">
            <v>/</v>
          </cell>
          <cell r="I415" t="str">
            <v>/</v>
          </cell>
          <cell r="J415" t="str">
            <v>Loose leaf tea</v>
          </cell>
          <cell r="K415" t="str">
            <v>Several infusions</v>
          </cell>
          <cell r="L415"/>
        </row>
        <row r="416">
          <cell r="A416" t="str">
            <v>TO1202R</v>
          </cell>
          <cell r="B416" t="str">
            <v>Oceanic Wu Long</v>
          </cell>
          <cell r="C416" t="str">
            <v>/</v>
          </cell>
          <cell r="D416" t="str">
            <v>Oceanic Wu Long</v>
          </cell>
          <cell r="E416" t="str">
            <v>/</v>
          </cell>
          <cell r="F416" t="str">
            <v>Organic Original Wu Long Tea</v>
          </cell>
          <cell r="G416" t="str">
            <v>Ingredient: wu long tea*. *From organic farming.</v>
          </cell>
          <cell r="H416" t="str">
            <v>/</v>
          </cell>
          <cell r="I416" t="str">
            <v>/</v>
          </cell>
          <cell r="J416" t="str">
            <v>Loose leaf tea</v>
          </cell>
          <cell r="K416" t="str">
            <v>Several infusions</v>
          </cell>
          <cell r="L416"/>
        </row>
        <row r="417">
          <cell r="A417" t="str">
            <v>TA6162</v>
          </cell>
          <cell r="B417" t="str">
            <v>Oiseau lune</v>
          </cell>
          <cell r="C417" t="str">
            <v>Saveurs poire - fleur de sureau</v>
          </cell>
          <cell r="D417" t="str">
            <v>Moon Bird</v>
          </cell>
          <cell r="E417" t="str">
            <v>Pear - elderflower flavours</v>
          </cell>
          <cell r="F417" t="str">
            <v>Organic Flavoured Green Tea</v>
          </cell>
          <cell r="G417" t="str">
            <v>Ingredients: green tea*, natural (pear*, elderflower*) flavourings 7%, vanilla extract*, sunflower petals*. *From organic farming.</v>
          </cell>
          <cell r="H417" t="str">
            <v>/</v>
          </cell>
          <cell r="I417" t="str">
            <v>As a certified member of the World Fair Trade Organization, Les Jardins de Gaïa is committed to fairer trade and meets the requirements of fair trade. For more information: www.wfto.com.</v>
          </cell>
          <cell r="J417" t="str">
            <v>Leaf tea</v>
          </cell>
          <cell r="K417" t="str">
            <v>/</v>
          </cell>
          <cell r="L417" t="str">
            <v>/</v>
          </cell>
        </row>
        <row r="418">
          <cell r="A418" t="str">
            <v>TUTA6162</v>
          </cell>
          <cell r="B418" t="str">
            <v>Oiseau lune</v>
          </cell>
          <cell r="C418" t="str">
            <v>Saveurs poire - fleur de sureau</v>
          </cell>
          <cell r="D418" t="str">
            <v>Moon Bird</v>
          </cell>
          <cell r="E418" t="str">
            <v>Pear - elderflower flavours</v>
          </cell>
          <cell r="F418" t="str">
            <v>Organic Flavoured Green Tea</v>
          </cell>
          <cell r="G418" t="str">
            <v>Ingredients: green tea*, natural (pear*, elderflower*) flavourings 7%, vanilla extract*, sunflower petals*. *From organic farming.</v>
          </cell>
          <cell r="H418" t="str">
            <v>/</v>
          </cell>
          <cell r="I418" t="str">
            <v>As a certified member of the World Fair Trade Organization, Les Jardins de Gaïa is committed to fairer trade and meets the requirements of fair trade. For more information: www.wfto.com.</v>
          </cell>
          <cell r="J418" t="str">
            <v>Leaf tea</v>
          </cell>
          <cell r="K418" t="str">
            <v>/</v>
          </cell>
          <cell r="L418" t="str">
            <v>/</v>
          </cell>
        </row>
        <row r="419">
          <cell r="A419" t="str">
            <v>TO4172</v>
          </cell>
          <cell r="B419" t="str">
            <v>Oriental beauty</v>
          </cell>
          <cell r="C419" t="str">
            <v>Dong Fang Mei Ren</v>
          </cell>
          <cell r="D419" t="str">
            <v>Oriental beauty</v>
          </cell>
          <cell r="E419" t="str">
            <v>Dong Fang Mei Ren</v>
          </cell>
          <cell r="F419" t="str">
            <v>Organic Original Wu Long Tea</v>
          </cell>
          <cell r="G419" t="str">
            <v>Ingredient: wu long tea*. *From organic farming.</v>
          </cell>
          <cell r="H419" t="str">
            <v>/</v>
          </cell>
          <cell r="I419" t="str">
            <v>/</v>
          </cell>
          <cell r="J419" t="str">
            <v>Loose leaf tea</v>
          </cell>
          <cell r="K419" t="str">
            <v>/</v>
          </cell>
          <cell r="L419"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420">
          <cell r="A420" t="str">
            <v>TH1871</v>
          </cell>
          <cell r="B420" t="str">
            <v>Ortie piquante</v>
          </cell>
          <cell r="C420" t="str">
            <v>Drainante</v>
          </cell>
          <cell r="D420" t="str">
            <v>Common nettle</v>
          </cell>
          <cell r="E420" t="str">
            <v>Diuretic</v>
          </cell>
          <cell r="F420" t="str">
            <v>Organic Herbal Tea Infusion</v>
          </cell>
          <cell r="G420" t="str">
            <v>Ingredient: common nettle* (Urtica dioica L.). *From organic farming.</v>
          </cell>
          <cell r="H420"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420" t="str">
            <v>/</v>
          </cell>
          <cell r="J420" t="str">
            <v>Loose Infusion</v>
          </cell>
          <cell r="K420" t="str">
            <v>/</v>
          </cell>
          <cell r="L420" t="str">
            <v>/</v>
          </cell>
        </row>
        <row r="421">
          <cell r="A421" t="str">
            <v>TH1872</v>
          </cell>
          <cell r="B421" t="str">
            <v>Ortie piquante</v>
          </cell>
          <cell r="C421" t="str">
            <v>Drainante</v>
          </cell>
          <cell r="D421" t="str">
            <v>Common nettle</v>
          </cell>
          <cell r="E421" t="str">
            <v>Diuretic</v>
          </cell>
          <cell r="F421" t="str">
            <v>Organic Herbal Tea Infusion</v>
          </cell>
          <cell r="G421" t="str">
            <v>Ingredient: common nettle* (Urtica dioica L.). *From organic farming.</v>
          </cell>
          <cell r="H421"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421" t="str">
            <v>/</v>
          </cell>
          <cell r="J421" t="str">
            <v>Loose Infusion</v>
          </cell>
          <cell r="K421" t="str">
            <v>/</v>
          </cell>
          <cell r="L421" t="str">
            <v>/</v>
          </cell>
        </row>
        <row r="422">
          <cell r="A422" t="str">
            <v>TH5401</v>
          </cell>
          <cell r="B422" t="str">
            <v>Par tous les temps</v>
          </cell>
          <cell r="C422" t="str">
            <v>Fortifiante
Menthe poivrée - Fenouil - Lavande</v>
          </cell>
          <cell r="D422" t="str">
            <v>Anytime Tea</v>
          </cell>
          <cell r="E422" t="str">
            <v>Strenghthening
Peppermint - Fennel - Lavender</v>
          </cell>
          <cell r="F422" t="str">
            <v>Organic Herbal Tea Infusion</v>
          </cell>
          <cell r="G422" t="str">
            <v>Ingredients: peppermint* 40% (Mentha piperita), raspberry leaves* (Rubus idaeus), oregano* (Origanum vulgare), hazel tree leaves* (Corylus avellana), fennel* 10% (Foeniculum vulgare), lavender* 5% (Lavandula angustifolia). *From organic farming.</v>
          </cell>
          <cell r="H422" t="str">
            <v>Recommended daily consumption: five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422" t="str">
            <v>/</v>
          </cell>
          <cell r="J422" t="str">
            <v>Loose Infusion</v>
          </cell>
          <cell r="K422" t="str">
            <v>/</v>
          </cell>
          <cell r="L422" t="str">
            <v>/</v>
          </cell>
        </row>
        <row r="423">
          <cell r="A423" t="str">
            <v>TH540</v>
          </cell>
          <cell r="B423" t="str">
            <v>Par tous les temps</v>
          </cell>
          <cell r="C423" t="str">
            <v>Fortifiante
Menthe poivrée - Fenouil - Lavande</v>
          </cell>
          <cell r="D423" t="str">
            <v>Anytime Tea</v>
          </cell>
          <cell r="E423" t="str">
            <v>Strenghthening
Peppermint - Fennel - Lavender</v>
          </cell>
          <cell r="F423" t="str">
            <v>Organic Herbal Tea Infusion</v>
          </cell>
          <cell r="G423" t="str">
            <v>Ingredients: peppermint* 40% (Mentha piperita), raspberry leaves* (Rubus idaeus), oregano* (Origanum vulgare), hazel tree leaves* (Corylus avellana), fennel* 10% (Foeniculum vulgare), lavender* 5% (Lavandula angustifolia). *From organic farming.</v>
          </cell>
          <cell r="H423" t="str">
            <v>Recommended daily consumption: five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423" t="str">
            <v>/</v>
          </cell>
          <cell r="J423" t="str">
            <v>Loose Infusion</v>
          </cell>
          <cell r="K423" t="str">
            <v>/</v>
          </cell>
          <cell r="L423" t="str">
            <v>/</v>
          </cell>
        </row>
        <row r="424">
          <cell r="A424" t="str">
            <v>TM0026</v>
          </cell>
          <cell r="B424" t="str">
            <v>Parenthèse détente</v>
          </cell>
          <cell r="C424" t="str">
            <v>Relaxant</v>
          </cell>
          <cell r="D424" t="str">
            <v>Relaxing Interlude</v>
          </cell>
          <cell r="E424" t="str">
            <v>Relaxing Blend</v>
          </cell>
          <cell r="F424" t="str">
            <v>Organic Herbal Tea Infusion</v>
          </cell>
          <cell r="G424" t="str">
            <v>Ingredients: lemon balm* 29%, green tea* 21%, honeybush* 21%, bitter orange leaves* 18%, rose petals* 7%, lavender* 4%. *From organic farming.</v>
          </cell>
          <cell r="H424"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424" t="str">
            <v>/</v>
          </cell>
          <cell r="J424" t="str">
            <v>Loose Infusion</v>
          </cell>
          <cell r="K424" t="str">
            <v>/</v>
          </cell>
          <cell r="L424"/>
        </row>
        <row r="425">
          <cell r="A425" t="str">
            <v>TM0182</v>
          </cell>
          <cell r="B425" t="str">
            <v>Parenthèse gourmande</v>
          </cell>
          <cell r="C425" t="str">
            <v>Ecorces de cacao et plantes à infusion</v>
          </cell>
          <cell r="D425" t="str">
            <v>Sweet interlude</v>
          </cell>
          <cell r="E425" t="str">
            <v>Organic cocoa bark and plants</v>
          </cell>
          <cell r="F425" t="str">
            <v>Organic Herbal Tea Infusion</v>
          </cell>
          <cell r="G425" t="str">
            <v>Ingredients: cocoa barks (72%)*, fennel*, liquorice*,  tonka beans*, marigold petals*. *From organic farming. Contains liquorice: people suffering from hypertension should avoid excessive consumption.</v>
          </cell>
          <cell r="H425" t="str">
            <v>/</v>
          </cell>
          <cell r="I425" t="str">
            <v>/</v>
          </cell>
          <cell r="J425" t="str">
            <v>Loose Infusion</v>
          </cell>
          <cell r="K425" t="str">
            <v>/</v>
          </cell>
          <cell r="L425"/>
        </row>
        <row r="426">
          <cell r="A426" t="str">
            <v>TA6882</v>
          </cell>
          <cell r="B426" t="str">
            <v>Parfum d’Eden</v>
          </cell>
          <cell r="C426" t="str">
            <v>Mandarine - Saveur vanille</v>
          </cell>
          <cell r="D426" t="str">
            <v>Taste of Paradise</v>
          </cell>
          <cell r="E426" t="str">
            <v>Mandarin - Vanilla flavour</v>
          </cell>
          <cell r="F426" t="str">
            <v>Organic Flavoured Green Tea</v>
          </cell>
          <cell r="G426" t="str">
            <v xml:space="preserve">Ingredients: green tea*, vanilla extract* 3%, mandarin peels* 2%, mandarin essential oil* 2%, sunflower petals*. *From organic farming. </v>
          </cell>
          <cell r="H426" t="str">
            <v>/</v>
          </cell>
          <cell r="I426" t="str">
            <v>As a certified member of the World Fair Trade Organization, Les Jardins de Gaïa is committed to fairer trade and meets the requirements of fair trade. For more information: www.wfto.com.</v>
          </cell>
          <cell r="J426" t="str">
            <v>Loose leaf tea</v>
          </cell>
          <cell r="K426" t="str">
            <v>/</v>
          </cell>
          <cell r="L426"/>
        </row>
        <row r="427">
          <cell r="A427" t="str">
            <v>TM6932</v>
          </cell>
          <cell r="B427" t="str">
            <v>Parfum de Médina</v>
          </cell>
          <cell r="C427" t="str">
            <v>Menthe douce</v>
          </cell>
          <cell r="D427" t="str">
            <v>Around the Medina</v>
          </cell>
          <cell r="E427" t="str">
            <v>Spearmint</v>
          </cell>
          <cell r="F427" t="str">
            <v>Organic Scented Green Tea</v>
          </cell>
          <cell r="G427" t="str">
            <v xml:space="preserve">Ingredients: green tea*, spearmint* 30%. *From organic farming. </v>
          </cell>
          <cell r="H427" t="str">
            <v>/</v>
          </cell>
          <cell r="I427" t="str">
            <v>As a certified member of the World Fair Trade Organization, Les Jardins de Gaïa is committed to fairer trade and meets the requirements of fair trade. For more information: www.wfto.com.</v>
          </cell>
          <cell r="J427" t="str">
            <v>Loose leaf tea</v>
          </cell>
          <cell r="K427" t="str">
            <v>/</v>
          </cell>
          <cell r="L427"/>
        </row>
        <row r="428">
          <cell r="A428" t="str">
            <v>TUTM6932</v>
          </cell>
          <cell r="B428" t="str">
            <v>Parfum de Médina</v>
          </cell>
          <cell r="C428" t="str">
            <v>Menthe douce</v>
          </cell>
          <cell r="D428" t="str">
            <v>Around the Medina</v>
          </cell>
          <cell r="E428" t="str">
            <v>Spearmint</v>
          </cell>
          <cell r="F428" t="str">
            <v>Organic Scented Green Tea</v>
          </cell>
          <cell r="G428" t="str">
            <v xml:space="preserve">Ingredients: green tea*, spearmint* 30%. *From organic farming. </v>
          </cell>
          <cell r="H428" t="str">
            <v>/</v>
          </cell>
          <cell r="I428" t="str">
            <v>As a certified member of the World Fair Trade Organization, Les Jardins de Gaïa is committed to fairer trade and meets the requirements of fair trade. For more information: www.wfto.com.</v>
          </cell>
          <cell r="J428" t="str">
            <v>Loose leaf tea</v>
          </cell>
          <cell r="K428" t="str">
            <v>/</v>
          </cell>
          <cell r="L428"/>
        </row>
        <row r="429">
          <cell r="A429" t="str">
            <v>TA7412</v>
          </cell>
          <cell r="B429" t="str">
            <v>Parfum de résistance</v>
          </cell>
          <cell r="C429" t="str">
            <v>Saveur orange - Réglisse - Cacao</v>
          </cell>
          <cell r="D429" t="str">
            <v>Perfume of Resistance</v>
          </cell>
          <cell r="E429" t="str">
            <v>Orange flavour - Liquorice - Cocoa</v>
          </cell>
          <cell r="F429" t="str">
            <v>Organic Flavoured Black Tea</v>
          </cell>
          <cell r="G429" t="str">
            <v>Ingredients: black tea*, liquorice* 13%, cocoa* 9%, orange essential oil* 3%, carrot chips*. *From organic farming. Contains liquorice, people suffering from hypertension should avoid excessive consumption.</v>
          </cell>
          <cell r="H429" t="str">
            <v>/</v>
          </cell>
          <cell r="I429" t="str">
            <v>As a certified member of the World Fair Trade Organization, Les Jardins de Gaïa is committed to fairer trade and meets the requirements of fair trade. For more information: www.wfto.com.</v>
          </cell>
          <cell r="J429" t="str">
            <v>Leaf tea</v>
          </cell>
          <cell r="K429" t="str">
            <v>/</v>
          </cell>
          <cell r="L429" t="str">
            <v>/</v>
          </cell>
        </row>
        <row r="430">
          <cell r="A430" t="str">
            <v>TUTA7412</v>
          </cell>
          <cell r="B430" t="str">
            <v>Parfum de résistance</v>
          </cell>
          <cell r="C430" t="str">
            <v>Saveur orange - Réglisse - Cacao</v>
          </cell>
          <cell r="D430" t="str">
            <v>Perfume of Resistance</v>
          </cell>
          <cell r="E430" t="str">
            <v>Orange flavour - Liquorice - Cocoa</v>
          </cell>
          <cell r="F430" t="str">
            <v>Organic Flavoured Black Tea</v>
          </cell>
          <cell r="G430" t="str">
            <v>Ingredients: black tea*, liquorice* 13%, cocoa* 9%, orange essential oil* 3%, carrot chips*. *From organic farming. Contains liquorice, people suffering from hypertension should avoid excessive consumption.</v>
          </cell>
          <cell r="H430" t="str">
            <v>/</v>
          </cell>
          <cell r="I430" t="str">
            <v>As a certified member of the World Fair Trade Organization, Les Jardins de Gaïa is committed to fairer trade and meets the requirements of fair trade. For more information: www.wfto.com.</v>
          </cell>
          <cell r="J430" t="str">
            <v>Leaf tea</v>
          </cell>
          <cell r="K430" t="str">
            <v>/</v>
          </cell>
          <cell r="L430" t="str">
            <v>/</v>
          </cell>
        </row>
        <row r="431">
          <cell r="A431" t="str">
            <v>TR2102</v>
          </cell>
          <cell r="B431" t="str">
            <v>Parfum de Soleil</v>
          </cell>
          <cell r="C431" t="str">
            <v>Abricot - Pêche</v>
          </cell>
          <cell r="D431" t="str">
            <v>Sunshine in a cup</v>
          </cell>
          <cell r="E431" t="str">
            <v>Apricot - Peach</v>
          </cell>
          <cell r="F431" t="str">
            <v>Organic Flavoured Rooibos</v>
          </cell>
          <cell r="G431" t="str">
            <v>Ingredients: rooibos*, natural (peach*, apricot*) flavourings 8% , fruit pieces (apricot*, peach*) 1%, marigold petals*. *From organic farming.</v>
          </cell>
          <cell r="H431" t="str">
            <v>/</v>
          </cell>
          <cell r="I431" t="str">
            <v>As a certified member of the World Fair Trade Organization, Les Jardins de Gaïa is committed to fairer trade and meets the requirements of fair trade. For more information: www.wfto.com.</v>
          </cell>
          <cell r="J431" t="str">
            <v>Loose rooibos</v>
          </cell>
          <cell r="K431" t="str">
            <v>/</v>
          </cell>
          <cell r="L431" t="str">
            <v>/</v>
          </cell>
        </row>
        <row r="432">
          <cell r="A432" t="str">
            <v>TR2032</v>
          </cell>
          <cell r="B432" t="str">
            <v>Parfum des îles</v>
          </cell>
          <cell r="C432" t="str">
            <v>Vanille</v>
          </cell>
          <cell r="D432" t="str">
            <v xml:space="preserve">Island Fragrance </v>
          </cell>
          <cell r="E432" t="str">
            <v>Vanilla</v>
          </cell>
          <cell r="F432" t="str">
            <v>Organic Flavoured Rooibos</v>
          </cell>
          <cell r="G432" t="str">
            <v xml:space="preserve">Ingredients: rooibos*, vanilla extract* 4%, vanilla pieces* 2%, marigold petals*. *From organic farming. </v>
          </cell>
          <cell r="H432" t="str">
            <v>/</v>
          </cell>
          <cell r="I432" t="str">
            <v>As a certified member of the World Fair Trade Organization, Les Jardins de Gaïa is committed to fairer trade and meets the requirements of fair trade. For more information: www.wfto.com.</v>
          </cell>
          <cell r="J432" t="str">
            <v>Loose rooibos</v>
          </cell>
          <cell r="K432" t="str">
            <v>/</v>
          </cell>
          <cell r="L432" t="str">
            <v>/</v>
          </cell>
        </row>
        <row r="433">
          <cell r="A433" t="str">
            <v>TU0025</v>
          </cell>
          <cell r="B433" t="str">
            <v>Peace, Love &amp; Tea</v>
          </cell>
          <cell r="C433" t="str">
            <v>Pu'er sheng</v>
          </cell>
          <cell r="D433" t="str">
            <v>Peace, Love &amp; Tea</v>
          </cell>
          <cell r="E433" t="str">
            <v>Pu’er sheng</v>
          </cell>
          <cell r="F433" t="str">
            <v>Organic Compressed Pu'er Tea</v>
          </cell>
          <cell r="G433" t="str">
            <v>Ingredient: compressed sheng pu’er tea cake*. *From organic farming.</v>
          </cell>
          <cell r="H433" t="str">
            <v>/</v>
          </cell>
          <cell r="I433" t="str">
            <v>As a certified member of the World Fair Trade Organization, Les Jardins de Gaïa is committed to fairer trade and meets the requirements of fair trade. For more information: www.wfto.com.</v>
          </cell>
          <cell r="J433" t="str">
            <v>Compressed Pu'er</v>
          </cell>
          <cell r="K433" t="str">
            <v>Several infusions</v>
          </cell>
          <cell r="L433"/>
        </row>
        <row r="434">
          <cell r="A434" t="str">
            <v>TA7062</v>
          </cell>
          <cell r="B434" t="str">
            <v>Péché gourmand</v>
          </cell>
          <cell r="C434" t="str">
            <v xml:space="preserve">Caramel </v>
          </cell>
          <cell r="D434" t="str">
            <v>Caramel Break</v>
          </cell>
          <cell r="E434" t="str">
            <v>Caramel</v>
          </cell>
          <cell r="F434" t="str">
            <v>Organic Flavoured Black Tea</v>
          </cell>
          <cell r="G434" t="str">
            <v>Ingredients: black tea*, natural (caramel* 7%, vanilla*) flavourings, caramel pieces* 5 % (cane sugar*, glucose syrup*, cocoa butter*, coconut milk powder*, pea protein*, dextrose*, salt (fleur de sel), natural Bourbon vanilla flavouring*, sunflower lecithins powder*). *From organic farming.
Nutritional information per 100 ml: energy 3kJ/1kcal. This infusion contains negligible amounts of fat such as saturated fat, and of carbohydrates including sugars, proteins and salt.</v>
          </cell>
          <cell r="H434" t="str">
            <v>/</v>
          </cell>
          <cell r="I434" t="str">
            <v>As a certified member of the World Fair Trade Organization, Les Jardins de Gaïa is committed to fairer trade and meets the requirements of fair trade. For more information: www.wfto.com.</v>
          </cell>
          <cell r="J434" t="str">
            <v>Loose leaf tea</v>
          </cell>
          <cell r="K434" t="str">
            <v>/</v>
          </cell>
          <cell r="L434"/>
        </row>
        <row r="435">
          <cell r="A435" t="str">
            <v>TA6872</v>
          </cell>
          <cell r="B435" t="str">
            <v>Pêche Melba</v>
          </cell>
          <cell r="C435" t="str">
            <v>Pêche - Framboise - Saveur vanille</v>
          </cell>
          <cell r="D435" t="str">
            <v xml:space="preserve">Peach Melba </v>
          </cell>
          <cell r="E435" t="str">
            <v>Peach - Raspberry - Vanilla flavour</v>
          </cell>
          <cell r="F435" t="str">
            <v>Organic Flavoured Green Tea</v>
          </cell>
          <cell r="G435" t="str">
            <v>Ingredients: green tea*, natural (peach* 4%, raspberry* 2%, strawberry*) flavourings, fruit pieces (peach*, raspberry*) 3%, vanilla extract* 2%. *From organic farming.</v>
          </cell>
          <cell r="H435" t="str">
            <v>/</v>
          </cell>
          <cell r="I435" t="str">
            <v>As a certified member of the World Fair Trade Organization, Les Jardins de Gaïa is committed to fairer trade and meets the requirements of fair trade. For more information: www.wfto.com.</v>
          </cell>
          <cell r="J435" t="str">
            <v>Loose leaf tea</v>
          </cell>
          <cell r="K435" t="str">
            <v>/</v>
          </cell>
          <cell r="L435"/>
        </row>
        <row r="436">
          <cell r="A436" t="str">
            <v>TA6842</v>
          </cell>
          <cell r="B436" t="str">
            <v>Pêche-Abricot</v>
          </cell>
          <cell r="C436" t="str">
            <v>Pêche - Abricot</v>
          </cell>
          <cell r="D436" t="str">
            <v xml:space="preserve">Forever Summer </v>
          </cell>
          <cell r="E436" t="str">
            <v>Peach - Apricot</v>
          </cell>
          <cell r="F436" t="str">
            <v>Organic Flavoured Green Tea</v>
          </cell>
          <cell r="G436" t="str">
            <v>Ingredients: green tea*, natural (peach*, apricot*) flavourings 8%, fruit pieces (peach*, apricot*) 2%, marigold petals*. *From organic farming.</v>
          </cell>
          <cell r="H436" t="str">
            <v>/</v>
          </cell>
          <cell r="I436" t="str">
            <v>As a certified member of the World Fair Trade Organization, Les Jardins de Gaïa is committed to fairer trade and meets the requirements of fair trade. For more information: www.wfto.com.</v>
          </cell>
          <cell r="J436" t="str">
            <v>Loose leaf tea</v>
          </cell>
          <cell r="K436" t="str">
            <v>/</v>
          </cell>
          <cell r="L436"/>
        </row>
        <row r="437">
          <cell r="A437" t="str">
            <v>TA7322</v>
          </cell>
          <cell r="B437" t="str">
            <v>Persian love</v>
          </cell>
          <cell r="C437" t="str">
            <v>Fumé doux - Huile essentielle de bergamote</v>
          </cell>
          <cell r="D437" t="str">
            <v>Persian love</v>
          </cell>
          <cell r="E437" t="str">
            <v>Mild smoked tea - Bergamot essential oil</v>
          </cell>
          <cell r="F437" t="str">
            <v>Organic Flavoured Black Tea</v>
          </cell>
          <cell r="G437" t="str">
            <v xml:space="preserve">Ingredients: smoked black tea*, rose petals*, lavender*, bergamot essential oil* 2%. *From organic farming. </v>
          </cell>
          <cell r="H437" t="str">
            <v>/</v>
          </cell>
          <cell r="I437" t="str">
            <v>As a certified member of the World Fair Trade Organization, Les Jardins de Gaïa is committed to fairer trade and meets the requirements of fair trade. For more information: www.wfto.com.</v>
          </cell>
          <cell r="J437" t="str">
            <v>Loose leaf tea</v>
          </cell>
          <cell r="K437" t="str">
            <v>/</v>
          </cell>
          <cell r="L437"/>
        </row>
        <row r="438">
          <cell r="A438" t="str">
            <v>BT3532</v>
          </cell>
          <cell r="B438" t="str">
            <v>Pétales d'argent</v>
          </cell>
          <cell r="C438" t="str">
            <v>3 pièces</v>
          </cell>
          <cell r="D438" t="str">
            <v>Silver petals</v>
          </cell>
          <cell r="E438" t="str">
            <v>3 pieces</v>
          </cell>
          <cell r="F438" t="str">
            <v>Organic Original Wu Long Tea</v>
          </cell>
          <cell r="G438" t="str">
            <v>Ingredient: wu long**. **From organic and biodynamic farming. demeter is the brand for products from biodynamic agriculture.</v>
          </cell>
          <cell r="H438" t="str">
            <v>/</v>
          </cell>
          <cell r="I438" t="str">
            <v>As a certified member of the World Fair Trade Organization, Les Jardins de Gaïa is committed to fairer trade and meets the requirements of fair trade. For more information: www.wfto.com.</v>
          </cell>
          <cell r="J438" t="str">
            <v>Loose leaf tea</v>
          </cell>
          <cell r="K438" t="str">
            <v>Several infusions</v>
          </cell>
          <cell r="L438"/>
        </row>
        <row r="439">
          <cell r="A439" t="str">
            <v>TH5011</v>
          </cell>
          <cell r="B439" t="str">
            <v>Petit déjeuner</v>
          </cell>
          <cell r="C439" t="str">
            <v>/</v>
          </cell>
          <cell r="D439" t="str">
            <v>Breakfast</v>
          </cell>
          <cell r="E439" t="str">
            <v>/</v>
          </cell>
          <cell r="F439" t="str">
            <v>Organic Herbal Tea Infusion</v>
          </cell>
          <cell r="G439" t="str">
            <v>Ingredients: blackberry leaves* (Rubus fruticosus), peppermint* (Mentha piperita), raspberry leaves* (Rubus idaeus), strawberry leaves* (Fragaria vescae), marigold petals* (Calendula officinalis), cornflower petals* (Centaurea cyanus). *From organic farming.</v>
          </cell>
          <cell r="H439" t="str">
            <v>/</v>
          </cell>
          <cell r="I439" t="str">
            <v>/</v>
          </cell>
          <cell r="J439" t="str">
            <v>Loose Infusion</v>
          </cell>
          <cell r="K439" t="str">
            <v>/</v>
          </cell>
          <cell r="L439" t="str">
            <v>/</v>
          </cell>
        </row>
        <row r="440">
          <cell r="A440" t="str">
            <v>TH501</v>
          </cell>
          <cell r="B440" t="str">
            <v>Petit déjeuner</v>
          </cell>
          <cell r="C440" t="str">
            <v>/</v>
          </cell>
          <cell r="D440" t="str">
            <v>Breakfast</v>
          </cell>
          <cell r="E440" t="str">
            <v>/</v>
          </cell>
          <cell r="F440" t="str">
            <v>Organic Herbal Tea Infusion</v>
          </cell>
          <cell r="G440" t="str">
            <v>Ingredients: blackberry leaves* (Rubus fruticosus), peppermint* (Mentha piperita), raspberry leaves* (Rubus idaeus), strawberry leaves* (Fragaria vescae), marigold petals* (Calendula officinalis), cornflower petals* (Centaurea cyanus). *From organic farming.</v>
          </cell>
          <cell r="H440" t="str">
            <v>/</v>
          </cell>
          <cell r="I440" t="str">
            <v>/</v>
          </cell>
          <cell r="J440" t="str">
            <v>Loose Infusion</v>
          </cell>
          <cell r="K440" t="str">
            <v>/</v>
          </cell>
          <cell r="L440" t="str">
            <v>/</v>
          </cell>
        </row>
        <row r="441">
          <cell r="A441" t="str">
            <v>TN5472</v>
          </cell>
          <cell r="B441" t="str">
            <v>Phongsaly Black</v>
          </cell>
          <cell r="C441" t="str">
            <v>OP</v>
          </cell>
          <cell r="D441" t="str">
            <v>Phongsaly Black</v>
          </cell>
          <cell r="E441" t="str">
            <v>OP</v>
          </cell>
          <cell r="F441" t="str">
            <v>Organic Original Black Tea</v>
          </cell>
          <cell r="G441" t="str">
            <v>Ingredient: black tea*. *From organic farming.</v>
          </cell>
          <cell r="H441" t="str">
            <v>/</v>
          </cell>
          <cell r="I441" t="str">
            <v>As a certified member of the World Fair Trade Organization, Les Jardins de Gaïa is committed to fairer trade and meets the requirements of fair trade. For more information: www.wfto.com.</v>
          </cell>
          <cell r="J441" t="str">
            <v>Loose leaf tea</v>
          </cell>
          <cell r="K441" t="str">
            <v>/</v>
          </cell>
          <cell r="L441"/>
        </row>
        <row r="442">
          <cell r="A442" t="str">
            <v>TV5012</v>
          </cell>
          <cell r="B442" t="str">
            <v xml:space="preserve">Phongsaly Green </v>
          </cell>
          <cell r="C442" t="str">
            <v>OP</v>
          </cell>
          <cell r="D442" t="str">
            <v xml:space="preserve">Phongsaly Green </v>
          </cell>
          <cell r="E442" t="str">
            <v>OP</v>
          </cell>
          <cell r="F442" t="str">
            <v>Organic Original Green Tea</v>
          </cell>
          <cell r="G442" t="str">
            <v>Ingredient: green tea*. *From organic farming.</v>
          </cell>
          <cell r="H442" t="str">
            <v>/</v>
          </cell>
          <cell r="I442" t="str">
            <v>As a certified member of the World Fair Trade Organization, Les Jardins de Gaïa is committed to fairer trade and meets the requirements of fair trade. For more information: www.wfto.com.</v>
          </cell>
          <cell r="J442" t="str">
            <v>Loose leaf tea</v>
          </cell>
          <cell r="K442" t="str">
            <v>/</v>
          </cell>
          <cell r="L442"/>
        </row>
        <row r="443">
          <cell r="A443" t="str">
            <v>TV4312</v>
          </cell>
          <cell r="B443" t="str">
            <v>Pin Ho Jade</v>
          </cell>
          <cell r="C443" t="str">
            <v>/</v>
          </cell>
          <cell r="D443" t="str">
            <v>Pin Ho Jade</v>
          </cell>
          <cell r="E443" t="str">
            <v>/</v>
          </cell>
          <cell r="F443" t="str">
            <v>Organic Original Green Tea</v>
          </cell>
          <cell r="G443" t="str">
            <v>Ingredient: green tea*. *From organic farming.</v>
          </cell>
          <cell r="H443" t="str">
            <v>/</v>
          </cell>
          <cell r="I443" t="str">
            <v>As a certified member of the World Fair Trade Organization, Les Jardins de Gaïa is committed to fairer trade and meets the requirements of fair trade. For more information: www.wfto.com.</v>
          </cell>
          <cell r="J443" t="str">
            <v>Loose leaf tea</v>
          </cell>
          <cell r="K443" t="str">
            <v>/</v>
          </cell>
          <cell r="L443"/>
        </row>
        <row r="444">
          <cell r="A444" t="str">
            <v>TM0216</v>
          </cell>
          <cell r="B444" t="str">
            <v>Plaisir</v>
          </cell>
          <cell r="C444" t="str">
            <v>Mélange de plantes rafraîchissant</v>
          </cell>
          <cell r="D444" t="str">
            <v>Pleasure</v>
          </cell>
          <cell r="E444" t="str">
            <v>Refreshing Herbal Tea Blend</v>
          </cell>
          <cell r="F444" t="str">
            <v>Organic Herbal Tea and Spices Infusion</v>
          </cell>
          <cell r="G444" t="str">
            <v>Ingredients: lemongrass*, lemon myrtle*, liquorice*, mint*, lemon peels*. *From organic farming. Contains liquorice: people suffering from hypertension should avoid excessive consumption.</v>
          </cell>
          <cell r="H444" t="str">
            <v>/</v>
          </cell>
          <cell r="I444" t="str">
            <v>/</v>
          </cell>
          <cell r="J444" t="str">
            <v>Loose Infusion</v>
          </cell>
          <cell r="K444" t="str">
            <v>/</v>
          </cell>
          <cell r="L444"/>
        </row>
        <row r="445">
          <cell r="A445" t="str">
            <v>BT3542</v>
          </cell>
          <cell r="B445" t="str">
            <v>Poésie en rose</v>
          </cell>
          <cell r="C445" t="str">
            <v>3 pièces</v>
          </cell>
          <cell r="D445" t="str">
            <v>Poetry in roses</v>
          </cell>
          <cell r="E445" t="str">
            <v>3 pieces</v>
          </cell>
          <cell r="F445" t="str">
            <v>Organic Perfumed Wu Long Tea</v>
          </cell>
          <cell r="G445" t="str">
            <v>Ingredients: wu long tea**, amaranth flowers* 4%. *From organic farming. **From organic and biodynamic farming. demeter is the brand for products from biodynamic agriculture.</v>
          </cell>
          <cell r="H445" t="str">
            <v>/</v>
          </cell>
          <cell r="I445" t="str">
            <v>As a certified member of the World Fair Trade Organization, Les Jardins de Gaïa is committed to fairer trade and meets the requirements of fair trade. For more information: www.wfto.com.</v>
          </cell>
          <cell r="J445" t="str">
            <v>Loose leaf tea</v>
          </cell>
          <cell r="K445" t="str">
            <v>Several infusions</v>
          </cell>
          <cell r="L445"/>
        </row>
        <row r="446">
          <cell r="A446" t="str">
            <v>TR2372</v>
          </cell>
          <cell r="B446" t="str">
            <v>Poire Belle-Hélène 
remplace 
Dans le Bush</v>
          </cell>
          <cell r="C446" t="str">
            <v>Saveurs poire - cacao</v>
          </cell>
          <cell r="D446" t="str">
            <v xml:space="preserve">Poire Belle-Hélène </v>
          </cell>
          <cell r="E446" t="str">
            <v>Pear - Cocoa flavours</v>
          </cell>
          <cell r="F446" t="str">
            <v>Organic Flavoured Rooibos</v>
          </cell>
          <cell r="G446" t="str">
            <v>Ingredients: rooibos*, natural (pear*, cocoa*) flavourings* 9%, flaked almonds*, apple pieces*, marigold petals*. *From organic farming.</v>
          </cell>
          <cell r="H446" t="str">
            <v>/</v>
          </cell>
          <cell r="I446" t="str">
            <v>As a certified member of the World Fair Trade Organization, Les Jardins de Gaïa is committed to fairer trade and meets the requirements of fair trade. For more information: www.wfto.com.</v>
          </cell>
          <cell r="J446" t="str">
            <v>Loose rooibos</v>
          </cell>
          <cell r="K446" t="str">
            <v>/</v>
          </cell>
          <cell r="L446" t="str">
            <v>/</v>
          </cell>
        </row>
        <row r="447">
          <cell r="A447" t="str">
            <v>TR2372</v>
          </cell>
          <cell r="B447" t="str">
            <v>Poire Belle-Hélène 
remplace
Noël dans le Bush</v>
          </cell>
          <cell r="C447" t="str">
            <v>Saveurs poire - cacao</v>
          </cell>
          <cell r="D447" t="str">
            <v xml:space="preserve">Poire Belle-Hélène </v>
          </cell>
          <cell r="E447" t="str">
            <v>Pear - Cocoa flavours</v>
          </cell>
          <cell r="F447" t="str">
            <v>Organic Flavoured Rooibos</v>
          </cell>
          <cell r="G447" t="str">
            <v>Ingredients: rooibos*, natural (pear*, cocoa*) flavourings* 9%, flaked almonds*, apple pieces*, marigold petals*. *From organic farming.</v>
          </cell>
          <cell r="H447" t="str">
            <v>/</v>
          </cell>
          <cell r="I447" t="str">
            <v>As a certified member of the World Fair Trade Organization, Les Jardins de Gaïa is committed to fairer trade and meets the requirements of fair trade. For more information: www.wfto.com.</v>
          </cell>
          <cell r="J447" t="str">
            <v>Loose rooibos</v>
          </cell>
          <cell r="K447" t="str">
            <v>/</v>
          </cell>
          <cell r="L447" t="str">
            <v>/</v>
          </cell>
        </row>
        <row r="448">
          <cell r="A448" t="str">
            <v>TA601</v>
          </cell>
          <cell r="B448" t="str">
            <v>Pomme de Noël / Pomme étoilée</v>
          </cell>
          <cell r="C448" t="str">
            <v>pomme - badiane</v>
          </cell>
          <cell r="D448" t="str">
            <v>Christmas apple</v>
          </cell>
          <cell r="E448" t="str">
            <v>Apple - Star anise</v>
          </cell>
          <cell r="F448" t="str">
            <v>Organic Flavoured Green Tea</v>
          </cell>
          <cell r="G448" t="str">
            <v>Ingredients : green tea*, cinnamon*, ginger*, star anise* 8%, natural apple flavouring* 4%, apple* pieces 3%, pink berries*. *From organic farming.</v>
          </cell>
          <cell r="H448" t="str">
            <v>/</v>
          </cell>
          <cell r="I448" t="str">
            <v>As a certified member of the World Fair Trade Organization, Les Jardins de Gaïa is committed to fairer trade and meets the requirements of fair trade. For more information: www.wfto.com.</v>
          </cell>
          <cell r="J448" t="str">
            <v>Loose leaf tea</v>
          </cell>
          <cell r="K448"/>
          <cell r="L448"/>
        </row>
        <row r="449">
          <cell r="A449" t="str">
            <v>TN2072</v>
          </cell>
          <cell r="B449" t="str">
            <v>Potong</v>
          </cell>
          <cell r="C449" t="str">
            <v>FTGFOP1 FF 
Top Quality 
cultivar Potong China</v>
          </cell>
          <cell r="D449" t="str">
            <v>Potong</v>
          </cell>
          <cell r="E449" t="str">
            <v>FTGFOP1 FF 
Top Quality 
cultivar Potong China</v>
          </cell>
          <cell r="F449" t="str">
            <v>Single Estate First Flush Organic Black Tea</v>
          </cell>
          <cell r="G449" t="str">
            <v xml:space="preserve">Ingredient: black tea*. *From organic farming. </v>
          </cell>
          <cell r="H449" t="str">
            <v>/</v>
          </cell>
          <cell r="I449"/>
          <cell r="J449" t="str">
            <v>Loose leaf tea</v>
          </cell>
          <cell r="K449" t="str">
            <v>/</v>
          </cell>
          <cell r="L449"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450">
          <cell r="A450" t="str">
            <v>TH0621</v>
          </cell>
          <cell r="B450" t="str">
            <v>Powerful</v>
          </cell>
          <cell r="C450" t="str">
            <v>Tonique
Maté - Cannelle - Baies de goji</v>
          </cell>
          <cell r="D450" t="str">
            <v>Powerful</v>
          </cell>
          <cell r="E450" t="str">
            <v>Tonic
Mate - Cinnamon - Goji berries</v>
          </cell>
          <cell r="F450" t="str">
            <v>Organic Herbal Tea Infusion</v>
          </cell>
          <cell r="G450" t="str">
            <v>Ingredients: mate* 37% (Ilex paraguariensis), lemongrass* (Cymbopogon citratus), cinnamon* 15% (Cinnamomum spec.), goji berries* 12% (Lycium barbarum), rose petals* (Rosa damascena), echinacea* (Echinacea purpurea). *From organic farming.</v>
          </cell>
          <cell r="H450" t="str">
            <v>Recommended daily consumption: four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450" t="str">
            <v>/</v>
          </cell>
          <cell r="J450" t="str">
            <v>Loose Infusion</v>
          </cell>
          <cell r="K450" t="str">
            <v>/</v>
          </cell>
          <cell r="L450" t="str">
            <v>/</v>
          </cell>
        </row>
        <row r="451">
          <cell r="A451" t="str">
            <v>TH0622</v>
          </cell>
          <cell r="B451" t="str">
            <v>Powerful</v>
          </cell>
          <cell r="C451" t="str">
            <v>Tonique
Maté - Cannelle - Baies de goji</v>
          </cell>
          <cell r="D451" t="str">
            <v>Powerful</v>
          </cell>
          <cell r="E451" t="str">
            <v>Tonic
Mate - Cinnamon - Goji berries</v>
          </cell>
          <cell r="F451" t="str">
            <v>Organic Herbal Tea Infusion</v>
          </cell>
          <cell r="G451" t="str">
            <v>Ingredients: mate* 37% (Ilex paraguariensis), lemongrass* (Cymbopogon citratus), cinnamon* 15% (Cinnamomum spec.), goji berries* 12% (Lycium barbarum), rose petals* (Rosa damascena), echinacea* (Echinacea purpurea). *From organic farming.</v>
          </cell>
          <cell r="H451" t="str">
            <v>Recommended daily consumption: four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451" t="str">
            <v>/</v>
          </cell>
          <cell r="J451" t="str">
            <v>Loose Infusion</v>
          </cell>
          <cell r="K451" t="str">
            <v>/</v>
          </cell>
          <cell r="L451" t="str">
            <v>/</v>
          </cell>
        </row>
        <row r="452">
          <cell r="A452" t="str">
            <v>TH215</v>
          </cell>
          <cell r="B452" t="str">
            <v>Prêle</v>
          </cell>
          <cell r="C452" t="str">
            <v>/</v>
          </cell>
          <cell r="D452" t="str">
            <v>Horsetail</v>
          </cell>
          <cell r="E452" t="str">
            <v>/</v>
          </cell>
          <cell r="F452" t="str">
            <v>Organic Herbal Tea Infusion</v>
          </cell>
          <cell r="G452" t="str">
            <v>Ingredient: horsetail* (Equisetum arvense). *From organic farming.</v>
          </cell>
          <cell r="H452" t="str">
            <v>/</v>
          </cell>
          <cell r="I452" t="str">
            <v>/</v>
          </cell>
          <cell r="J452" t="str">
            <v>Loose Infusion</v>
          </cell>
          <cell r="K452" t="str">
            <v>/</v>
          </cell>
          <cell r="L452" t="str">
            <v>/</v>
          </cell>
        </row>
        <row r="453">
          <cell r="A453" t="str">
            <v>TA9012</v>
          </cell>
          <cell r="B453" t="str">
            <v>Premiers flocons</v>
          </cell>
          <cell r="C453" t="str">
            <v>Cacao - Saveur framboise</v>
          </cell>
          <cell r="D453" t="str">
            <v xml:space="preserve">First Flakes </v>
          </cell>
          <cell r="E453" t="str">
            <v>Cocoa - Raspberry flavour</v>
          </cell>
          <cell r="F453" t="str">
            <v>Organic Flavoured Wu long Tea</v>
          </cell>
          <cell r="G453" t="str">
            <v>Ingredients: wu long tea*, natural raspberry flavouring* 7%, vanilla extract*, flower petals (rose*, cornflower*, marigold*), cocoa barks* 2%, cinnamon*. *From organic farming.</v>
          </cell>
          <cell r="H453" t="str">
            <v>/</v>
          </cell>
          <cell r="I453" t="str">
            <v>As a certified member of the World Fair Trade Organization, Les Jardins de Gaïa is committed to fairer trade and meets the requirements of fair trade. For more information: www.wfto.com.</v>
          </cell>
          <cell r="J453" t="str">
            <v>Loose leaf tea</v>
          </cell>
          <cell r="K453" t="str">
            <v>/</v>
          </cell>
          <cell r="L453"/>
        </row>
        <row r="454">
          <cell r="A454" t="str">
            <v>TA9012</v>
          </cell>
          <cell r="B454" t="str">
            <v>Premiers flocons</v>
          </cell>
          <cell r="C454" t="str">
            <v>Cacao - Saveur framboise</v>
          </cell>
          <cell r="D454" t="str">
            <v xml:space="preserve">First Flakes </v>
          </cell>
          <cell r="E454" t="str">
            <v>Cocoa - Raspberry flavour</v>
          </cell>
          <cell r="F454" t="str">
            <v>Organic Flavoured Wu long Tea</v>
          </cell>
          <cell r="G454" t="str">
            <v>Ingredients: wu long tea*, natural raspberry flavouring* 7%, vanilla extract*, flower petals (rose*, cornflower*, marigold*), cocoa barks* 2%, cinnamon*. *From organic farming.</v>
          </cell>
          <cell r="H454" t="str">
            <v>/</v>
          </cell>
          <cell r="I454" t="str">
            <v>As a certified member of the World Fair Trade Organization, Les Jardins de Gaïa is committed to fairer trade and meets the requirements of fair trade. For more information: www.wfto.com.</v>
          </cell>
          <cell r="J454" t="str">
            <v>Loose leaf tea</v>
          </cell>
          <cell r="K454" t="str">
            <v>/</v>
          </cell>
          <cell r="L454"/>
        </row>
        <row r="455">
          <cell r="A455" t="str">
            <v>TH0661</v>
          </cell>
          <cell r="B455" t="str">
            <v>Prends ton temps</v>
          </cell>
          <cell r="C455" t="str">
            <v>Apaisante
Verveine - Mélisse - Lavande</v>
          </cell>
          <cell r="D455" t="str">
            <v>Take it easy</v>
          </cell>
          <cell r="E455" t="str">
            <v>Verbena - Lemon balm - Lavender</v>
          </cell>
          <cell r="F455" t="str">
            <v>Soothing Organic Herbal Tea Infusion</v>
          </cell>
          <cell r="G455" t="str">
            <v>Ingredients: verbena* 38% (Aloysia triphylla), lemongrass* (Cymbopogon citratus), lemon balm* 16% (Melissa officinalis L.), chamomile (Matricaria chamomilla), lavender* 6% (Lavandula angustifolia). *From organic farming.</v>
          </cell>
          <cell r="H455"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455" t="str">
            <v>/</v>
          </cell>
          <cell r="J455" t="str">
            <v>Loose Infusion</v>
          </cell>
          <cell r="K455" t="str">
            <v>/</v>
          </cell>
          <cell r="L455" t="str">
            <v>/</v>
          </cell>
        </row>
        <row r="456">
          <cell r="A456" t="str">
            <v>TH0666</v>
          </cell>
          <cell r="B456" t="str">
            <v>Prends ton temps</v>
          </cell>
          <cell r="C456" t="str">
            <v>Apaisante
Verveine - Mélisse - Lavande</v>
          </cell>
          <cell r="D456" t="str">
            <v>Take it easy</v>
          </cell>
          <cell r="E456" t="str">
            <v>Verbena - Lemon balm - Lavender</v>
          </cell>
          <cell r="F456" t="str">
            <v>Soothing Organic Herbal Tea Infusion</v>
          </cell>
          <cell r="G456" t="str">
            <v>Ingredients: verbena* 38% (Aloysia triphylla), lemongrass* (Cymbopogon citratus), lemon balm* 16% (Melissa officinalis L.), chamomile (Matricaria chamomilla), lavender* 6% (Lavandula angustifolia). *From organic farming.</v>
          </cell>
          <cell r="H456"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456" t="str">
            <v>/</v>
          </cell>
          <cell r="J456" t="str">
            <v>Loose Infusion</v>
          </cell>
          <cell r="K456" t="str">
            <v>/</v>
          </cell>
          <cell r="L456" t="str">
            <v>/</v>
          </cell>
        </row>
        <row r="457">
          <cell r="A457" t="str">
            <v>TA6952</v>
          </cell>
          <cell r="B457" t="str">
            <v>Printemps à Kyoto</v>
          </cell>
          <cell r="C457" t="str">
            <v>Saveurs cerise - vanille</v>
          </cell>
          <cell r="D457" t="str">
            <v>Springtime in Kyoto</v>
          </cell>
          <cell r="E457" t="str">
            <v>Cherry - vanilla flavours</v>
          </cell>
          <cell r="F457" t="str">
            <v>Organic Flavoured Green Tea</v>
          </cell>
          <cell r="G457" t="str">
            <v>Ingredients: green tea*, natural cherry flavouring* 5.5%, vanilla extract* 2%, marigold petals*, amaranth*. *From organic farming.</v>
          </cell>
          <cell r="H457" t="str">
            <v>/</v>
          </cell>
          <cell r="I457" t="str">
            <v>As a certified member of the World Fair Trade Organization, Les Jardins de Gaïa is committed to fairer trade and meets the requirements of fair trade. For more information: www.wfto.com.</v>
          </cell>
          <cell r="J457" t="str">
            <v>Loose leaf tea</v>
          </cell>
          <cell r="K457" t="str">
            <v>/</v>
          </cell>
          <cell r="L457"/>
        </row>
        <row r="458">
          <cell r="A458" t="str">
            <v>TA7442</v>
          </cell>
          <cell r="B458" t="str">
            <v>Promenade sensorielle</v>
          </cell>
          <cell r="C458" t="str">
            <v>Saveurs mûre - framboise</v>
          </cell>
          <cell r="D458" t="str">
            <v>Sensory stroll</v>
          </cell>
          <cell r="E458" t="str">
            <v>Blackberry - raspberry flavours</v>
          </cell>
          <cell r="F458" t="str">
            <v>Organic Flavoured Black Tea</v>
          </cell>
          <cell r="G458" t="str">
            <v>Ingredients: black tea*, natural (blackberry*, raspberry*) flavourings 11%, blackberry leaves*, flower petals (cornflower*, amaranth*), mallow leaves and flowers*. *From organic farming.</v>
          </cell>
          <cell r="H458" t="str">
            <v>/</v>
          </cell>
          <cell r="I458" t="str">
            <v>As a certified member of the World Fair Trade Organization, Les Jardins de Gaïa is committed to fairer trade and meets the requirements of fair trade. For more information: www.wfto.com.</v>
          </cell>
          <cell r="J458" t="str">
            <v>Loose leaf tea</v>
          </cell>
          <cell r="K458" t="str">
            <v>/</v>
          </cell>
          <cell r="L458"/>
        </row>
        <row r="459">
          <cell r="A459" t="str">
            <v>TM7862</v>
          </cell>
          <cell r="B459" t="str">
            <v>P'tit Déj</v>
          </cell>
          <cell r="C459" t="str">
            <v>TGFOP</v>
          </cell>
          <cell r="D459" t="str">
            <v>Breakfast tea</v>
          </cell>
          <cell r="E459" t="str">
            <v>TGFOP</v>
          </cell>
          <cell r="F459" t="str">
            <v>Organic Black Tea</v>
          </cell>
          <cell r="G459" t="str">
            <v>Ingredient: black tea*. *From organic farming.</v>
          </cell>
          <cell r="H459" t="str">
            <v>/</v>
          </cell>
          <cell r="I459" t="str">
            <v>As a certified member of the World Fair Trade Organization, Les Jardins de Gaïa is committed to fairer trade and meets the requirements of fair trade. For more information: www.wfto.com.</v>
          </cell>
          <cell r="J459" t="str">
            <v>Loose leaf tea</v>
          </cell>
          <cell r="K459" t="str">
            <v>/</v>
          </cell>
          <cell r="L459"/>
        </row>
        <row r="460">
          <cell r="A460" t="str">
            <v>TN4002</v>
          </cell>
          <cell r="B460" t="str">
            <v>Pu'er</v>
          </cell>
          <cell r="C460" t="str">
            <v>/</v>
          </cell>
          <cell r="D460" t="str">
            <v>Pu'er</v>
          </cell>
          <cell r="E460" t="str">
            <v>/</v>
          </cell>
          <cell r="F460" t="str">
            <v>Organic Original Dark Tea</v>
          </cell>
          <cell r="G460" t="str">
            <v>Ingredient: dark tea pu'er*. *From organic farming.</v>
          </cell>
          <cell r="H460" t="str">
            <v>/</v>
          </cell>
          <cell r="I460" t="str">
            <v>As a certified member of the World Fair Trade Organization, Les Jardins de Gaïa is committed to fairer trade and meets the requirements of fair trade. For more information: www.wfto.com.</v>
          </cell>
          <cell r="J460" t="str">
            <v>Loose leaf tea</v>
          </cell>
          <cell r="K460" t="str">
            <v>/</v>
          </cell>
          <cell r="L460"/>
        </row>
        <row r="461">
          <cell r="A461" t="str">
            <v>TN4102</v>
          </cell>
          <cell r="B461" t="str">
            <v>Pu'er Grade 1</v>
          </cell>
          <cell r="C461" t="str">
            <v>/</v>
          </cell>
          <cell r="D461" t="str">
            <v>Pu'er Grade 1</v>
          </cell>
          <cell r="E461" t="str">
            <v>/</v>
          </cell>
          <cell r="F461" t="str">
            <v>Organic Original Dark Tea</v>
          </cell>
          <cell r="G461" t="str">
            <v xml:space="preserve">Ingredient: dark tea pu'er*. *From organic farming. </v>
          </cell>
          <cell r="H461" t="str">
            <v>/</v>
          </cell>
          <cell r="I461" t="str">
            <v>As a certified member of the World Fair Trade Organization, Les Jardins de Gaïa is committed to fairer trade and meets the requirements of fair trade. For more information: www.wfto.com.</v>
          </cell>
          <cell r="J461" t="str">
            <v>Loose leaf tea</v>
          </cell>
          <cell r="K461" t="str">
            <v>Several infusions</v>
          </cell>
          <cell r="L461"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462">
          <cell r="A462" t="str">
            <v>TN4015</v>
          </cell>
          <cell r="B462" t="str">
            <v>Pu'er Maiden</v>
          </cell>
          <cell r="C462" t="str">
            <v>Pu'er Nu'er 普洱女儿</v>
          </cell>
          <cell r="D462" t="str">
            <v>Pu'er Maiden</v>
          </cell>
          <cell r="E462" t="str">
            <v>Pu'er Nu'er 普洱女儿</v>
          </cell>
          <cell r="F462" t="str">
            <v>Organic Original Pu'er Dark Tea</v>
          </cell>
          <cell r="G462" t="str">
            <v xml:space="preserve">Ingredient: dark tea pu'er*. *From organic farming. </v>
          </cell>
          <cell r="H462" t="str">
            <v>/</v>
          </cell>
          <cell r="I462" t="str">
            <v>As a certified member of the World Fair Trade Organization, Les Jardins de Gaïa is committed to fairer trade and meets the requirements of fair trade. For more information: www.wfto.com.</v>
          </cell>
          <cell r="J462" t="str">
            <v>Loose leaf tea</v>
          </cell>
          <cell r="K462" t="str">
            <v>Several infusions</v>
          </cell>
          <cell r="L462" t="str">
            <v>/</v>
          </cell>
        </row>
        <row r="463">
          <cell r="A463" t="str">
            <v>TN4012</v>
          </cell>
          <cell r="B463" t="str">
            <v>Pu'er Maiden</v>
          </cell>
          <cell r="C463" t="str">
            <v>Pu'er Nu'er 普洱女儿</v>
          </cell>
          <cell r="D463" t="str">
            <v>Pu'er Maiden</v>
          </cell>
          <cell r="E463" t="str">
            <v>Pu'er Nu'er 普洱女儿</v>
          </cell>
          <cell r="F463" t="str">
            <v>Organic Original Pu'er Dark Tea</v>
          </cell>
          <cell r="G463" t="str">
            <v xml:space="preserve">Ingredient: dark tea pu'er*. *From organic farming. </v>
          </cell>
          <cell r="H463" t="str">
            <v>/</v>
          </cell>
          <cell r="I463" t="str">
            <v>As a certified member of the World Fair Trade Organization, Les Jardins de Gaïa is committed to fairer trade and meets the requirements of fair trade. For more information: www.wfto.com.</v>
          </cell>
          <cell r="J463" t="str">
            <v>Loose leaf tea</v>
          </cell>
          <cell r="K463" t="str">
            <v>Several infusions</v>
          </cell>
          <cell r="L463" t="str">
            <v>/</v>
          </cell>
        </row>
        <row r="464">
          <cell r="A464" t="str">
            <v>TN4012R</v>
          </cell>
          <cell r="B464" t="str">
            <v>Pu'er Maiden</v>
          </cell>
          <cell r="C464" t="str">
            <v>Pu'er Nu'er 普洱女儿</v>
          </cell>
          <cell r="D464" t="str">
            <v>Pu'er Maiden</v>
          </cell>
          <cell r="E464" t="str">
            <v>Pu'er Nu'er 普洱女儿</v>
          </cell>
          <cell r="F464" t="str">
            <v>Organic Original Pu'er Dark Tea</v>
          </cell>
          <cell r="G464" t="str">
            <v xml:space="preserve">Ingredient: dark tea pu'er*. *From organic farming. </v>
          </cell>
          <cell r="H464" t="str">
            <v>/</v>
          </cell>
          <cell r="I464" t="str">
            <v>As a certified member of the World Fair Trade Organization, Les Jardins de Gaïa is committed to fairer trade and meets the requirements of fair trade. For more information: www.wfto.com.</v>
          </cell>
          <cell r="J464" t="str">
            <v>Loose leaf tea</v>
          </cell>
          <cell r="K464" t="str">
            <v>Several infusions</v>
          </cell>
          <cell r="L464" t="str">
            <v>/</v>
          </cell>
        </row>
        <row r="465">
          <cell r="A465" t="str">
            <v>TN1055</v>
          </cell>
          <cell r="B465" t="str">
            <v>Pu'er Palace</v>
          </cell>
          <cell r="C465" t="str">
            <v>Gong Ting Pu'er Cha 宮廷普洱茶</v>
          </cell>
          <cell r="D465" t="str">
            <v>Pu'er Palace</v>
          </cell>
          <cell r="E465" t="str">
            <v>Gong Ting Pu'er Cha 宮廷普洱茶</v>
          </cell>
          <cell r="F465" t="str">
            <v>Organic Original Compressed Pu'er Dark Tea</v>
          </cell>
          <cell r="G465" t="str">
            <v xml:space="preserve">Ingredient: dark tea pu'er*. *From organic farming. </v>
          </cell>
          <cell r="H465" t="str">
            <v>/</v>
          </cell>
          <cell r="I465" t="str">
            <v>As a certified member of the World Fair Trade Organization, Les Jardins de Gaïa is committed to fairer trade and meets the requirements of fair trade. For more information: www.wfto.com.</v>
          </cell>
          <cell r="J465" t="str">
            <v>Loose leaf tea</v>
          </cell>
          <cell r="K465" t="str">
            <v>Several infusions</v>
          </cell>
          <cell r="L465" t="str">
            <v>/</v>
          </cell>
        </row>
        <row r="466">
          <cell r="A466" t="str">
            <v>TN1052</v>
          </cell>
          <cell r="B466" t="str">
            <v>Pu'er Palace</v>
          </cell>
          <cell r="C466" t="str">
            <v>Gong Ting Pu'er Cha 宮廷普洱茶</v>
          </cell>
          <cell r="D466" t="str">
            <v>Pu'er Palace</v>
          </cell>
          <cell r="E466" t="str">
            <v>Gong Ting Pu'er Cha 宮廷普洱茶</v>
          </cell>
          <cell r="F466" t="str">
            <v>Organic Original Compressed Pu'er Dark Tea</v>
          </cell>
          <cell r="G466" t="str">
            <v xml:space="preserve">Ingredient: dark tea pu'er*. *From organic farming. </v>
          </cell>
          <cell r="H466" t="str">
            <v>/</v>
          </cell>
          <cell r="I466" t="str">
            <v>As a certified member of the World Fair Trade Organization, Les Jardins de Gaïa is committed to fairer trade and meets the requirements of fair trade. For more information: www.wfto.com.</v>
          </cell>
          <cell r="J466" t="str">
            <v>Loose leaf tea</v>
          </cell>
          <cell r="K466" t="str">
            <v>Several infusions</v>
          </cell>
          <cell r="L466" t="str">
            <v>/</v>
          </cell>
        </row>
        <row r="467">
          <cell r="A467" t="str">
            <v>TN1052R</v>
          </cell>
          <cell r="B467" t="str">
            <v>Pu'er Palace</v>
          </cell>
          <cell r="C467" t="str">
            <v>Gong Ting Pu'er Cha 宮廷普洱茶</v>
          </cell>
          <cell r="D467" t="str">
            <v>Pu'er Palace</v>
          </cell>
          <cell r="E467" t="str">
            <v>Gong Ting Pu'er Cha 宮廷普洱茶</v>
          </cell>
          <cell r="F467" t="str">
            <v>Organic Original Compressed Pu'er Dark Tea</v>
          </cell>
          <cell r="G467" t="str">
            <v xml:space="preserve">Ingredient: dark tea pu'er*. *From organic farming. </v>
          </cell>
          <cell r="H467" t="str">
            <v>/</v>
          </cell>
          <cell r="I467" t="str">
            <v>As a certified member of the World Fair Trade Organization, Les Jardins de Gaïa is committed to fairer trade and meets the requirements of fair trade. For more information: www.wfto.com.</v>
          </cell>
          <cell r="J467" t="str">
            <v>Loose leaf tea</v>
          </cell>
          <cell r="K467" t="str">
            <v>Several infusions</v>
          </cell>
          <cell r="L467" t="str">
            <v>/</v>
          </cell>
        </row>
        <row r="468">
          <cell r="A468" t="str">
            <v>TU0022</v>
          </cell>
          <cell r="B468" t="str">
            <v>Pureté du Yunnan</v>
          </cell>
          <cell r="C468" t="str">
            <v>Tuo Cha Pu'er compressé en nid</v>
          </cell>
          <cell r="D468" t="str">
            <v>Pure Yunnan</v>
          </cell>
          <cell r="E468" t="str">
            <v xml:space="preserve">Tuo Cha Compressed Pu'er Tea Nest </v>
          </cell>
          <cell r="F468" t="str">
            <v>Organic Original Compressed Green Tea</v>
          </cell>
          <cell r="G468" t="str">
            <v xml:space="preserve">Ingredient: pu'er green tea*. *From organic farming. </v>
          </cell>
          <cell r="H468" t="str">
            <v>/</v>
          </cell>
          <cell r="I468" t="str">
            <v>As a certified member of the World Fair Trade Organization, Les Jardins de Gaïa is committed to fairer trade and meets the requirements of fair trade. For more information: www.wfto.com.</v>
          </cell>
          <cell r="J468" t="str">
            <v>Compressed Pu'er</v>
          </cell>
          <cell r="K468" t="str">
            <v>Several infusions</v>
          </cell>
          <cell r="L468"/>
        </row>
        <row r="469">
          <cell r="A469" t="str">
            <v>TN3132</v>
          </cell>
          <cell r="B469" t="str">
            <v xml:space="preserve">Putharjhora </v>
          </cell>
          <cell r="C469" t="str">
            <v>FTGFOP1 SF</v>
          </cell>
          <cell r="D469" t="str">
            <v xml:space="preserve">Putharjhora </v>
          </cell>
          <cell r="E469" t="str">
            <v>FTGFOP1</v>
          </cell>
          <cell r="F469" t="str">
            <v>Organic Original Black Tea</v>
          </cell>
          <cell r="G469" t="str">
            <v xml:space="preserve">Ingredient: black tea**. **From organic and biodynamic farming. demeter is the brand for products from biodynamic agriculture. </v>
          </cell>
          <cell r="H469" t="str">
            <v>/</v>
          </cell>
          <cell r="I469" t="str">
            <v>As a certified member of the World Fair Trade Organization, Les Jardins de Gaïa is committed to fairer trade and meets the requirements of fair trade. For more information: www.wfto.com.</v>
          </cell>
          <cell r="J469" t="str">
            <v>Loose leaf tea</v>
          </cell>
          <cell r="K469" t="str">
            <v>/</v>
          </cell>
          <cell r="L469"/>
        </row>
        <row r="470">
          <cell r="A470" t="str">
            <v>TN3122</v>
          </cell>
          <cell r="B470" t="str">
            <v xml:space="preserve">Putharjhora </v>
          </cell>
          <cell r="C470" t="str">
            <v>CTC BOP</v>
          </cell>
          <cell r="D470" t="str">
            <v xml:space="preserve">Putharjhora </v>
          </cell>
          <cell r="E470" t="str">
            <v>CTC BOP</v>
          </cell>
          <cell r="F470" t="str">
            <v>Organic Original Black Tea</v>
          </cell>
          <cell r="G470" t="str">
            <v xml:space="preserve">Ingredient: black tea**. **From organic and biodynamic farming. demeter is the brand for products from biodynamic agriculture. </v>
          </cell>
          <cell r="H470" t="str">
            <v>/</v>
          </cell>
          <cell r="I470" t="str">
            <v>As a certified member of the World Fair Trade Organization, Les Jardins de Gaïa is committed to fairer trade and meets the requirements of fair trade. For more information: www.wfto.com.</v>
          </cell>
          <cell r="J470" t="str">
            <v>Loose leaf tea</v>
          </cell>
          <cell r="K470" t="str">
            <v>/</v>
          </cell>
          <cell r="L470"/>
        </row>
        <row r="471">
          <cell r="A471" t="str">
            <v>TN2342</v>
          </cell>
          <cell r="B471" t="str">
            <v>Putharjhora Full Moon</v>
          </cell>
          <cell r="C471" t="str">
            <v>FTGFOP1 FF Top Quality
EX. 22.03.2022</v>
          </cell>
          <cell r="D471" t="str">
            <v>Putharjhora Full Moon</v>
          </cell>
          <cell r="E471" t="str">
            <v>FTGFOP1 FF Top Quality
EX. 22.03.2022</v>
          </cell>
          <cell r="F471" t="str">
            <v>Single Estate First Flush Organic Black Tea</v>
          </cell>
          <cell r="G471" t="str">
            <v xml:space="preserve">Ingredient: black tea**. **From organic and biodynamic farming. demeter is the brand for products from biodynamic agriculture. </v>
          </cell>
          <cell r="H471" t="str">
            <v>/</v>
          </cell>
          <cell r="I471" t="str">
            <v>As a certified member of the World Fair Trade Organization, Les Jardins de Gaïa is committed to fairer trade and meets the requirements of fair trade. For more information: www.wfto.com.</v>
          </cell>
          <cell r="J471" t="str">
            <v>Loose leaf tea</v>
          </cell>
          <cell r="K471" t="str">
            <v>/</v>
          </cell>
          <cell r="L471"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472">
          <cell r="A472" t="str">
            <v>TV3372</v>
          </cell>
          <cell r="B472" t="str">
            <v>Putharjhora Green</v>
          </cell>
          <cell r="C472" t="str">
            <v>/</v>
          </cell>
          <cell r="D472" t="str">
            <v>Putharjhora Green</v>
          </cell>
          <cell r="E472" t="str">
            <v>/</v>
          </cell>
          <cell r="F472" t="str">
            <v>Organic Original Green Tea</v>
          </cell>
          <cell r="G472" t="str">
            <v>Ingredient: green tea**. **From organic and biodynamic farming. demeter is the brand for products from biodynamic agriculture.</v>
          </cell>
          <cell r="H472" t="str">
            <v>/</v>
          </cell>
          <cell r="I472" t="str">
            <v>As a certified member of the World Fair Trade Organization, Les Jardins de Gaïa is committed to fairer trade and meets the requirements of fair trade. For more information: www.wfto.com.</v>
          </cell>
          <cell r="J472" t="str">
            <v>Loose leaf tea</v>
          </cell>
          <cell r="K472" t="str">
            <v>/</v>
          </cell>
          <cell r="L472"/>
        </row>
        <row r="473">
          <cell r="A473" t="str">
            <v>TB3746</v>
          </cell>
          <cell r="B473" t="str">
            <v>Putharjhora Silver drops</v>
          </cell>
          <cell r="C473" t="str">
            <v>Jardin de Putharjhora 
cultivar CP-1</v>
          </cell>
          <cell r="D473" t="str">
            <v>Putharjhora Silver drops</v>
          </cell>
          <cell r="E473" t="str">
            <v>Putharjhora garden 
cultivar CP-1</v>
          </cell>
          <cell r="F473" t="str">
            <v>Single Estate First Flush Organic White Tea</v>
          </cell>
          <cell r="G473" t="str">
            <v>Ingredient: white tea**. **From organic and biodynamic farming. demeter is the brand for products from biodynamic agriculture.</v>
          </cell>
          <cell r="H473" t="str">
            <v>/</v>
          </cell>
          <cell r="I473" t="str">
            <v>As a certified member of the World Fair Trade Organization, Les Jardins de Gaïa is committed to fairer trade and meets the requirements of fair trade. For more information: www.wfto.com.</v>
          </cell>
          <cell r="J473" t="str">
            <v>Loose leaf tea</v>
          </cell>
          <cell r="K473" t="str">
            <v>/</v>
          </cell>
          <cell r="L473"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474">
          <cell r="A474" t="str">
            <v>TN3286</v>
          </cell>
          <cell r="B474" t="str">
            <v xml:space="preserve">Putharjhora Tippy </v>
          </cell>
          <cell r="C474" t="str">
            <v>FTGFOP1 SF</v>
          </cell>
          <cell r="D474" t="str">
            <v xml:space="preserve">Putharjhora Tippy </v>
          </cell>
          <cell r="E474" t="str">
            <v>FTGFOP1 SF</v>
          </cell>
          <cell r="F474" t="str">
            <v>Single Estate Organic Black Tea</v>
          </cell>
          <cell r="G474" t="str">
            <v>Ingredient: black tea**. **From organic and biodynamic farming. demeter is the brand of products from biodynamic agriculture.</v>
          </cell>
          <cell r="H474" t="str">
            <v>/</v>
          </cell>
          <cell r="I474" t="str">
            <v>As a certified member of the World Fair Trade Organization, Les Jardins de Gaïa is committed to fairer trade and meets the requirements of fair trade. For more information: www.wfto.com.</v>
          </cell>
          <cell r="J474" t="str">
            <v>Loose leaf tea</v>
          </cell>
          <cell r="K474" t="str">
            <v>/</v>
          </cell>
          <cell r="L474"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475">
          <cell r="A475" t="str">
            <v>voir BDD 2025</v>
          </cell>
          <cell r="B475" t="str">
            <v>QUETSCHELA</v>
          </cell>
          <cell r="C475"/>
          <cell r="D475"/>
          <cell r="E475"/>
          <cell r="F475"/>
          <cell r="G475"/>
          <cell r="H475"/>
          <cell r="I475"/>
          <cell r="J475"/>
          <cell r="K475"/>
          <cell r="L475"/>
        </row>
        <row r="476">
          <cell r="A476" t="str">
            <v>TUTO1326</v>
          </cell>
          <cell r="B476" t="str">
            <v>Qing Xin Wu Long</v>
          </cell>
          <cell r="C476" t="str">
            <v>/</v>
          </cell>
          <cell r="D476" t="str">
            <v>Qing Xin Wu Long</v>
          </cell>
          <cell r="E476" t="str">
            <v>/</v>
          </cell>
          <cell r="F476" t="str">
            <v>Organic Original Wu Long Tea</v>
          </cell>
          <cell r="G476" t="str">
            <v>Ingredient: wu long tea. 
Guaranteed free of pesticide residues.</v>
          </cell>
          <cell r="H476" t="str">
            <v>/</v>
          </cell>
          <cell r="I476" t="str">
            <v>/</v>
          </cell>
          <cell r="J476" t="str">
            <v>Loose leaf tea</v>
          </cell>
          <cell r="K476" t="str">
            <v>Several infusions</v>
          </cell>
          <cell r="L476"/>
        </row>
        <row r="477">
          <cell r="A477" t="str">
            <v>TA7082</v>
          </cell>
          <cell r="B477" t="str">
            <v>Ramayana</v>
          </cell>
          <cell r="C477" t="str">
            <v>Mangue - Pêche</v>
          </cell>
          <cell r="D477" t="str">
            <v>Ramayana</v>
          </cell>
          <cell r="E477" t="str">
            <v>Mango - Peach</v>
          </cell>
          <cell r="F477" t="str">
            <v>Organic Flavoured Black Tea</v>
          </cell>
          <cell r="G477" t="str">
            <v>Ingredients: black tea*, natural (mango*, peach*) flavourings 10%, fruit pieces (mango*, peach*) 2%, lemon essential oil*, lemon peels*. *From organic farming.</v>
          </cell>
          <cell r="H477" t="str">
            <v>/</v>
          </cell>
          <cell r="I477" t="str">
            <v>As a certified member of the World Fair Trade Organization, Les Jardins de Gaïa is committed to fairer trade and meets the requirements of fair trade. For more information: www.wfto.com.</v>
          </cell>
          <cell r="J477" t="str">
            <v>Loose leaf tea</v>
          </cell>
          <cell r="K477" t="str">
            <v>/</v>
          </cell>
          <cell r="L477"/>
        </row>
        <row r="478">
          <cell r="A478" t="str">
            <v>TH5031</v>
          </cell>
          <cell r="B478" t="str">
            <v>Rayon de soleil</v>
          </cell>
          <cell r="C478" t="str">
            <v>/</v>
          </cell>
          <cell r="D478" t="str">
            <v>Ray of Sunshine</v>
          </cell>
          <cell r="E478" t="str">
            <v>/</v>
          </cell>
          <cell r="F478" t="str">
            <v>Organic Herbal Tea Infusion</v>
          </cell>
          <cell r="G478" t="str">
            <v xml:space="preserve">Ingredients: raspberry leaves* (Rubus idaeus), lemon balm* (Melissa officinalis), marigold petals* (Calendula officinalis), hazel tree leaves* (Corylus avellana), sunflower petals* (Helianthus annuus), cornflower petals* (Centaurea cyanus), linden flowers* (Tiliae flos), monarda* (Monarda didyma). *From organic farming. </v>
          </cell>
          <cell r="H478" t="str">
            <v>/</v>
          </cell>
          <cell r="I478" t="str">
            <v>/</v>
          </cell>
          <cell r="J478" t="str">
            <v>Loose Infusion</v>
          </cell>
          <cell r="K478" t="str">
            <v>/</v>
          </cell>
          <cell r="L478" t="str">
            <v>/</v>
          </cell>
        </row>
        <row r="479">
          <cell r="A479" t="str">
            <v>TH503</v>
          </cell>
          <cell r="B479" t="str">
            <v>Rayon de soleil</v>
          </cell>
          <cell r="C479" t="str">
            <v>/</v>
          </cell>
          <cell r="D479" t="str">
            <v>Ray of Sunshine</v>
          </cell>
          <cell r="E479" t="str">
            <v>/</v>
          </cell>
          <cell r="F479" t="str">
            <v>Organic Herbal Tea Infusion</v>
          </cell>
          <cell r="G479" t="str">
            <v xml:space="preserve">Ingredients: raspberry leaves* (Rubus idaeus), lemon balm* (Melissa officinalis), marigold petals* (Calendula officinalis), hazel tree leaves* (Corylus avellana), sunflower petals* (Helianthus annuus), cornflower petals* (Centaurea cyanus), linden flowers* (Tiliae flos), monarda* (Monarda didyma). *From organic farming. </v>
          </cell>
          <cell r="H479" t="str">
            <v>/</v>
          </cell>
          <cell r="I479" t="str">
            <v>/</v>
          </cell>
          <cell r="J479" t="str">
            <v>Loose Infusion</v>
          </cell>
          <cell r="K479" t="str">
            <v>/</v>
          </cell>
          <cell r="L479" t="str">
            <v>/</v>
          </cell>
        </row>
        <row r="480">
          <cell r="A480" t="str">
            <v>TH1161</v>
          </cell>
          <cell r="B480" t="str">
            <v>Reine des prés</v>
          </cell>
          <cell r="C480" t="str">
            <v>Souplesse articulaire &amp; Drainante</v>
          </cell>
          <cell r="D480" t="str">
            <v>Meadowsweet</v>
          </cell>
          <cell r="E480" t="str">
            <v>Joint flexibility &amp; Diuretic</v>
          </cell>
          <cell r="F480" t="str">
            <v>Organic Herbal Tea Infusion</v>
          </cell>
          <cell r="G480" t="str">
            <v>Ingredient: meadowsweet* (Filipendula ulmaria). *From organic farming.</v>
          </cell>
          <cell r="H480"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480" t="str">
            <v>/</v>
          </cell>
          <cell r="J480" t="str">
            <v>Loose Infusion</v>
          </cell>
          <cell r="K480" t="str">
            <v>/</v>
          </cell>
          <cell r="L480" t="str">
            <v>/</v>
          </cell>
        </row>
        <row r="481">
          <cell r="A481" t="str">
            <v>TH1162</v>
          </cell>
          <cell r="B481" t="str">
            <v>Reine des prés</v>
          </cell>
          <cell r="C481" t="str">
            <v>Souplesse articulaire &amp; Drainante</v>
          </cell>
          <cell r="D481" t="str">
            <v>Meadowsweet</v>
          </cell>
          <cell r="E481" t="str">
            <v>Joint flexibility &amp; Diuretic</v>
          </cell>
          <cell r="F481" t="str">
            <v>Organic Herbal Tea Infusion</v>
          </cell>
          <cell r="G481" t="str">
            <v>Ingredient: meadowsweet* (Filipendula ulmaria). *From organic farming.</v>
          </cell>
          <cell r="H481"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481" t="str">
            <v>/</v>
          </cell>
          <cell r="J481" t="str">
            <v>Loose Infusion</v>
          </cell>
          <cell r="K481" t="str">
            <v>/</v>
          </cell>
          <cell r="L481" t="str">
            <v>/</v>
          </cell>
        </row>
        <row r="482">
          <cell r="A482" t="str">
            <v>TH5171</v>
          </cell>
          <cell r="B482" t="str">
            <v>Remède Elfique</v>
          </cell>
          <cell r="C482" t="str">
            <v>Bien-être
Feuilles de framboisier - Mélisse</v>
          </cell>
          <cell r="D482" t="str">
            <v>Elven Remedy</v>
          </cell>
          <cell r="E482" t="str">
            <v>Raspberry leaves - Lemon balm</v>
          </cell>
          <cell r="F482" t="str">
            <v>Wellness Organic Herbal Tea Infusion</v>
          </cell>
          <cell r="G482" t="str">
            <v>Ingredients: raspberry leaves* 32% (Rubus idaeus), lemon balm* 22% (Melissa officinalis), blackberry bush leaves* (Rubus fruticosus), linden flowers* (Tiliae flos), cornflower petals* (Centaurea cyanus), marigold petals* (Calendula officinalis), rosemary* (Rosmarinus officinalis), wild thyme* (Thymus serpyllum), rosebuds* (Rosa damascena). *From organic farming.</v>
          </cell>
          <cell r="H482" t="str">
            <v>Recommended daily consumption: five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482" t="str">
            <v>/</v>
          </cell>
          <cell r="J482" t="str">
            <v>Loose Infusion</v>
          </cell>
          <cell r="K482" t="str">
            <v>/</v>
          </cell>
          <cell r="L482" t="str">
            <v>/</v>
          </cell>
        </row>
        <row r="483">
          <cell r="A483" t="str">
            <v>TH517</v>
          </cell>
          <cell r="B483" t="str">
            <v>Remède Elfique</v>
          </cell>
          <cell r="C483" t="str">
            <v>Bien-être
Feuilles de framboisier - Mélisse</v>
          </cell>
          <cell r="D483" t="str">
            <v>Elven Remedy</v>
          </cell>
          <cell r="E483" t="str">
            <v>Raspberry leaves - Lemon balm</v>
          </cell>
          <cell r="F483" t="str">
            <v>Wellness Organic Herbal Tea Infusion</v>
          </cell>
          <cell r="G483" t="str">
            <v>Ingredients: raspberry leaves* 32% (Rubus idaeus), lemon balm* 22% (Melissa officinalis), blackberry bush leaves* (Rubus fruticosus), linden flowers* (Tiliae flos), cornflower petals* (Centaurea cyanus), marigold petals* (Calendula officinalis), rosemary* (Rosmarinus officinalis), wild thyme* (Thymus serpyllum), rosebuds* (Rosa damascena). *From organic farming.</v>
          </cell>
          <cell r="H483" t="str">
            <v>Recommended daily consumption: five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483" t="str">
            <v>/</v>
          </cell>
          <cell r="J483" t="str">
            <v>Loose Infusion</v>
          </cell>
          <cell r="K483" t="str">
            <v>/</v>
          </cell>
          <cell r="L483" t="str">
            <v>/</v>
          </cell>
        </row>
        <row r="484">
          <cell r="A484" t="str">
            <v>TA7452</v>
          </cell>
          <cell r="B484" t="str">
            <v>Rendez-vous amoureux</v>
          </cell>
          <cell r="C484" t="str">
            <v>Saveurs litchi - poire</v>
          </cell>
          <cell r="D484" t="str">
            <v>Rendezvous</v>
          </cell>
          <cell r="E484" t="str">
            <v>Lychee - pear flavours</v>
          </cell>
          <cell r="F484" t="str">
            <v>Organic Flavoured Black Tea</v>
          </cell>
          <cell r="G484" t="str">
            <v xml:space="preserve">Ingredients: black tea*, natural (pear*, lychee) flavourings 13%, flowers (osmanthus*, violet*), chamomile petals*. *From organic farming. </v>
          </cell>
          <cell r="H484" t="str">
            <v>/</v>
          </cell>
          <cell r="I484" t="str">
            <v>As a certified member of the World Fair Trade Organization, Les Jardins de Gaïa is committed to fairer trade and meets the requirements of fair trade. For more information: www.wfto.com.</v>
          </cell>
          <cell r="J484" t="str">
            <v>Loose leaf tea</v>
          </cell>
          <cell r="K484" t="str">
            <v>/</v>
          </cell>
          <cell r="L484"/>
        </row>
        <row r="485">
          <cell r="A485" t="str">
            <v>TUTA7452</v>
          </cell>
          <cell r="B485" t="str">
            <v>Rendez-vous amoureux</v>
          </cell>
          <cell r="C485" t="str">
            <v>Saveurs litchi - poire</v>
          </cell>
          <cell r="D485" t="str">
            <v>Rendezvous</v>
          </cell>
          <cell r="E485" t="str">
            <v>Lychee - pear flavours</v>
          </cell>
          <cell r="F485" t="str">
            <v>Organic Flavoured Black Tea</v>
          </cell>
          <cell r="G485" t="str">
            <v xml:space="preserve">Ingredients: black tea*, natural (pear*, lychee) flavourings 13%, flowers (osmanthus*, violet*), chamomile petals*. *From organic farming. </v>
          </cell>
          <cell r="H485" t="str">
            <v>/</v>
          </cell>
          <cell r="I485" t="str">
            <v>As a certified member of the World Fair Trade Organization, Les Jardins de Gaïa is committed to fairer trade and meets the requirements of fair trade. For more information: www.wfto.com.</v>
          </cell>
          <cell r="J485" t="str">
            <v>Loose leaf tea</v>
          </cell>
          <cell r="K485" t="str">
            <v>/</v>
          </cell>
          <cell r="L485"/>
        </row>
        <row r="486">
          <cell r="A486" t="str">
            <v>TH0651</v>
          </cell>
          <cell r="B486" t="str">
            <v>Repas relax</v>
          </cell>
          <cell r="C486" t="str">
            <v>Digestive
Romarin - Fenouil - Coriandre - Lavande</v>
          </cell>
          <cell r="D486" t="str">
            <v>Tummy Tum-Tum</v>
          </cell>
          <cell r="E486" t="str">
            <v>Digestive
Rosemary - Fennel - Coriander - Lavender</v>
          </cell>
          <cell r="F486" t="str">
            <v>Organic Herbal Tea Infusion</v>
          </cell>
          <cell r="G486" t="str">
            <v>Ingredients: rosemary* 33% (Rosmarinus officinalis), lemongrass* (Cymbopogon citratus), fennel* 19% (Foeniculum vulgare), coriander* 10% (Coriandrum sativum), lavender* 3% (Lavandula augustifolia), turmeric* (Curcuma longa), marigold petals* (Calendula officinalis). *From organic farming.</v>
          </cell>
          <cell r="H486"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486" t="str">
            <v>/</v>
          </cell>
          <cell r="J486" t="str">
            <v>Loose Infusion</v>
          </cell>
          <cell r="K486" t="str">
            <v>/</v>
          </cell>
          <cell r="L486" t="str">
            <v>/</v>
          </cell>
        </row>
        <row r="487">
          <cell r="A487" t="str">
            <v>TH0652</v>
          </cell>
          <cell r="B487" t="str">
            <v>Repas relax</v>
          </cell>
          <cell r="C487" t="str">
            <v>Digestive
Romarin - Fenouil - Coriandre - Lavande</v>
          </cell>
          <cell r="D487" t="str">
            <v>Tummy Tum-Tum</v>
          </cell>
          <cell r="E487" t="str">
            <v>Digestive
Rosemary - Fennel - Coriander - Lavender</v>
          </cell>
          <cell r="F487" t="str">
            <v>Organic Herbal Tea Infusion</v>
          </cell>
          <cell r="G487" t="str">
            <v>Ingredients: rosemary* 33% (Rosmarinus officinalis), lemongrass* (Cymbopogon citratus), fennel* 19% (Foeniculum vulgare), coriander* 10% (Coriandrum sativum), lavender* 3% (Lavandula augustifolia), turmeric* (Curcuma longa), marigold petals* (Calendula officinalis). *From organic farming.</v>
          </cell>
          <cell r="H487"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487" t="str">
            <v>/</v>
          </cell>
          <cell r="J487" t="str">
            <v>Loose Infusion</v>
          </cell>
          <cell r="K487" t="str">
            <v>/</v>
          </cell>
          <cell r="L487" t="str">
            <v>/</v>
          </cell>
        </row>
        <row r="488">
          <cell r="A488" t="str">
            <v>TR2462</v>
          </cell>
          <cell r="B488" t="str">
            <v>Respire la vie</v>
          </cell>
          <cell r="C488" t="str">
            <v>Macis - Lavande - Saveur mûre</v>
          </cell>
          <cell r="D488" t="str">
            <v>Breathe Life</v>
          </cell>
          <cell r="E488" t="str">
            <v>Mace - Lavender - Blackberry flavour</v>
          </cell>
          <cell r="F488" t="str">
            <v>Organic Flavoured Rooibos</v>
          </cell>
          <cell r="G488" t="str">
            <v>Ingredients: green rooibos*, natural (blackberry* 7%, blueberry*, strawberry*) flavourings, flowers (mace*, lavender*) 9%, flower petals (poppy*, cornflower*), aronia berries*. *From organic farming.</v>
          </cell>
          <cell r="H488" t="str">
            <v>/</v>
          </cell>
          <cell r="I488" t="str">
            <v>/</v>
          </cell>
          <cell r="J488" t="str">
            <v>Loose rooibos</v>
          </cell>
          <cell r="K488" t="str">
            <v>/</v>
          </cell>
          <cell r="L488" t="str">
            <v>/</v>
          </cell>
        </row>
        <row r="489">
          <cell r="A489" t="str">
            <v>TUTR2462</v>
          </cell>
          <cell r="B489" t="str">
            <v>Respire la vie</v>
          </cell>
          <cell r="C489" t="str">
            <v>Macis - Lavande - Saveur mûre</v>
          </cell>
          <cell r="D489" t="str">
            <v>Breathe Life</v>
          </cell>
          <cell r="E489" t="str">
            <v>Mace - Lavender - Blackberry flavour</v>
          </cell>
          <cell r="F489" t="str">
            <v>Organic Flavoured Rooibos</v>
          </cell>
          <cell r="G489" t="str">
            <v>Ingredients: green rooibos*, natural (blackberry* 7%, blueberry*, strawberry*) flavourings, flowers (mace*, lavender*) 9%, flower petals (poppy*, cornflower*), aronia berries*. *From organic farming.</v>
          </cell>
          <cell r="H489" t="str">
            <v>/</v>
          </cell>
          <cell r="I489" t="str">
            <v>/</v>
          </cell>
          <cell r="J489" t="str">
            <v>Loose rooibos</v>
          </cell>
          <cell r="K489" t="str">
            <v>/</v>
          </cell>
          <cell r="L489" t="str">
            <v>/</v>
          </cell>
        </row>
        <row r="490">
          <cell r="A490" t="str">
            <v>TA7292</v>
          </cell>
          <cell r="B490" t="str">
            <v>Retour de cueillette</v>
          </cell>
          <cell r="C490" t="str">
            <v>Fruits rouges</v>
          </cell>
          <cell r="D490" t="str">
            <v>Harvest Moon</v>
          </cell>
          <cell r="E490" t="str">
            <v>Red berries</v>
          </cell>
          <cell r="F490" t="str">
            <v>Organic Flavoured Black Tea</v>
          </cell>
          <cell r="G490" t="str">
            <v>Ingredients: black tea*, natural (cherry* 2%, mirabelle plum, blackberry* 1%, blackcurrant*) flavourings, berries (aronia*, redcurrant* 1%), rose petals*. *From organic farming.</v>
          </cell>
          <cell r="H490" t="str">
            <v>/</v>
          </cell>
          <cell r="I490" t="str">
            <v>As a certified member of the World Fair Trade Organization, Les Jardins de Gaïa is committed to fairer trade and meets the requirements of fair trade. For more information: www.wfto.com.</v>
          </cell>
          <cell r="J490" t="str">
            <v>Loose leaf tea</v>
          </cell>
          <cell r="K490" t="str">
            <v>/</v>
          </cell>
          <cell r="L490"/>
        </row>
        <row r="491">
          <cell r="A491" t="str">
            <v>TA7232</v>
          </cell>
          <cell r="B491" t="str">
            <v>Rêve d’automne</v>
          </cell>
          <cell r="C491" t="str">
            <v>pomme - saveur pruneau</v>
          </cell>
          <cell r="D491" t="str">
            <v>Autumn dream</v>
          </cell>
          <cell r="E491" t="str">
            <v>Apple - Prune flavor</v>
          </cell>
          <cell r="F491" t="str">
            <v>Organic Flavoured Black Tea</v>
          </cell>
          <cell r="G491" t="str">
            <v>Ingredients: black tea*, honeybush*, natural flavourings (prune* 7%, apple* 0,5%), cinnamon extract*, pieces of (cinnamon*, apple* 2%), marigold petals*. *From organic farming.</v>
          </cell>
          <cell r="H491" t="str">
            <v>/</v>
          </cell>
          <cell r="I491" t="str">
            <v>As a certified member of the World Fair Trade Organization, Les Jardins de Gaïa is committed to fairer trade and meets the requirements of fair trade. For more information: www.wfto.com.</v>
          </cell>
          <cell r="J491" t="str">
            <v>Loose leaf tea</v>
          </cell>
          <cell r="K491" t="str">
            <v>/</v>
          </cell>
          <cell r="L491"/>
        </row>
        <row r="492">
          <cell r="A492" t="str">
            <v>TA5016</v>
          </cell>
          <cell r="B492" t="str">
            <v>Rêve de Femme</v>
          </cell>
          <cell r="C492" t="str">
            <v>Mangue - Saveur pêche</v>
          </cell>
          <cell r="D492" t="str">
            <v>A woman's dream</v>
          </cell>
          <cell r="E492" t="str">
            <v>Mango - Peach flavour</v>
          </cell>
          <cell r="F492" t="str">
            <v>Organic Flavoured White Tea</v>
          </cell>
          <cell r="G492" t="str">
            <v>Ingredients: white tea*, natural (mango*, peach*) flavourings 8%, rose petals*, mango pieces* 3%. *From organic farming.</v>
          </cell>
          <cell r="H492" t="str">
            <v>/</v>
          </cell>
          <cell r="I492" t="str">
            <v>As a certified member of the World Fair Trade Organization, Les Jardins de Gaïa is committed to fairer trade and meets the requirements of fair trade. For more information: www.wfto.com.</v>
          </cell>
          <cell r="J492" t="str">
            <v>Loose leaf tea</v>
          </cell>
          <cell r="K492" t="str">
            <v>/</v>
          </cell>
          <cell r="L492"/>
        </row>
        <row r="493">
          <cell r="A493" t="str">
            <v>TU5016</v>
          </cell>
          <cell r="B493" t="str">
            <v>Rêve de Femme</v>
          </cell>
          <cell r="C493" t="str">
            <v>Mangue - Saveur pêche</v>
          </cell>
          <cell r="D493" t="str">
            <v>A woman's dream</v>
          </cell>
          <cell r="E493" t="str">
            <v>Mango - Peach flavour</v>
          </cell>
          <cell r="F493" t="str">
            <v>Organic Flavoured White Tea</v>
          </cell>
          <cell r="G493" t="str">
            <v>Ingredients: white tea*, natural (mango*, peach*) flavourings 8%, rose petals*, mango pieces* 3%. *From organic farming.</v>
          </cell>
          <cell r="H493" t="str">
            <v>/</v>
          </cell>
          <cell r="I493" t="str">
            <v>As a certified member of the World Fair Trade Organization, Les Jardins de Gaïa is committed to fairer trade and meets the requirements of fair trade. For more information: www.wfto.com.</v>
          </cell>
          <cell r="J493" t="str">
            <v>Loose leaf tea</v>
          </cell>
          <cell r="K493" t="str">
            <v>/</v>
          </cell>
          <cell r="L493"/>
        </row>
        <row r="494">
          <cell r="A494" t="str">
            <v>TA5036</v>
          </cell>
          <cell r="B494" t="str">
            <v>Rêve éveillé de Gaïa</v>
          </cell>
          <cell r="C494" t="str">
            <v>Gingembre - Saveur vanille</v>
          </cell>
          <cell r="D494" t="str">
            <v>Dream of Gaïa's Awakening</v>
          </cell>
          <cell r="E494" t="str">
            <v>Ginger - Vanilla flavour</v>
          </cell>
          <cell r="F494" t="str">
            <v>Organic Flavoured White Tea</v>
          </cell>
          <cell r="G494" t="str">
            <v xml:space="preserve">Ingredients: white tea*, ginger* 10%, vanilla extract* 4%, flower petals (rose*, mallow*, lavender*, marigold*, sunflower*, cornflower*). *From organic farming. </v>
          </cell>
          <cell r="H494" t="str">
            <v>/</v>
          </cell>
          <cell r="I494" t="str">
            <v>As a certified member of the World Fair Trade Organization, Les Jardins de Gaïa is committed to fairer trade and meets the requirements of fair trade. For more information: www.wfto.com.</v>
          </cell>
          <cell r="J494" t="str">
            <v>Leaf tea</v>
          </cell>
          <cell r="K494" t="str">
            <v>/</v>
          </cell>
          <cell r="L494" t="str">
            <v>/</v>
          </cell>
        </row>
        <row r="495">
          <cell r="A495" t="str">
            <v>TUTA5036</v>
          </cell>
          <cell r="B495" t="str">
            <v>Rêve éveillé de Gaïa</v>
          </cell>
          <cell r="C495" t="str">
            <v>Gingembre - Saveur vanille</v>
          </cell>
          <cell r="D495" t="str">
            <v>Dream of Gaïa's Awakening</v>
          </cell>
          <cell r="E495" t="str">
            <v>Ginger - Vanilla flavour</v>
          </cell>
          <cell r="F495" t="str">
            <v>Organic Flavoured White Tea</v>
          </cell>
          <cell r="G495" t="str">
            <v xml:space="preserve">Ingredients: white tea*, ginger* 10%, vanilla extract* 4%, flower petals (rose*, mallow*, lavender*, marigold*, sunflower*, cornflower*). *From organic farming. </v>
          </cell>
          <cell r="H495" t="str">
            <v>/</v>
          </cell>
          <cell r="I495" t="str">
            <v>As a certified member of the World Fair Trade Organization, Les Jardins de Gaïa is committed to fairer trade and meets the requirements of fair trade. For more information: www.wfto.com.</v>
          </cell>
          <cell r="J495" t="str">
            <v>Leaf tea</v>
          </cell>
          <cell r="K495" t="str">
            <v>/</v>
          </cell>
          <cell r="L495" t="str">
            <v>/</v>
          </cell>
        </row>
        <row r="496">
          <cell r="A496" t="str">
            <v>TA7072</v>
          </cell>
          <cell r="B496" t="str">
            <v>Rituel Africain</v>
          </cell>
          <cell r="C496" t="str">
            <v>Coco - Banane - Ananas</v>
          </cell>
          <cell r="D496" t="str">
            <v>African Ritual</v>
          </cell>
          <cell r="E496" t="str">
            <v>Coco - Banana - Pineapple</v>
          </cell>
          <cell r="F496" t="str">
            <v>Organic Flavoured Black Tea</v>
          </cell>
          <cell r="G496" t="str">
            <v>Ingredients: black tea*, natural (pineapple*, coconut*, banana*) flavourings 12%, fruit pieces(coconut flakes*, pineapple*, banana*) 3%. *From organic farming.</v>
          </cell>
          <cell r="H496" t="str">
            <v>/</v>
          </cell>
          <cell r="I496" t="str">
            <v>As a certified member of the World Fair Trade Organization, Les Jardins de Gaïa is committed to fairer trade and meets the requirements of fair trade. For more information: www.wfto.com.</v>
          </cell>
          <cell r="J496" t="str">
            <v>Loose leaf tea</v>
          </cell>
          <cell r="K496" t="str">
            <v>/</v>
          </cell>
          <cell r="L496"/>
        </row>
        <row r="497">
          <cell r="A497" t="str">
            <v>TA7102</v>
          </cell>
          <cell r="B497" t="str">
            <v>Rock your brain</v>
          </cell>
          <cell r="C497" t="str">
            <v>Hot</v>
          </cell>
          <cell r="D497" t="str">
            <v>Rock your brain</v>
          </cell>
          <cell r="E497" t="str">
            <v>Hot</v>
          </cell>
          <cell r="F497" t="str">
            <v>Organic Perfumed Black Tea</v>
          </cell>
          <cell r="G497" t="str">
            <v>Ingredients: black tea*, spices (ginger*, cinnamon*, cardamom*, cloves*, juniper berries*, fennel*, black pepper*), mandarin peels*, marigold petals*, roses petals*. *From organic farming.</v>
          </cell>
          <cell r="H497" t="str">
            <v>/</v>
          </cell>
          <cell r="I497" t="str">
            <v>As a certified member of the World Fair Trade Organization, Les Jardins de Gaïa is committed to fairer trade and meets the requirements of fair trade. For more information: www.wfto.com.</v>
          </cell>
          <cell r="J497" t="str">
            <v>Loose leaf tea</v>
          </cell>
          <cell r="K497" t="str">
            <v>/</v>
          </cell>
          <cell r="L497"/>
        </row>
        <row r="498">
          <cell r="A498" t="str">
            <v>TUTA7102</v>
          </cell>
          <cell r="B498" t="str">
            <v>Rock your brain</v>
          </cell>
          <cell r="C498" t="str">
            <v>Hot</v>
          </cell>
          <cell r="D498" t="str">
            <v>Rock your brain</v>
          </cell>
          <cell r="E498" t="str">
            <v>Hot</v>
          </cell>
          <cell r="F498" t="str">
            <v>Organic Perfumed Black Tea</v>
          </cell>
          <cell r="G498" t="str">
            <v>Ingredients: black tea*, spices (ginger*, cinnamon*, cardamom*, cloves*, juniper berries*, fennel*, black pepper*), mandarin peels*, marigold petals*, roses petals*. *From organic farming.</v>
          </cell>
          <cell r="H498" t="str">
            <v>/</v>
          </cell>
          <cell r="I498" t="str">
            <v>As a certified member of the World Fair Trade Organization, Les Jardins de Gaïa is committed to fairer trade and meets the requirements of fair trade. For more information: www.wfto.com.</v>
          </cell>
          <cell r="J498" t="str">
            <v>Loose leaf tea</v>
          </cell>
          <cell r="K498" t="str">
            <v>/</v>
          </cell>
          <cell r="L498"/>
        </row>
        <row r="499">
          <cell r="A499" t="str">
            <v>TN4062</v>
          </cell>
          <cell r="B499" t="str">
            <v>Roi du Yunnan d’Or</v>
          </cell>
          <cell r="C499" t="str">
            <v>Special grade</v>
          </cell>
          <cell r="D499" t="str">
            <v>King of the Golden Yunnan</v>
          </cell>
          <cell r="E499" t="str">
            <v>Special grade</v>
          </cell>
          <cell r="F499" t="str">
            <v>Organic Original Black Tea</v>
          </cell>
          <cell r="G499" t="str">
            <v xml:space="preserve">Ingredient: black tea*. *From organic farming. </v>
          </cell>
          <cell r="H499" t="str">
            <v>/</v>
          </cell>
          <cell r="I499" t="str">
            <v>As a certified member of the World Fair Trade Organization, Les Jardins de Gaïa is committed to fairer trade and meets the requirements of fair trade. For more information: www.wfto.com.</v>
          </cell>
          <cell r="J499" t="str">
            <v>Loose leaf tea</v>
          </cell>
          <cell r="K499" t="str">
            <v>/</v>
          </cell>
          <cell r="L499"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500">
          <cell r="A500" t="str">
            <v>TN4066</v>
          </cell>
          <cell r="B500" t="str">
            <v>Roi du Yunnan d’Or</v>
          </cell>
          <cell r="C500" t="str">
            <v>Special grade</v>
          </cell>
          <cell r="D500" t="str">
            <v>King of the Golden Yunnan</v>
          </cell>
          <cell r="E500" t="str">
            <v>Special grade</v>
          </cell>
          <cell r="F500" t="str">
            <v>Organic Original Black Tea</v>
          </cell>
          <cell r="G500" t="str">
            <v xml:space="preserve">Ingredient: black tea*. *From organic farming. </v>
          </cell>
          <cell r="H500" t="str">
            <v>/</v>
          </cell>
          <cell r="I500" t="str">
            <v>As a certified member of the World Fair Trade Organization, Les Jardins de Gaïa is committed to fairer trade and meets the requirements of fair trade. For more information: www.wfto.com.</v>
          </cell>
          <cell r="J500" t="str">
            <v>Loose leaf tea</v>
          </cell>
          <cell r="K500" t="str">
            <v>/</v>
          </cell>
          <cell r="L500"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501">
          <cell r="A501" t="str">
            <v>TA6962</v>
          </cell>
          <cell r="B501" t="str">
            <v>Romance indienne</v>
          </cell>
          <cell r="C501" t="str">
            <v>Saveurs mangue - pêche</v>
          </cell>
          <cell r="D501" t="str">
            <v xml:space="preserve">Indian Romance </v>
          </cell>
          <cell r="E501" t="str">
            <v>Mango - peach flavours</v>
          </cell>
          <cell r="F501" t="str">
            <v>Organic Flavoured Green Tea</v>
          </cell>
          <cell r="G501" t="str">
            <v>Ingredients: green tea*, natural (mango*, peach*) flavourings 10% , apple pieces*. *From organic farming.</v>
          </cell>
          <cell r="H501" t="str">
            <v>/</v>
          </cell>
          <cell r="I501" t="str">
            <v>As a certified member of the World Fair Trade Organization, Les Jardins de Gaïa is committed to fairer trade and meets the requirements of fair trade. For more information: www.wfto.com.</v>
          </cell>
          <cell r="J501" t="str">
            <v>Loose leaf tea</v>
          </cell>
          <cell r="K501" t="str">
            <v>/</v>
          </cell>
          <cell r="L501"/>
        </row>
        <row r="502">
          <cell r="A502" t="str">
            <v>TH1621</v>
          </cell>
          <cell r="B502" t="str">
            <v>Romarin</v>
          </cell>
          <cell r="C502" t="str">
            <v>Digestive &amp; Diurétique</v>
          </cell>
          <cell r="D502" t="str">
            <v>Rosemary</v>
          </cell>
          <cell r="E502" t="str">
            <v>Digestive &amp; Diuretic</v>
          </cell>
          <cell r="F502" t="str">
            <v>Organic Herbal Tea Infusion</v>
          </cell>
          <cell r="G502" t="str">
            <v>Ingredient: rosemary* (Rosmarinus officinalis). *From organic farming.</v>
          </cell>
          <cell r="H502"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502" t="str">
            <v>/</v>
          </cell>
          <cell r="J502" t="str">
            <v>Loose Infusion</v>
          </cell>
          <cell r="K502" t="str">
            <v>/</v>
          </cell>
          <cell r="L502" t="str">
            <v>/</v>
          </cell>
        </row>
        <row r="503">
          <cell r="A503" t="str">
            <v>TH1622</v>
          </cell>
          <cell r="B503" t="str">
            <v>Romarin</v>
          </cell>
          <cell r="C503" t="str">
            <v>Digestive &amp; Diurétique</v>
          </cell>
          <cell r="D503" t="str">
            <v>Rosemary</v>
          </cell>
          <cell r="E503" t="str">
            <v>Digestive &amp; Diuretic</v>
          </cell>
          <cell r="F503" t="str">
            <v>Organic Herbal Tea Infusion</v>
          </cell>
          <cell r="G503" t="str">
            <v>Ingredient: rosemary* (Rosmarinus officinalis). *From organic farming.</v>
          </cell>
          <cell r="H503"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503" t="str">
            <v>/</v>
          </cell>
          <cell r="J503" t="str">
            <v>Loose Infusion</v>
          </cell>
          <cell r="K503" t="str">
            <v>/</v>
          </cell>
          <cell r="L503" t="str">
            <v>/</v>
          </cell>
        </row>
        <row r="504">
          <cell r="A504" t="str">
            <v>TR2002</v>
          </cell>
          <cell r="B504" t="str">
            <v>Rooibos</v>
          </cell>
          <cell r="C504" t="str">
            <v>Nature</v>
          </cell>
          <cell r="D504" t="str">
            <v>Rooibos</v>
          </cell>
          <cell r="E504" t="str">
            <v>Original</v>
          </cell>
          <cell r="F504" t="str">
            <v>Organic Original Rooibos</v>
          </cell>
          <cell r="G504" t="str">
            <v xml:space="preserve">Ingredient: rooibos*. *From organic farming. </v>
          </cell>
          <cell r="H504" t="str">
            <v>/</v>
          </cell>
          <cell r="I504" t="str">
            <v>As a certified member of the World Fair Trade Organization, Les Jardins de Gaïa is committed to fairer trade and meets the requirements of fair trade. For more information: www.wfto.com.</v>
          </cell>
          <cell r="J504" t="str">
            <v>Loose rooibos</v>
          </cell>
          <cell r="K504" t="str">
            <v>/</v>
          </cell>
          <cell r="L504" t="str">
            <v>/</v>
          </cell>
        </row>
        <row r="505">
          <cell r="A505" t="str">
            <v>TR2602</v>
          </cell>
          <cell r="B505" t="str">
            <v>Rooibos</v>
          </cell>
          <cell r="C505" t="str">
            <v>Nature</v>
          </cell>
          <cell r="D505" t="str">
            <v>Rooibos</v>
          </cell>
          <cell r="E505" t="str">
            <v>Original</v>
          </cell>
          <cell r="F505" t="str">
            <v>Organic Original Rooibos</v>
          </cell>
          <cell r="G505" t="str">
            <v xml:space="preserve">Ingredient: rooibos**. **From organic and biodynamic farming. demeter is the brand for products from biodynamic agriculture. </v>
          </cell>
          <cell r="H505" t="str">
            <v>/</v>
          </cell>
          <cell r="I505" t="str">
            <v>As a certified member of the World Fair Trade Organization, Les Jardins de Gaïa is committed to fairer trade and meets the requirements of fair trade. For more information: www.wfto.com.</v>
          </cell>
          <cell r="J505" t="str">
            <v>Loose rooibos</v>
          </cell>
          <cell r="K505" t="str">
            <v>/</v>
          </cell>
          <cell r="L505" t="str">
            <v>/</v>
          </cell>
        </row>
        <row r="506">
          <cell r="A506" t="str">
            <v>TR2402</v>
          </cell>
          <cell r="B506" t="str">
            <v>Rooibos sauvage</v>
          </cell>
          <cell r="C506" t="str">
            <v>Nature</v>
          </cell>
          <cell r="D506" t="str">
            <v>Wild Rooibos</v>
          </cell>
          <cell r="E506" t="str">
            <v>Original</v>
          </cell>
          <cell r="F506" t="str">
            <v>Organic Original Rooibos</v>
          </cell>
          <cell r="G506" t="str">
            <v xml:space="preserve">Ingredient: rooibos*. *From organic farming. </v>
          </cell>
          <cell r="H506" t="str">
            <v>/</v>
          </cell>
          <cell r="I506" t="str">
            <v>As a certified member of the World Fair Trade Organization, Les Jardins de Gaïa is committed to fairer trade and meets the requirements of fair trade. For more information: www.wfto.com.</v>
          </cell>
          <cell r="J506" t="str">
            <v>Loose rooibos</v>
          </cell>
          <cell r="K506" t="str">
            <v>/</v>
          </cell>
          <cell r="L506" t="str">
            <v>/</v>
          </cell>
        </row>
        <row r="507">
          <cell r="A507" t="str">
            <v>TR2502</v>
          </cell>
          <cell r="B507" t="str">
            <v>Rooibos vert</v>
          </cell>
          <cell r="C507" t="str">
            <v>Nature</v>
          </cell>
          <cell r="D507" t="str">
            <v>Green Rooibos</v>
          </cell>
          <cell r="E507" t="str">
            <v>Original</v>
          </cell>
          <cell r="F507" t="str">
            <v>Organic Original Rooibos</v>
          </cell>
          <cell r="G507" t="str">
            <v xml:space="preserve">Ingredient: green rooibos*. *From organic farming. </v>
          </cell>
          <cell r="H507" t="str">
            <v>/</v>
          </cell>
          <cell r="I507" t="str">
            <v>As a certified member of the World Fair Trade Organization, Les Jardins de Gaïa is committed to fairer trade and meets the requirements of fair trade. For more information: www.wfto.com.</v>
          </cell>
          <cell r="J507" t="str">
            <v>Loose rooibos</v>
          </cell>
          <cell r="K507" t="str">
            <v>/</v>
          </cell>
          <cell r="L507" t="str">
            <v>/</v>
          </cell>
        </row>
        <row r="508">
          <cell r="A508" t="str">
            <v>TUTJ0726</v>
          </cell>
          <cell r="B508" t="str">
            <v>Rosé cha</v>
          </cell>
          <cell r="C508" t="str">
            <v>Nadeshiko 撫子</v>
          </cell>
          <cell r="D508" t="str">
            <v>Rose cha</v>
          </cell>
          <cell r="E508" t="str">
            <v>Nadeshiko 撫子</v>
          </cell>
          <cell r="F508" t="str">
            <v>Organic Original Dark Tea</v>
          </cell>
          <cell r="G508" t="str">
            <v>Ingredient: dark tea*. *From organic farming.</v>
          </cell>
          <cell r="H508" t="str">
            <v>/</v>
          </cell>
          <cell r="I508" t="str">
            <v>/</v>
          </cell>
          <cell r="J508" t="str">
            <v>Loose leaf tea</v>
          </cell>
          <cell r="K508" t="str">
            <v>Several infusions</v>
          </cell>
          <cell r="L508"/>
        </row>
        <row r="509">
          <cell r="A509" t="str">
            <v>TN4652</v>
          </cell>
          <cell r="B509" t="str">
            <v>Rose Congou</v>
          </cell>
          <cell r="C509" t="str">
            <v>Mei Gui Hong Cha</v>
          </cell>
          <cell r="D509" t="str">
            <v>Rose Congou</v>
          </cell>
          <cell r="E509" t="str">
            <v>Mei Gui Hong Cha</v>
          </cell>
          <cell r="F509" t="str">
            <v>Organic Original Scented Black Tea</v>
          </cell>
          <cell r="G509" t="str">
            <v>Ingredient: rose black tea*. *From organic farming.</v>
          </cell>
          <cell r="H509" t="str">
            <v>/</v>
          </cell>
          <cell r="I509" t="str">
            <v>As a certified member of the World Fair Trade Organization, Les Jardins de Gaïa is committed to fairer trade and meets the requirements of fair trade. For more information: www.wfto.com.</v>
          </cell>
          <cell r="J509" t="str">
            <v>Loose leaf tea</v>
          </cell>
          <cell r="K509" t="str">
            <v>/</v>
          </cell>
          <cell r="L509"/>
        </row>
        <row r="510">
          <cell r="A510" t="str">
            <v>TM7802</v>
          </cell>
          <cell r="B510" t="str">
            <v>Route de la Soie</v>
          </cell>
          <cell r="C510" t="str">
            <v>/</v>
          </cell>
          <cell r="D510" t="str">
            <v>Silk Road</v>
          </cell>
          <cell r="E510" t="str">
            <v>/</v>
          </cell>
          <cell r="F510" t="str">
            <v>Organic Black Tea</v>
          </cell>
          <cell r="G510" t="str">
            <v>Ingredient: black tea*. *From organic farming.</v>
          </cell>
          <cell r="H510" t="str">
            <v>/</v>
          </cell>
          <cell r="I510" t="str">
            <v>As a certified member of the World Fair Trade Organization, Les Jardins de Gaïa is committed to fairer trade and meets the requirements of fair trade. For more information: www.wfto.com.</v>
          </cell>
          <cell r="J510" t="str">
            <v>Loose leaf tea</v>
          </cell>
          <cell r="K510" t="str">
            <v>/</v>
          </cell>
          <cell r="L510"/>
        </row>
        <row r="511">
          <cell r="A511" t="str">
            <v>TO2012</v>
          </cell>
          <cell r="B511" t="str">
            <v>Ruby Ruanzhi</v>
          </cell>
          <cell r="C511" t="str">
            <v>/</v>
          </cell>
          <cell r="D511" t="str">
            <v>Ruby Ruanzhi</v>
          </cell>
          <cell r="E511" t="str">
            <v>/</v>
          </cell>
          <cell r="F511" t="str">
            <v>Organic Original Wu Long Tea</v>
          </cell>
          <cell r="G511" t="str">
            <v>Ingredient: wu long tea*. *From organic farming.</v>
          </cell>
          <cell r="H511" t="str">
            <v>/</v>
          </cell>
          <cell r="I511" t="str">
            <v>/</v>
          </cell>
          <cell r="J511" t="str">
            <v>Loose leaf tea</v>
          </cell>
          <cell r="K511" t="str">
            <v>Several infusions</v>
          </cell>
          <cell r="L511"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512">
          <cell r="A512" t="str">
            <v>TO2002</v>
          </cell>
          <cell r="B512" t="str">
            <v>Ruby Wu Long</v>
          </cell>
          <cell r="C512" t="str">
            <v>/</v>
          </cell>
          <cell r="D512" t="str">
            <v>Ruby Wu Long</v>
          </cell>
          <cell r="E512" t="str">
            <v>/</v>
          </cell>
          <cell r="F512" t="str">
            <v>Organic Original Wu Long Tea</v>
          </cell>
          <cell r="G512" t="str">
            <v>Ingredient: wu long tea*. *From organic farming.</v>
          </cell>
          <cell r="H512" t="str">
            <v>/</v>
          </cell>
          <cell r="I512" t="str">
            <v>/</v>
          </cell>
          <cell r="J512" t="str">
            <v>Loose leaf tea</v>
          </cell>
          <cell r="K512" t="str">
            <v>Several infusions</v>
          </cell>
          <cell r="L512"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513">
          <cell r="A513" t="str">
            <v>TN2405</v>
          </cell>
          <cell r="B513" t="str">
            <v>Runbang Wild Tea</v>
          </cell>
          <cell r="C513" t="str">
            <v>FTGFOP1 FF 
EX. 01.04.2022</v>
          </cell>
          <cell r="D513" t="str">
            <v>Runbang Wild Tea</v>
          </cell>
          <cell r="E513" t="str">
            <v>FTGFOP1 FF 
EX. 01.04.2022</v>
          </cell>
          <cell r="F513" t="str">
            <v>Single Estate First Flush Organic Black Tea</v>
          </cell>
          <cell r="G513" t="str">
            <v xml:space="preserve">Ingredient: black tea*. *From organic farming. </v>
          </cell>
          <cell r="H513" t="str">
            <v>/</v>
          </cell>
          <cell r="I513" t="str">
            <v>/</v>
          </cell>
          <cell r="J513" t="str">
            <v>Loose leaf tea</v>
          </cell>
          <cell r="K513" t="str">
            <v>/</v>
          </cell>
          <cell r="L513" t="str">
            <v>/</v>
          </cell>
        </row>
        <row r="514">
          <cell r="A514" t="str">
            <v>TN2406</v>
          </cell>
          <cell r="B514" t="str">
            <v>Runbang Wild Tea</v>
          </cell>
          <cell r="C514" t="str">
            <v>FTGFOP1 FF 
EX. 01.04.2022</v>
          </cell>
          <cell r="D514" t="str">
            <v>Runbang Wild Tea</v>
          </cell>
          <cell r="E514" t="str">
            <v>FTGFOP1 FF 
EX. 01.04.2022</v>
          </cell>
          <cell r="F514" t="str">
            <v>Single Estate First Flush Organic Black Tea</v>
          </cell>
          <cell r="G514" t="str">
            <v xml:space="preserve">Ingredient: black tea*. *From organic farming. </v>
          </cell>
          <cell r="H514" t="str">
            <v>/</v>
          </cell>
          <cell r="I514" t="str">
            <v>/</v>
          </cell>
          <cell r="J514" t="str">
            <v>Loose leaf tea</v>
          </cell>
          <cell r="K514" t="str">
            <v>/</v>
          </cell>
          <cell r="L514" t="str">
            <v>/</v>
          </cell>
        </row>
        <row r="515">
          <cell r="A515" t="str">
            <v>TN2406R</v>
          </cell>
          <cell r="B515" t="str">
            <v>Runbang Wild Tea</v>
          </cell>
          <cell r="C515" t="str">
            <v>FTGFOP1 FF 
EX. 01.04.2022</v>
          </cell>
          <cell r="D515" t="str">
            <v>Runbang Wild Tea</v>
          </cell>
          <cell r="E515" t="str">
            <v>FTGFOP1 FF 
EX. 01.04.2022</v>
          </cell>
          <cell r="F515" t="str">
            <v>Single Estate First Flush Organic Black Tea</v>
          </cell>
          <cell r="G515" t="str">
            <v xml:space="preserve">Ingredient: black tea*. *From organic farming. </v>
          </cell>
          <cell r="H515" t="str">
            <v>/</v>
          </cell>
          <cell r="I515" t="str">
            <v>/</v>
          </cell>
          <cell r="J515" t="str">
            <v>Loose leaf tea</v>
          </cell>
          <cell r="K515" t="str">
            <v>/</v>
          </cell>
          <cell r="L515" t="str">
            <v>/</v>
          </cell>
        </row>
        <row r="516">
          <cell r="A516" t="str">
            <v>TN2396</v>
          </cell>
          <cell r="B516" t="str">
            <v>Rungbang</v>
          </cell>
          <cell r="C516" t="str">
            <v>FTGFOP1 FF 
Top Quality - Ex. 05.04.2023
cultivar Rungbang China</v>
          </cell>
          <cell r="D516" t="str">
            <v>Rungbang</v>
          </cell>
          <cell r="E516" t="str">
            <v>FTGFOP1 FF 
Top Quality - Ex. 05.04.2023
cultivar Rungbang China</v>
          </cell>
          <cell r="F516" t="str">
            <v>Single Estate First Flush Organic Black Tea</v>
          </cell>
          <cell r="G516" t="str">
            <v>Ingredient: black tea*. *From organic farming.</v>
          </cell>
          <cell r="H516" t="str">
            <v>/</v>
          </cell>
          <cell r="I516"/>
          <cell r="J516" t="str">
            <v>Loose leaf tea</v>
          </cell>
          <cell r="K516" t="str">
            <v>/</v>
          </cell>
          <cell r="L516"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517">
          <cell r="A517" t="str">
            <v>TA6762</v>
          </cell>
          <cell r="B517" t="str">
            <v>Sacré Ananas !
Remplace Sur les bords du Gange
juin 2023 - PMI modifié</v>
          </cell>
          <cell r="C517" t="str">
            <v>Ananas - Tulsi</v>
          </cell>
          <cell r="D517" t="str">
            <v>Holy pineapple!</v>
          </cell>
          <cell r="E517" t="str">
            <v>Pineapple - Holy basil</v>
          </cell>
          <cell r="F517" t="str">
            <v>Organic Flavoured Green Tea</v>
          </cell>
          <cell r="G517" t="str">
            <v>Ingredients: green tea*, tulsi* 6.5%, natural pineapple flavouring* 4.3%, pineapple pieces* 2.6%, flower petals (rose*, cornflower*), pink berries*, black pepper*. *From organic farming.</v>
          </cell>
          <cell r="H517" t="str">
            <v>/</v>
          </cell>
          <cell r="I517" t="str">
            <v>As a certified member of the World Fair Trade Organization, Les Jardins de Gaïa is committed to fairer trade and meets the requirements of fair trade. For more information: www.wfto.com.</v>
          </cell>
          <cell r="J517" t="str">
            <v>Loose leaf tea</v>
          </cell>
          <cell r="K517" t="str">
            <v>/</v>
          </cell>
          <cell r="L517"/>
        </row>
        <row r="518">
          <cell r="A518" t="str">
            <v>TUTJ0746</v>
          </cell>
          <cell r="B518" t="str">
            <v>Sakura</v>
          </cell>
          <cell r="C518" t="str">
            <v>Wild cherry 桜葉茶</v>
          </cell>
          <cell r="D518" t="str">
            <v>Sakura</v>
          </cell>
          <cell r="E518" t="str">
            <v>Wild cherry 桜葉茶</v>
          </cell>
          <cell r="F518" t="str">
            <v>Organic Herbal Tea</v>
          </cell>
          <cell r="G518" t="str">
            <v>Ingredient: cherry tree leaves (Prunus Cerasus). Guaranteed free of pesticide residues.</v>
          </cell>
          <cell r="H518" t="str">
            <v>/</v>
          </cell>
          <cell r="I518" t="str">
            <v>/</v>
          </cell>
          <cell r="J518" t="str">
            <v>Loose infusion</v>
          </cell>
          <cell r="K518" t="str">
            <v>Several infusions</v>
          </cell>
          <cell r="L518"/>
        </row>
        <row r="519">
          <cell r="A519" t="str">
            <v>TN2052</v>
          </cell>
          <cell r="B519" t="str">
            <v>Samabeong</v>
          </cell>
          <cell r="C519" t="str">
            <v>FTGFOP1 FF 
Top Quality - Ex. 08.04.2023
cultivar Samabeong China</v>
          </cell>
          <cell r="D519" t="str">
            <v>Samabeong</v>
          </cell>
          <cell r="E519" t="str">
            <v>FTGFOP1 FF 
Top Quality - Ex. 08.04.2023
cultivar Samabeong China</v>
          </cell>
          <cell r="F519" t="str">
            <v>Single Estate First Flush Organic Black Tea</v>
          </cell>
          <cell r="G519" t="str">
            <v xml:space="preserve">Ingredient: black tea*. *From organic farming. </v>
          </cell>
          <cell r="H519" t="str">
            <v>/</v>
          </cell>
          <cell r="I519" t="str">
            <v>As a certified member of the World Fair Trade Organization, Les Jardins de Gaïa is committed to fairer trade and meets the requirements of fair trade. For more information: www.wfto.com.</v>
          </cell>
          <cell r="J519" t="str">
            <v>Loose leaf tea</v>
          </cell>
          <cell r="K519" t="str">
            <v>/</v>
          </cell>
          <cell r="L519"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520">
          <cell r="A520" t="str">
            <v>TH2105</v>
          </cell>
          <cell r="B520" t="str">
            <v>Sauge</v>
          </cell>
          <cell r="C520" t="str">
            <v>Digestive &amp; Confort féminin</v>
          </cell>
          <cell r="D520" t="str">
            <v>Sage</v>
          </cell>
          <cell r="E520" t="str">
            <v>Digestive &amp; Periodic Comfort</v>
          </cell>
          <cell r="F520" t="str">
            <v>Organic Herbal Tea Infusion</v>
          </cell>
          <cell r="G520" t="str">
            <v>Ingredient: sage* (Salvia officinalis). *From organic farming.</v>
          </cell>
          <cell r="H520"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520" t="str">
            <v>/</v>
          </cell>
          <cell r="J520" t="str">
            <v>Loose Infusion</v>
          </cell>
          <cell r="K520" t="str">
            <v>/</v>
          </cell>
          <cell r="L520" t="str">
            <v>/</v>
          </cell>
        </row>
        <row r="521">
          <cell r="A521" t="str">
            <v>TH210</v>
          </cell>
          <cell r="B521" t="str">
            <v>Sauge</v>
          </cell>
          <cell r="C521" t="str">
            <v>Digestive &amp; Confort féminin</v>
          </cell>
          <cell r="D521" t="str">
            <v>Sage</v>
          </cell>
          <cell r="E521" t="str">
            <v>Digestive &amp; Periodic Comfort</v>
          </cell>
          <cell r="F521" t="str">
            <v>Organic Herbal Tea Infusion</v>
          </cell>
          <cell r="G521" t="str">
            <v>Ingredient: sage* (Salvia officinalis). *From organic farming.</v>
          </cell>
          <cell r="H521"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521" t="str">
            <v>/</v>
          </cell>
          <cell r="J521" t="str">
            <v>Loose Infusion</v>
          </cell>
          <cell r="K521" t="str">
            <v>/</v>
          </cell>
          <cell r="L521" t="str">
            <v>/</v>
          </cell>
        </row>
        <row r="522">
          <cell r="A522" t="str">
            <v>TM0016</v>
          </cell>
          <cell r="B522" t="str">
            <v>Secret de jouvence</v>
          </cell>
          <cell r="C522" t="str">
            <v>Régénérant</v>
          </cell>
          <cell r="D522" t="str">
            <v>Secret of Youth</v>
          </cell>
          <cell r="E522" t="str">
            <v>Regenerating</v>
          </cell>
          <cell r="F522" t="str">
            <v>Organic Herbal Tea Infusion</v>
          </cell>
          <cell r="G522" t="str">
            <v>Ingredients: South-Korean green tea* 18%, green rooibos* 18%, green honeybush* 18%, (carrot* 14%, ginger* 7%) pieces, leaves (moringa* 11%, cinnamon* 11%), thyme* 2%, cornflower petals* 1%. *From organic  farming.</v>
          </cell>
          <cell r="H522"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522" t="str">
            <v>/</v>
          </cell>
          <cell r="J522" t="str">
            <v>Loose Infusion</v>
          </cell>
          <cell r="K522" t="str">
            <v>/</v>
          </cell>
          <cell r="L522"/>
        </row>
        <row r="523">
          <cell r="A523" t="str">
            <v>TN2336</v>
          </cell>
          <cell r="B523" t="str">
            <v>Seeyok Heritage</v>
          </cell>
          <cell r="C523" t="str">
            <v>FTGFOP1 FF Top Quality
EX. 31.03.2022</v>
          </cell>
          <cell r="D523" t="str">
            <v>Seeyok Heritage</v>
          </cell>
          <cell r="E523" t="str">
            <v>FTGFOP1 FF Top Quality
EX. 31.03.2022</v>
          </cell>
          <cell r="F523" t="str">
            <v>Single Estate First Flush Organic Black Tea</v>
          </cell>
          <cell r="G523" t="str">
            <v xml:space="preserve">Ingredient: black tea*. *From organic farming. </v>
          </cell>
          <cell r="H523" t="str">
            <v>/</v>
          </cell>
          <cell r="I523" t="str">
            <v>As a certified member of the World Fair Trade Organization, Les Jardins de Gaïa is committed to fairer trade and meets the requirements of fair trade. For more information: www.wfto.com.</v>
          </cell>
          <cell r="J523" t="str">
            <v>Loose leaf tea</v>
          </cell>
          <cell r="K523" t="str">
            <v>/</v>
          </cell>
          <cell r="L523"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524">
          <cell r="A524" t="str">
            <v>TN5226</v>
          </cell>
          <cell r="B524" t="str">
            <v>Seeyok Royal Reserve</v>
          </cell>
          <cell r="C524" t="str">
            <v>SFTGFOP1 SF</v>
          </cell>
          <cell r="D524" t="str">
            <v>Seeyok Royal Reserve</v>
          </cell>
          <cell r="E524" t="str">
            <v>SFTGFOP1 SF</v>
          </cell>
          <cell r="F524" t="str">
            <v>Single Estate Organic Black Tea</v>
          </cell>
          <cell r="G524" t="str">
            <v xml:space="preserve">Ingredient: black tea*. *From organic farming. </v>
          </cell>
          <cell r="H524" t="str">
            <v>/</v>
          </cell>
          <cell r="I524" t="str">
            <v>As a certified member of the World Fair Trade Organization, Les Jardins de Gaïa is committed to fairer trade and meets the requirements of fair trade. For more information: www.wfto.com.</v>
          </cell>
          <cell r="J524" t="str">
            <v>Loose leaf tea</v>
          </cell>
          <cell r="K524" t="str">
            <v>/</v>
          </cell>
          <cell r="L524"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525">
          <cell r="A525" t="str">
            <v>TN3302</v>
          </cell>
          <cell r="B525" t="str">
            <v>Seeyok Summer Blossom</v>
          </cell>
          <cell r="C525" t="str">
            <v>FTGFOP1 SF</v>
          </cell>
          <cell r="D525" t="str">
            <v>Seeyok Summer Blossom</v>
          </cell>
          <cell r="E525" t="str">
            <v>FTGFOP1 SF</v>
          </cell>
          <cell r="F525" t="str">
            <v>Single Estate Organic Black Tea</v>
          </cell>
          <cell r="G525" t="str">
            <v xml:space="preserve">Ingredient: black tea*. *From organic farming. </v>
          </cell>
          <cell r="H525" t="str">
            <v>/</v>
          </cell>
          <cell r="I525" t="str">
            <v>As a certified member of the World Fair Trade Organization, Les Jardins de Gaïa is committed to fairer trade and meets the requirements of fair trade. For more information: www.wfto.com.</v>
          </cell>
          <cell r="J525" t="str">
            <v>Loose leaf tea</v>
          </cell>
          <cell r="K525" t="str">
            <v>/</v>
          </cell>
          <cell r="L525"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526">
          <cell r="A526" t="str">
            <v>TN3112</v>
          </cell>
          <cell r="B526" t="str">
            <v>Selimbong Autumnal</v>
          </cell>
          <cell r="C526" t="str">
            <v>FTGFOP1 TF</v>
          </cell>
          <cell r="D526" t="str">
            <v>Selimbong Autumnal</v>
          </cell>
          <cell r="E526" t="str">
            <v>FTGFOP1 TF</v>
          </cell>
          <cell r="F526" t="str">
            <v>Organic Original Black Tea</v>
          </cell>
          <cell r="G526" t="str">
            <v xml:space="preserve">Ingredient: black tea**. **From organic and biodynamic farming. demeter is the brand for products from biodynamic agriculture. </v>
          </cell>
          <cell r="H526" t="str">
            <v>/</v>
          </cell>
          <cell r="I526" t="str">
            <v>As a certified member of the World Fair Trade Organization, Les Jardins de Gaïa is committed to fairer trade and meets the requirements of fair trade. For more information: www.wfto.com.</v>
          </cell>
          <cell r="J526" t="str">
            <v>Loose leaf tea</v>
          </cell>
          <cell r="K526" t="str">
            <v>/</v>
          </cell>
          <cell r="L526"/>
        </row>
        <row r="527">
          <cell r="A527" t="str">
            <v>TB3706</v>
          </cell>
          <cell r="B527" t="str">
            <v>Selimbong Bai Mu Dan</v>
          </cell>
          <cell r="C527" t="str">
            <v>Pivoine blanche</v>
          </cell>
          <cell r="D527" t="str">
            <v>Selimbong Bai Mu Dan</v>
          </cell>
          <cell r="E527" t="str">
            <v>White peony</v>
          </cell>
          <cell r="F527" t="str">
            <v>Organic Original White Tea</v>
          </cell>
          <cell r="G527" t="str">
            <v>Ingredient: white tea**. **From organic and biodynamic farming. demeter is the brand for products from biodynamic agriculture.</v>
          </cell>
          <cell r="H527" t="str">
            <v>/</v>
          </cell>
          <cell r="I527" t="str">
            <v>As a certified member of the World Fair Trade Organization, Les Jardins de Gaïa is committed to fairer trade and meets the requirements of fair trade. For more information: www.wfto.com.</v>
          </cell>
          <cell r="J527" t="str">
            <v>Loose leaf tea</v>
          </cell>
          <cell r="K527" t="str">
            <v>/</v>
          </cell>
          <cell r="L527"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528">
          <cell r="A528" t="str">
            <v>TO3502</v>
          </cell>
          <cell r="B528" t="str">
            <v>Selimbong été</v>
          </cell>
          <cell r="C528" t="str">
            <v xml:space="preserve">Second Flush </v>
          </cell>
          <cell r="D528" t="str">
            <v xml:space="preserve">Selimbong Summer </v>
          </cell>
          <cell r="E528" t="str">
            <v>/</v>
          </cell>
          <cell r="F528" t="str">
            <v>Organic Original Wu Long Tea</v>
          </cell>
          <cell r="G528" t="str">
            <v xml:space="preserve">Ingredient: wu long tea**. **From organic and biodynamic farming. demeter is the brand for products from biodynamic agriculture. </v>
          </cell>
          <cell r="H528" t="str">
            <v>/</v>
          </cell>
          <cell r="I528" t="str">
            <v>As a certified member of the World Fair Trade Organization, Les Jardins de Gaïa is committed to fairer trade and meets the requirements of fair trade. For more information: www.wfto.com.</v>
          </cell>
          <cell r="J528" t="str">
            <v>Loose leaf tea</v>
          </cell>
          <cell r="K528" t="str">
            <v>/</v>
          </cell>
          <cell r="L528"/>
        </row>
        <row r="529">
          <cell r="A529" t="str">
            <v>TN3212</v>
          </cell>
          <cell r="B529" t="str">
            <v>Selimbong Good Quality</v>
          </cell>
          <cell r="C529" t="str">
            <v>FTGFOP1 SF
Hauts plateaux de l'Himalaya</v>
          </cell>
          <cell r="D529" t="str">
            <v>Selimbong Good Quality</v>
          </cell>
          <cell r="E529" t="str">
            <v>FTGFOP1 SF
High plateau of the Himalayas</v>
          </cell>
          <cell r="F529" t="str">
            <v>Organic Original Black Tea</v>
          </cell>
          <cell r="G529" t="str">
            <v xml:space="preserve">Ingredient: black tea**. **From organic and biodynamic farming. demeter is the brand for products from biodynamic agriculture. </v>
          </cell>
          <cell r="H529" t="str">
            <v>/</v>
          </cell>
          <cell r="I529" t="str">
            <v>As a certified member of the World Fair Trade Organization, Les Jardins de Gaïa is committed to fairer trade and meets the requirements of fair trade. For more information: www.wfto.com.</v>
          </cell>
          <cell r="J529" t="str">
            <v>Loose leaf tea</v>
          </cell>
          <cell r="K529" t="str">
            <v>/</v>
          </cell>
          <cell r="L529"/>
        </row>
        <row r="530">
          <cell r="A530" t="str">
            <v>TV3302</v>
          </cell>
          <cell r="B530" t="str">
            <v>Selimbong Green</v>
          </cell>
          <cell r="C530" t="str">
            <v xml:space="preserve">Second Flush </v>
          </cell>
          <cell r="D530" t="str">
            <v>Selimbong Green</v>
          </cell>
          <cell r="E530" t="str">
            <v xml:space="preserve">Second Flush </v>
          </cell>
          <cell r="F530" t="str">
            <v>Organic Original Green Tea</v>
          </cell>
          <cell r="G530" t="str">
            <v>Ingredient: green tea**. **From organic and biodynamic farming. demeter is the brand for products from biodynamic agriculture.</v>
          </cell>
          <cell r="H530" t="str">
            <v>/</v>
          </cell>
          <cell r="I530" t="str">
            <v>As a certified member of the World Fair Trade Organization, Les Jardins de Gaïa is committed to fairer trade and meets the requirements of fair trade. For more information: www.wfto.com.</v>
          </cell>
          <cell r="J530" t="str">
            <v>Loose leaf tea</v>
          </cell>
          <cell r="K530" t="str">
            <v>/</v>
          </cell>
          <cell r="L530"/>
        </row>
        <row r="531">
          <cell r="A531" t="str">
            <v>TO3525</v>
          </cell>
          <cell r="B531" t="str">
            <v>Selimbong Silver Pearls</v>
          </cell>
          <cell r="C531" t="str">
            <v>Second Flush</v>
          </cell>
          <cell r="D531" t="str">
            <v>Selimbong Silver Pearls</v>
          </cell>
          <cell r="E531" t="str">
            <v>Second Flush</v>
          </cell>
          <cell r="F531" t="str">
            <v>Organic Original Wu Long Tea</v>
          </cell>
          <cell r="G531" t="str">
            <v>Ingredient: wu long**. **From organic and biodynamic farming. demeter is the brand for products from biodynamic agriculture.</v>
          </cell>
          <cell r="H531" t="str">
            <v>/</v>
          </cell>
          <cell r="I531" t="str">
            <v>As a certified member of the World Fair Trade Organization, Les Jardins de Gaïa is committed to fairer trade and meets the requirements of fair trade. For more information: www.wfto.com.</v>
          </cell>
          <cell r="J531" t="str">
            <v>Loose leaf tea</v>
          </cell>
          <cell r="K531" t="str">
            <v>Several infusions</v>
          </cell>
          <cell r="L531"/>
        </row>
        <row r="532">
          <cell r="A532" t="str">
            <v>TO3522</v>
          </cell>
          <cell r="B532" t="str">
            <v>Selimbong Silver Pearls</v>
          </cell>
          <cell r="C532" t="str">
            <v>Second Flush</v>
          </cell>
          <cell r="D532" t="str">
            <v>Selimbong Silver Pearls</v>
          </cell>
          <cell r="E532" t="str">
            <v>Second Flush</v>
          </cell>
          <cell r="F532" t="str">
            <v>Organic Original Wu Long Tea</v>
          </cell>
          <cell r="G532" t="str">
            <v>Ingredient: wu long**. **From organic and biodynamic farming. demeter is the brand for products from biodynamic agriculture.</v>
          </cell>
          <cell r="H532" t="str">
            <v>/</v>
          </cell>
          <cell r="I532" t="str">
            <v>As a certified member of the World Fair Trade Organization, Les Jardins de Gaïa is committed to fairer trade and meets the requirements of fair trade. For more information: www.wfto.com.</v>
          </cell>
          <cell r="J532" t="str">
            <v>Loose leaf tea</v>
          </cell>
          <cell r="K532" t="str">
            <v>Several infusions</v>
          </cell>
          <cell r="L532"/>
        </row>
        <row r="533">
          <cell r="A533" t="str">
            <v>TO3522R</v>
          </cell>
          <cell r="B533" t="str">
            <v>Selimbong Silver Pearls</v>
          </cell>
          <cell r="C533" t="str">
            <v>Second Flush</v>
          </cell>
          <cell r="D533" t="str">
            <v>Selimbong Silver Pearls</v>
          </cell>
          <cell r="E533" t="str">
            <v>Second Flush</v>
          </cell>
          <cell r="F533" t="str">
            <v>Organic Original Wu Long Tea</v>
          </cell>
          <cell r="G533" t="str">
            <v>Ingredient: wu long**. **From organic and biodynamic farming. demeter is the brand for products from biodynamic agriculture.</v>
          </cell>
          <cell r="H533" t="str">
            <v>/</v>
          </cell>
          <cell r="I533" t="str">
            <v>As a certified member of the World Fair Trade Organization, Les Jardins de Gaïa is committed to fairer trade and meets the requirements of fair trade. For more information: www.wfto.com.</v>
          </cell>
          <cell r="J533" t="str">
            <v>Loose leaf tea</v>
          </cell>
          <cell r="K533" t="str">
            <v>Several infusions</v>
          </cell>
          <cell r="L533"/>
        </row>
        <row r="534">
          <cell r="A534" t="str">
            <v>TR2452</v>
          </cell>
          <cell r="B534" t="str">
            <v>Semeuses d'avenir</v>
          </cell>
          <cell r="C534" t="str">
            <v>Ananas - Mandarine</v>
          </cell>
          <cell r="D534" t="str">
            <v>Sowing the future</v>
          </cell>
          <cell r="E534" t="str">
            <v>Pineapple - Mandarin</v>
          </cell>
          <cell r="F534" t="str">
            <v>Organic Flavoured Rooibos</v>
          </cell>
          <cell r="G534" t="str">
            <v>Ingredients: rooibos*, fruit (mandarin peels*, pineapple pieces*) 9%, natural pineapple flavouring* 4%, elderberries*, liquorice*, mandarin essential oil*. *From organic farming. Contains liquorice, people suffering from hypertension should avoid excessive consumption.</v>
          </cell>
          <cell r="H534" t="str">
            <v>/</v>
          </cell>
          <cell r="I534" t="str">
            <v>As a certified member of the World Fair Trade Organization, Les Jardins de Gaïa is committed to fairer trade and meets the requirements of fair trade. For more information: www.wfto.com.</v>
          </cell>
          <cell r="J534" t="str">
            <v>Loose rooibos</v>
          </cell>
          <cell r="K534" t="str">
            <v>/</v>
          </cell>
          <cell r="L534" t="str">
            <v>/</v>
          </cell>
        </row>
        <row r="535">
          <cell r="A535" t="str">
            <v>TJ1034</v>
          </cell>
          <cell r="B535" t="str">
            <v>Sencha</v>
          </cell>
          <cell r="C535" t="str">
            <v>Thé vert</v>
          </cell>
          <cell r="D535" t="str">
            <v>Sencha</v>
          </cell>
          <cell r="E535" t="str">
            <v>Green tea</v>
          </cell>
          <cell r="F535" t="str">
            <v>Organic Original Green Tea</v>
          </cell>
          <cell r="G535" t="str">
            <v>Ingredient: green tea*. *From organic farming.</v>
          </cell>
          <cell r="H535" t="str">
            <v>/</v>
          </cell>
          <cell r="I535" t="str">
            <v>/</v>
          </cell>
          <cell r="J535" t="str">
            <v>Loose leaf tea</v>
          </cell>
          <cell r="K535" t="str">
            <v>Several infusions</v>
          </cell>
          <cell r="L535"/>
        </row>
        <row r="536">
          <cell r="A536" t="str">
            <v>TUTJ0716</v>
          </cell>
          <cell r="B536" t="str">
            <v>Sencha</v>
          </cell>
          <cell r="C536" t="str">
            <v>Le songe de Bashō 煎茶</v>
          </cell>
          <cell r="D536" t="str">
            <v>Sencha</v>
          </cell>
          <cell r="E536" t="str">
            <v>Bashō’s daydream 煎茶</v>
          </cell>
          <cell r="F536" t="str">
            <v>Organic Green Tea</v>
          </cell>
          <cell r="G536" t="str">
            <v>Ingredient: green tea*. *From organic farming.</v>
          </cell>
          <cell r="H536" t="str">
            <v>/</v>
          </cell>
          <cell r="I536" t="str">
            <v>/</v>
          </cell>
          <cell r="J536" t="str">
            <v>Loose leaf tea</v>
          </cell>
          <cell r="K536" t="str">
            <v>Several infusions</v>
          </cell>
          <cell r="L536"/>
        </row>
        <row r="537">
          <cell r="A537" t="str">
            <v>TV4212</v>
          </cell>
          <cell r="B537" t="str">
            <v>Sencha Chine</v>
          </cell>
          <cell r="C537" t="str">
            <v>/</v>
          </cell>
          <cell r="D537" t="str">
            <v>Chinese Sencha</v>
          </cell>
          <cell r="E537" t="str">
            <v>/</v>
          </cell>
          <cell r="F537" t="str">
            <v>Organic Original Green Tea</v>
          </cell>
          <cell r="G537" t="str">
            <v>Ingredient: green tea*. *From organic farming.</v>
          </cell>
          <cell r="H537" t="str">
            <v>/</v>
          </cell>
          <cell r="I537" t="str">
            <v>As a certified member of the World Fair Trade Organization, Les Jardins de Gaïa is committed to fairer trade and meets the requirements of fair trade. For more information: www.wfto.com.</v>
          </cell>
          <cell r="J537" t="str">
            <v>Loose leaf tea</v>
          </cell>
          <cell r="K537" t="str">
            <v>/</v>
          </cell>
          <cell r="L537"/>
        </row>
        <row r="538">
          <cell r="A538" t="str">
            <v>TJ2142</v>
          </cell>
          <cell r="B538" t="str">
            <v>Sencha Fukamushi</v>
          </cell>
          <cell r="C538" t="str">
            <v>/</v>
          </cell>
          <cell r="D538" t="str">
            <v>Sencha Fukamushi</v>
          </cell>
          <cell r="E538" t="str">
            <v>/</v>
          </cell>
          <cell r="F538" t="str">
            <v>Organic Original Green Tea</v>
          </cell>
          <cell r="G538" t="str">
            <v>Ingredient: green tea*. *From organic farming.</v>
          </cell>
          <cell r="H538" t="str">
            <v>/</v>
          </cell>
          <cell r="I538" t="str">
            <v>/</v>
          </cell>
          <cell r="J538" t="str">
            <v>Loose leaf tea</v>
          </cell>
          <cell r="K538" t="str">
            <v>Several infusions</v>
          </cell>
          <cell r="L538"/>
        </row>
        <row r="539">
          <cell r="A539" t="str">
            <v>TV6582</v>
          </cell>
          <cell r="B539" t="str">
            <v>Sencha Premium</v>
          </cell>
          <cell r="C539" t="str">
            <v>Eau cristalline 煎茶</v>
          </cell>
          <cell r="D539" t="str">
            <v>Sencha Premium</v>
          </cell>
          <cell r="E539" t="str">
            <v>Crystal Water / 煎茶</v>
          </cell>
          <cell r="F539" t="str">
            <v>Organic Original Green Tea</v>
          </cell>
          <cell r="G539" t="str">
            <v>Ingredient: green tea*. *From organic farming.</v>
          </cell>
          <cell r="H539" t="str">
            <v>/</v>
          </cell>
          <cell r="I539" t="str">
            <v>/</v>
          </cell>
          <cell r="J539" t="str">
            <v>Loose leaf tea</v>
          </cell>
          <cell r="K539" t="str">
            <v>/</v>
          </cell>
          <cell r="L539"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540">
          <cell r="A540" t="str">
            <v>TV6586</v>
          </cell>
          <cell r="B540" t="str">
            <v>Sencha Premium</v>
          </cell>
          <cell r="C540" t="str">
            <v>Eau cristalline 煎茶</v>
          </cell>
          <cell r="D540" t="str">
            <v>Sencha Premium</v>
          </cell>
          <cell r="E540" t="str">
            <v>Crystal Water / 煎茶</v>
          </cell>
          <cell r="F540" t="str">
            <v>Organic Original Green Tea</v>
          </cell>
          <cell r="G540" t="str">
            <v>Ingredient: green tea*. *From organic farming.</v>
          </cell>
          <cell r="H540" t="str">
            <v>/</v>
          </cell>
          <cell r="I540" t="str">
            <v>/</v>
          </cell>
          <cell r="J540" t="str">
            <v>Loose leaf tea</v>
          </cell>
          <cell r="K540" t="str">
            <v>/</v>
          </cell>
          <cell r="L540"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541">
          <cell r="A541" t="str">
            <v>TJ227</v>
          </cell>
          <cell r="B541" t="str">
            <v>Sencha Saemidori</v>
          </cell>
          <cell r="C541"/>
          <cell r="D541" t="str">
            <v>Sencha Saemidori</v>
          </cell>
          <cell r="E541"/>
          <cell r="F541" t="str">
            <v>Organic Original Green Tea</v>
          </cell>
          <cell r="G541" t="str">
            <v>Ingredient: green tea*. *From organic farming.</v>
          </cell>
          <cell r="H541"/>
          <cell r="I541"/>
          <cell r="J541" t="str">
            <v>Loose leaf tea</v>
          </cell>
          <cell r="K541" t="str">
            <v>Several infusions</v>
          </cell>
          <cell r="L541"/>
        </row>
        <row r="542">
          <cell r="A542" t="str">
            <v>TJ228</v>
          </cell>
          <cell r="B542" t="str">
            <v>Sencha Kirishima</v>
          </cell>
          <cell r="C542"/>
          <cell r="D542" t="str">
            <v>Sencha Kirishima</v>
          </cell>
          <cell r="E542"/>
          <cell r="F542" t="str">
            <v>Organic Original Green Tea</v>
          </cell>
          <cell r="G542" t="str">
            <v>Ingredient: green tea*. *From organic farming.</v>
          </cell>
          <cell r="H542"/>
          <cell r="I542"/>
          <cell r="J542" t="str">
            <v>Loose leaf tea</v>
          </cell>
          <cell r="K542" t="str">
            <v>Several infusions</v>
          </cell>
          <cell r="L542"/>
        </row>
        <row r="543">
          <cell r="A543" t="str">
            <v>TV6472</v>
          </cell>
          <cell r="B543" t="str">
            <v>Sencha Top Quality</v>
          </cell>
          <cell r="C543" t="str">
            <v>/</v>
          </cell>
          <cell r="D543" t="str">
            <v>Sencha Top Quality</v>
          </cell>
          <cell r="E543" t="str">
            <v>/</v>
          </cell>
          <cell r="F543" t="str">
            <v>Organic Original Green Tea</v>
          </cell>
          <cell r="G543" t="str">
            <v>Ingredient: green tea*. *From organic farming.</v>
          </cell>
          <cell r="H543" t="str">
            <v>/</v>
          </cell>
          <cell r="I543" t="str">
            <v>/</v>
          </cell>
          <cell r="J543" t="str">
            <v>Loose leaf tea</v>
          </cell>
          <cell r="K543" t="str">
            <v>/</v>
          </cell>
          <cell r="L543"/>
        </row>
        <row r="544">
          <cell r="A544" t="str">
            <v>TUTJ0756</v>
          </cell>
          <cell r="B544" t="str">
            <v>Sencha Yamacha</v>
          </cell>
          <cell r="C544" t="str">
            <v>Rock garden 煎茶</v>
          </cell>
          <cell r="D544" t="str">
            <v>Sencha Yamacha</v>
          </cell>
          <cell r="E544" t="str">
            <v>Rock garden 煎茶</v>
          </cell>
          <cell r="F544" t="str">
            <v>Organic Green Tea</v>
          </cell>
          <cell r="G544" t="str">
            <v>Ingredient: green tea. Guaranteed free of pesticides residues.</v>
          </cell>
          <cell r="H544" t="str">
            <v>/</v>
          </cell>
          <cell r="I544" t="str">
            <v>/</v>
          </cell>
          <cell r="J544" t="str">
            <v>Loose leaf tea</v>
          </cell>
          <cell r="K544" t="str">
            <v>Several infusions</v>
          </cell>
          <cell r="L544"/>
        </row>
        <row r="545">
          <cell r="A545" t="str">
            <v>TA6712</v>
          </cell>
          <cell r="B545" t="str">
            <v xml:space="preserve">Seogwang Ginger Lemon </v>
          </cell>
          <cell r="C545" t="str">
            <v>/</v>
          </cell>
          <cell r="D545" t="str">
            <v xml:space="preserve">Seogwang Ginger Lemon </v>
          </cell>
          <cell r="E545" t="str">
            <v>/</v>
          </cell>
          <cell r="F545" t="str">
            <v>Organic Perfumed Green Tea</v>
          </cell>
          <cell r="G545" t="str">
            <v>Ingredients: green tea*, lemongrass* 14%, ginger pieces* 14%. *From organic farming.</v>
          </cell>
          <cell r="H545" t="str">
            <v>/</v>
          </cell>
          <cell r="I545" t="str">
            <v>/</v>
          </cell>
          <cell r="J545" t="str">
            <v>Loose leaf tea</v>
          </cell>
          <cell r="K545" t="str">
            <v>/</v>
          </cell>
          <cell r="L545"/>
        </row>
        <row r="546">
          <cell r="A546" t="str">
            <v>TV4322</v>
          </cell>
          <cell r="B546" t="str">
            <v>Seogwang Sencha Spring</v>
          </cell>
          <cell r="C546" t="str">
            <v>봄의센차</v>
          </cell>
          <cell r="D546" t="str">
            <v>Seogwang Sencha Spring</v>
          </cell>
          <cell r="E546" t="str">
            <v>봄의센차</v>
          </cell>
          <cell r="F546" t="str">
            <v>Organic Original Green Tea</v>
          </cell>
          <cell r="G546" t="str">
            <v>Ingredient: green tea*. *From organic farming.</v>
          </cell>
          <cell r="H546" t="str">
            <v>/</v>
          </cell>
          <cell r="I546" t="str">
            <v>/</v>
          </cell>
          <cell r="J546" t="str">
            <v>Loose leaf tea</v>
          </cell>
          <cell r="K546" t="str">
            <v>/</v>
          </cell>
          <cell r="L546"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547">
          <cell r="A547" t="str">
            <v>TV4342</v>
          </cell>
          <cell r="B547" t="str">
            <v>Seogwang Summer Green</v>
          </cell>
          <cell r="C547" t="str">
            <v>/</v>
          </cell>
          <cell r="D547" t="str">
            <v>Seogwang Summer Green</v>
          </cell>
          <cell r="E547" t="str">
            <v>/</v>
          </cell>
          <cell r="F547" t="str">
            <v>Organic Original Green Tea</v>
          </cell>
          <cell r="G547" t="str">
            <v>Ingredient: green tea*. *From organic farming.</v>
          </cell>
          <cell r="H547" t="str">
            <v>/</v>
          </cell>
          <cell r="I547" t="str">
            <v>/</v>
          </cell>
          <cell r="J547" t="str">
            <v>Loose leaf tea</v>
          </cell>
          <cell r="K547" t="str">
            <v>/</v>
          </cell>
          <cell r="L547"/>
        </row>
        <row r="548">
          <cell r="A548" t="str">
            <v>TJ0795</v>
          </cell>
          <cell r="B548" t="str">
            <v>Shincha Kagoshima</v>
          </cell>
          <cell r="C548" t="str">
            <v>cultivar Saemidori</v>
          </cell>
          <cell r="D548" t="str">
            <v>Shincha Kagoshima</v>
          </cell>
          <cell r="E548"/>
          <cell r="F548" t="str">
            <v>Japanese Tea</v>
          </cell>
          <cell r="G548" t="str">
            <v>Ingredient: green tea. Guarantee without pesticide residues.</v>
          </cell>
          <cell r="H548"/>
          <cell r="I548"/>
          <cell r="J548" t="str">
            <v>Powdered tea</v>
          </cell>
          <cell r="K548"/>
          <cell r="L548"/>
        </row>
        <row r="549">
          <cell r="A549" t="str">
            <v>TJ0885</v>
          </cell>
          <cell r="B549" t="str">
            <v>Shincha Miyazaki</v>
          </cell>
          <cell r="C549" t="str">
            <v xml:space="preserve">Cultivar :  Kabuse Yutaka Midori et Roji Saki Midori </v>
          </cell>
          <cell r="D549" t="str">
            <v>Shincha Miyazaki</v>
          </cell>
          <cell r="E549"/>
          <cell r="F549" t="str">
            <v>Japanese Tea</v>
          </cell>
          <cell r="G549" t="str">
            <v>Ingredient: Japanese green tea*. *From organic farming.</v>
          </cell>
          <cell r="H549"/>
          <cell r="I549"/>
          <cell r="J549" t="str">
            <v>Powdered tea</v>
          </cell>
          <cell r="K549"/>
          <cell r="L549"/>
        </row>
        <row r="550">
          <cell r="A550" t="str">
            <v>TJ0895</v>
          </cell>
          <cell r="B550" t="str">
            <v>Kamairicha Shincha Kabota</v>
          </cell>
          <cell r="C550" t="str">
            <v>Cultivar : Roji Yama Yabukita</v>
          </cell>
          <cell r="D550" t="str">
            <v>Kamairicha Shincha Kabota</v>
          </cell>
          <cell r="E550"/>
          <cell r="F550" t="str">
            <v>Japanese Tea</v>
          </cell>
          <cell r="G550" t="str">
            <v>Ingredient: Japanese green tea*. *From organic farming.</v>
          </cell>
          <cell r="H550"/>
          <cell r="I550"/>
          <cell r="J550" t="str">
            <v>Powdered tea</v>
          </cell>
          <cell r="K550"/>
          <cell r="L550"/>
        </row>
        <row r="551">
          <cell r="A551" t="str">
            <v>TJ0805</v>
          </cell>
          <cell r="B551" t="str">
            <v>Shincha Shizuoka</v>
          </cell>
          <cell r="C551" t="str">
            <v>cultivar Yabukita</v>
          </cell>
          <cell r="D551" t="str">
            <v>Shincha Shizuoka</v>
          </cell>
          <cell r="E551"/>
          <cell r="F551" t="str">
            <v>Japanese Tea</v>
          </cell>
          <cell r="G551" t="str">
            <v>Ingredient: green tea. Guarantee without pesticide residues.</v>
          </cell>
          <cell r="H551"/>
          <cell r="I551"/>
          <cell r="J551" t="str">
            <v>Powdered tea</v>
          </cell>
          <cell r="K551"/>
          <cell r="L551"/>
        </row>
        <row r="552">
          <cell r="A552" t="str">
            <v>TJ0825</v>
          </cell>
          <cell r="B552" t="str">
            <v>Shincha Uji</v>
          </cell>
          <cell r="C552" t="str">
            <v>cultivar Yabukita</v>
          </cell>
          <cell r="D552" t="str">
            <v>Shincha Uji</v>
          </cell>
          <cell r="E552"/>
          <cell r="F552" t="str">
            <v>Japanese Tea</v>
          </cell>
          <cell r="G552" t="str">
            <v>Ingredient: green tea. Guarantee without pesticide residues.</v>
          </cell>
          <cell r="H552"/>
          <cell r="I552"/>
          <cell r="J552" t="str">
            <v>Powdered tea</v>
          </cell>
          <cell r="K552"/>
          <cell r="L552"/>
        </row>
        <row r="553">
          <cell r="A553" t="str">
            <v>TO4162</v>
          </cell>
          <cell r="B553" t="str">
            <v>Shui Hsien Supérieur</v>
          </cell>
          <cell r="C553" t="str">
            <v>Fée des eaux</v>
          </cell>
          <cell r="D553" t="str">
            <v>Superior Shui Hsien</v>
          </cell>
          <cell r="E553" t="str">
            <v>Water Fairy</v>
          </cell>
          <cell r="F553" t="str">
            <v>Organic Original Wu Long Tea</v>
          </cell>
          <cell r="G553" t="str">
            <v>Ingredient: wu long tea*. *From organic farming.</v>
          </cell>
          <cell r="H553" t="str">
            <v>/</v>
          </cell>
          <cell r="I553" t="str">
            <v>As a certified member of the World Fair Trade Organization, Les Jardins de Gaïa is committed to fairer trade and meets the requirements of fair trade. For more information: www.wfto.com.</v>
          </cell>
          <cell r="J553" t="str">
            <v>Loose leaf tea</v>
          </cell>
          <cell r="K553" t="str">
            <v>/</v>
          </cell>
          <cell r="L553"/>
        </row>
        <row r="554">
          <cell r="A554" t="str">
            <v>TJ0766</v>
          </cell>
          <cell r="B554" t="str">
            <v>Silver Matcha</v>
          </cell>
          <cell r="C554" t="str">
            <v>抹茶</v>
          </cell>
          <cell r="D554" t="str">
            <v>Silver Matcha</v>
          </cell>
          <cell r="E554" t="str">
            <v>抹茶</v>
          </cell>
          <cell r="F554" t="str">
            <v>Organic Matcha</v>
          </cell>
          <cell r="G554" t="str">
            <v>Ingredient: green tea*. *From organic farming.</v>
          </cell>
          <cell r="H554" t="str">
            <v>/</v>
          </cell>
          <cell r="I554" t="str">
            <v>/</v>
          </cell>
          <cell r="J554" t="str">
            <v>Powdered tea</v>
          </cell>
          <cell r="K554" t="str">
            <v>Beaten tea</v>
          </cell>
          <cell r="L554"/>
        </row>
        <row r="555">
          <cell r="A555" t="str">
            <v>TB7155</v>
          </cell>
          <cell r="B555" t="str">
            <v>Silver Needle</v>
          </cell>
          <cell r="C555" t="str">
            <v>Aiguilles d'argent
Yin Zhen 银针</v>
          </cell>
          <cell r="D555" t="str">
            <v>Silver Needle</v>
          </cell>
          <cell r="E555" t="str">
            <v>Yin Zhen
银针</v>
          </cell>
          <cell r="F555" t="str">
            <v>Singel Estate Organic Mingqian White Tea</v>
          </cell>
          <cell r="G555" t="str">
            <v xml:space="preserve">Ingredient: white tea*. *From organic farming. </v>
          </cell>
          <cell r="H555" t="str">
            <v>/</v>
          </cell>
          <cell r="I555" t="str">
            <v>As a certified member of the World Fair Trade Organization, Les Jardins de Gaïa is committed to fairer trade and meets the requirements of fair trade. For more information: www.wfto.com.</v>
          </cell>
          <cell r="J555" t="str">
            <v>Loose leaf tea</v>
          </cell>
          <cell r="K555" t="str">
            <v>Several infusions</v>
          </cell>
          <cell r="L555"/>
        </row>
        <row r="556">
          <cell r="A556" t="str">
            <v>TB7156</v>
          </cell>
          <cell r="B556" t="str">
            <v>Silver Needle</v>
          </cell>
          <cell r="C556" t="str">
            <v>Aiguilles d'argent
Yin Zhen 银针</v>
          </cell>
          <cell r="D556" t="str">
            <v>Silver Needle</v>
          </cell>
          <cell r="E556" t="str">
            <v>Yin Zhen
银针</v>
          </cell>
          <cell r="F556" t="str">
            <v>Singel Estate Organic Mingqian White Tea</v>
          </cell>
          <cell r="G556" t="str">
            <v xml:space="preserve">Ingredient: white tea*. *From organic farming. </v>
          </cell>
          <cell r="H556" t="str">
            <v>/</v>
          </cell>
          <cell r="I556" t="str">
            <v>As a certified member of the World Fair Trade Organization, Les Jardins de Gaïa is committed to fairer trade and meets the requirements of fair trade. For more information: www.wfto.com.</v>
          </cell>
          <cell r="J556" t="str">
            <v>Loose leaf tea</v>
          </cell>
          <cell r="K556" t="str">
            <v>Several infusions</v>
          </cell>
          <cell r="L556"/>
        </row>
        <row r="557">
          <cell r="A557" t="str">
            <v>TB7156R</v>
          </cell>
          <cell r="B557" t="str">
            <v>Silver Needle</v>
          </cell>
          <cell r="C557" t="str">
            <v>Aiguilles d'argent
Yin Zhen 银针</v>
          </cell>
          <cell r="D557" t="str">
            <v>Silver Needle</v>
          </cell>
          <cell r="E557" t="str">
            <v>Yin Zhen
银针</v>
          </cell>
          <cell r="F557" t="str">
            <v>Singel Estate Organic Mingqian White Tea</v>
          </cell>
          <cell r="G557" t="str">
            <v xml:space="preserve">Ingredient: white tea*. *From organic farming. </v>
          </cell>
          <cell r="H557" t="str">
            <v>/</v>
          </cell>
          <cell r="I557" t="str">
            <v>As a certified member of the World Fair Trade Organization, Les Jardins de Gaïa is committed to fairer trade and meets the requirements of fair trade. For more information: www.wfto.com.</v>
          </cell>
          <cell r="J557" t="str">
            <v>Loose leaf tea</v>
          </cell>
          <cell r="K557" t="str">
            <v>Several infusions</v>
          </cell>
          <cell r="L557"/>
        </row>
        <row r="558">
          <cell r="A558" t="str">
            <v>TN2235</v>
          </cell>
          <cell r="B558" t="str">
            <v>Singell Heritage</v>
          </cell>
          <cell r="C558" t="str">
            <v>FTGFOP1 FF 
Jardin de Singell 
cultivar China</v>
          </cell>
          <cell r="D558" t="str">
            <v>Singell Heritage</v>
          </cell>
          <cell r="E558" t="str">
            <v>FTGFOP1 FF Handmade special
Singell Tea Estate  
cultivar China</v>
          </cell>
          <cell r="F558" t="str">
            <v>Single Estate First Flush Organic Black Tea</v>
          </cell>
          <cell r="G558" t="str">
            <v xml:space="preserve">Ingredient: black tea*. *From organic farming.  </v>
          </cell>
          <cell r="H558" t="str">
            <v>/</v>
          </cell>
          <cell r="I558" t="str">
            <v>As a certified member of the World Fair Trade Organization, Les Jardins de Gaïa is committed to fairer trade and meets the requirements of fair trade. For more information: www.wfto.com.</v>
          </cell>
          <cell r="J558" t="str">
            <v>Loose leaf tea</v>
          </cell>
          <cell r="K558" t="str">
            <v>/</v>
          </cell>
          <cell r="L558" t="str">
            <v>/</v>
          </cell>
        </row>
        <row r="559">
          <cell r="A559" t="str">
            <v>TN2236</v>
          </cell>
          <cell r="B559" t="str">
            <v>Singell Heritage</v>
          </cell>
          <cell r="C559" t="str">
            <v>FTGFOP1 FF 
Jardin de Singell 
cultivar China</v>
          </cell>
          <cell r="D559" t="str">
            <v>Singell Heritage</v>
          </cell>
          <cell r="E559" t="str">
            <v>FTGFOP1 FF Handmade special
Singell Tea Estate  
cultivar China</v>
          </cell>
          <cell r="F559" t="str">
            <v>Single Estate First Flush Organic Black Tea</v>
          </cell>
          <cell r="G559" t="str">
            <v xml:space="preserve">Ingredient: black tea*. *From organic farming.  </v>
          </cell>
          <cell r="H559" t="str">
            <v>/</v>
          </cell>
          <cell r="I559" t="str">
            <v>As a certified member of the World Fair Trade Organization, Les Jardins de Gaïa is committed to fairer trade and meets the requirements of fair trade. For more information: www.wfto.com.</v>
          </cell>
          <cell r="J559" t="str">
            <v>Loose leaf tea</v>
          </cell>
          <cell r="K559" t="str">
            <v>/</v>
          </cell>
          <cell r="L559" t="str">
            <v>/</v>
          </cell>
        </row>
        <row r="560">
          <cell r="A560" t="str">
            <v>TN2236R</v>
          </cell>
          <cell r="B560" t="str">
            <v>Singell Heritage</v>
          </cell>
          <cell r="C560" t="str">
            <v>FTGFOP1 FF 
Jardin de Singell 
cultivar China</v>
          </cell>
          <cell r="D560" t="str">
            <v>Singell Heritage</v>
          </cell>
          <cell r="E560" t="str">
            <v>FTGFOP1 FF Handmade special
Singell Tea Estate  
cultivar China</v>
          </cell>
          <cell r="F560" t="str">
            <v>Single Estate First Flush Organic Black Tea</v>
          </cell>
          <cell r="G560" t="str">
            <v xml:space="preserve">Ingredient: black tea*. *From organic farming.  </v>
          </cell>
          <cell r="H560" t="str">
            <v>/</v>
          </cell>
          <cell r="I560" t="str">
            <v>As a certified member of the World Fair Trade Organization, Les Jardins de Gaïa is committed to fairer trade and meets the requirements of fair trade. For more information: www.wfto.com.</v>
          </cell>
          <cell r="J560" t="str">
            <v>Loose leaf tea</v>
          </cell>
          <cell r="K560" t="str">
            <v>/</v>
          </cell>
          <cell r="L560" t="str">
            <v>/</v>
          </cell>
        </row>
        <row r="561">
          <cell r="A561" t="str">
            <v>TN5215</v>
          </cell>
          <cell r="B561" t="str">
            <v>Singell Malt</v>
          </cell>
          <cell r="C561" t="str">
            <v>FTGFOP1 SF</v>
          </cell>
          <cell r="D561" t="str">
            <v>Singell Malt</v>
          </cell>
          <cell r="E561" t="str">
            <v>FTGFOP1 SF</v>
          </cell>
          <cell r="F561" t="str">
            <v>Single Estate Organic Black Tea</v>
          </cell>
          <cell r="G561" t="str">
            <v>Ingredient: black tea*. *From organic farming.</v>
          </cell>
          <cell r="H561" t="str">
            <v>/</v>
          </cell>
          <cell r="I561" t="str">
            <v>/</v>
          </cell>
          <cell r="J561" t="str">
            <v>Loose leaf tea</v>
          </cell>
          <cell r="K561" t="str">
            <v>/</v>
          </cell>
          <cell r="L561" t="str">
            <v>/</v>
          </cell>
        </row>
        <row r="562">
          <cell r="A562" t="str">
            <v>TN5212</v>
          </cell>
          <cell r="B562" t="str">
            <v>Singell Malt</v>
          </cell>
          <cell r="C562" t="str">
            <v>FTGFOP1 SF</v>
          </cell>
          <cell r="D562" t="str">
            <v>Singell Malt</v>
          </cell>
          <cell r="E562" t="str">
            <v>FTGFOP1 SF</v>
          </cell>
          <cell r="F562" t="str">
            <v>Single Estate Organic Black Tea</v>
          </cell>
          <cell r="G562" t="str">
            <v>Ingredient: black tea*. *From organic farming.</v>
          </cell>
          <cell r="H562" t="str">
            <v>/</v>
          </cell>
          <cell r="I562" t="str">
            <v>/</v>
          </cell>
          <cell r="J562" t="str">
            <v>Loose leaf tea</v>
          </cell>
          <cell r="K562" t="str">
            <v>/</v>
          </cell>
          <cell r="L562" t="str">
            <v>/</v>
          </cell>
        </row>
        <row r="563">
          <cell r="A563" t="str">
            <v>TN5212R</v>
          </cell>
          <cell r="B563" t="str">
            <v>Singell Malt</v>
          </cell>
          <cell r="C563" t="str">
            <v>FTGFOP1 SF</v>
          </cell>
          <cell r="D563" t="str">
            <v>Singell Malt</v>
          </cell>
          <cell r="E563" t="str">
            <v>FTGFOP1 SF</v>
          </cell>
          <cell r="F563" t="str">
            <v>Single Estate Organic Black Tea</v>
          </cell>
          <cell r="G563" t="str">
            <v>Ingredient: black tea*. *From organic farming.</v>
          </cell>
          <cell r="H563" t="str">
            <v>/</v>
          </cell>
          <cell r="I563" t="str">
            <v>/</v>
          </cell>
          <cell r="J563" t="str">
            <v>Loose leaf tea</v>
          </cell>
          <cell r="K563" t="str">
            <v>/</v>
          </cell>
          <cell r="L563" t="str">
            <v>/</v>
          </cell>
        </row>
        <row r="564">
          <cell r="A564" t="str">
            <v>TV1115</v>
          </cell>
          <cell r="B564" t="str">
            <v>Snow Dragon</v>
          </cell>
          <cell r="C564" t="str">
            <v>Xue Long 雪龙</v>
          </cell>
          <cell r="D564" t="str">
            <v>Snow Dragon</v>
          </cell>
          <cell r="E564" t="str">
            <v>Xue Long 雪龙</v>
          </cell>
          <cell r="F564" t="str">
            <v>Organic Original Green Tea</v>
          </cell>
          <cell r="G564" t="str">
            <v>Ingredient: green tea*. *From organic farming.</v>
          </cell>
          <cell r="H564" t="str">
            <v>/</v>
          </cell>
          <cell r="I564" t="str">
            <v>As a certified member of the World Fair Trade Organization, Les Jardins de Gaïa is committed to fairer trade and meets the requirements of fair trade. For more information: www.wfto.com.</v>
          </cell>
          <cell r="J564" t="str">
            <v>Loose leaf tea</v>
          </cell>
          <cell r="K564" t="str">
            <v>/</v>
          </cell>
          <cell r="L564"/>
        </row>
        <row r="565">
          <cell r="A565" t="str">
            <v>TV1116</v>
          </cell>
          <cell r="B565" t="str">
            <v>Snow Dragon</v>
          </cell>
          <cell r="C565" t="str">
            <v>Xue Long 雪龙</v>
          </cell>
          <cell r="D565" t="str">
            <v>Snow Dragon</v>
          </cell>
          <cell r="E565" t="str">
            <v>Xue Long 雪龙</v>
          </cell>
          <cell r="F565" t="str">
            <v>Organic Original Green Tea</v>
          </cell>
          <cell r="G565" t="str">
            <v>Ingredient: green tea*. *From organic farming.</v>
          </cell>
          <cell r="H565" t="str">
            <v>/</v>
          </cell>
          <cell r="I565" t="str">
            <v>As a certified member of the World Fair Trade Organization, Les Jardins de Gaïa is committed to fairer trade and meets the requirements of fair trade. For more information: www.wfto.com.</v>
          </cell>
          <cell r="J565" t="str">
            <v>Loose leaf tea</v>
          </cell>
          <cell r="K565" t="str">
            <v>/</v>
          </cell>
          <cell r="L565"/>
        </row>
        <row r="566">
          <cell r="A566" t="str">
            <v>TV1116R</v>
          </cell>
          <cell r="B566" t="str">
            <v>Snow Dragon</v>
          </cell>
          <cell r="C566" t="str">
            <v>Xue Long 雪龙</v>
          </cell>
          <cell r="D566" t="str">
            <v>Snow Dragon</v>
          </cell>
          <cell r="E566" t="str">
            <v>Xue Long 雪龙</v>
          </cell>
          <cell r="F566" t="str">
            <v>Organic Original Green Tea</v>
          </cell>
          <cell r="G566" t="str">
            <v>Ingredient: green tea*. *From organic farming.</v>
          </cell>
          <cell r="H566" t="str">
            <v>/</v>
          </cell>
          <cell r="I566" t="str">
            <v>As a certified member of the World Fair Trade Organization, Les Jardins de Gaïa is committed to fairer trade and meets the requirements of fair trade. For more information: www.wfto.com.</v>
          </cell>
          <cell r="J566" t="str">
            <v>Loose leaf tea</v>
          </cell>
          <cell r="K566" t="str">
            <v>/</v>
          </cell>
          <cell r="L566"/>
        </row>
        <row r="567">
          <cell r="A567" t="str">
            <v>TN5986</v>
          </cell>
          <cell r="B567" t="str">
            <v>Snowview Black Beauty</v>
          </cell>
          <cell r="C567" t="str">
            <v>FTGFOP1 - Autumnal</v>
          </cell>
          <cell r="D567" t="str">
            <v>Snowview Black Beauty</v>
          </cell>
          <cell r="E567" t="str">
            <v>FTGFOP1 - Autumnal</v>
          </cell>
          <cell r="F567" t="str">
            <v>Single Estate Organic Black Tea</v>
          </cell>
          <cell r="G567" t="str">
            <v xml:space="preserve">Ingredient: black tea*. *From organic farming. </v>
          </cell>
          <cell r="H567" t="str">
            <v>/</v>
          </cell>
          <cell r="I567" t="str">
            <v>As a certified member of the World Fair Trade Organization, Les Jardins de Gaïa is committed to fairer trade and meets the requirements of fair trade. For more information: www.wfto.com.</v>
          </cell>
          <cell r="J567" t="str">
            <v>Loose leaf tea</v>
          </cell>
          <cell r="K567" t="str">
            <v>/</v>
          </cell>
          <cell r="L567"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568">
          <cell r="A568" t="str">
            <v>TO3302</v>
          </cell>
          <cell r="B568" t="str">
            <v>Snowview Golden Wu Long</v>
          </cell>
          <cell r="C568" t="str">
            <v>Second Flush</v>
          </cell>
          <cell r="D568" t="str">
            <v>Snowview Golden Wu Long</v>
          </cell>
          <cell r="E568" t="str">
            <v>Second Flush</v>
          </cell>
          <cell r="F568" t="str">
            <v>Organic Original Wu Long Tea</v>
          </cell>
          <cell r="G568" t="str">
            <v>Ingredient: wu long tea*. *From organic farming.</v>
          </cell>
          <cell r="H568" t="str">
            <v>/</v>
          </cell>
          <cell r="I568" t="str">
            <v>As a certified member of the World Fair Trade Organization, Les Jardins de Gaïa is committed to fairer trade and meets the requirements of fair trade. For more information: www.wfto.com.</v>
          </cell>
          <cell r="J568" t="str">
            <v>Loose leaf tea</v>
          </cell>
          <cell r="K568" t="str">
            <v>/</v>
          </cell>
          <cell r="L568"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569">
          <cell r="A569" t="str">
            <v>TO1232</v>
          </cell>
          <cell r="B569" t="str">
            <v>Snowview High Moutain</v>
          </cell>
          <cell r="C569" t="str">
            <v xml:space="preserve">Second Flush </v>
          </cell>
          <cell r="D569" t="str">
            <v>Snowview High Moutain</v>
          </cell>
          <cell r="E569" t="str">
            <v>/</v>
          </cell>
          <cell r="F569" t="str">
            <v>Organic Original Wu Long Tea</v>
          </cell>
          <cell r="G569" t="str">
            <v>Ingredient: wu long tea*. *From organic farming.</v>
          </cell>
          <cell r="H569" t="str">
            <v>/</v>
          </cell>
          <cell r="I569" t="str">
            <v>As a certified member of the World Fair Trade Organization, Les Jardins de Gaïa is committed to fairer trade and meets the requirements of fair trade. For more information: www.wfto.com.</v>
          </cell>
          <cell r="J569" t="str">
            <v>Loose leaf tea</v>
          </cell>
          <cell r="K569" t="str">
            <v>/</v>
          </cell>
          <cell r="L569"/>
        </row>
        <row r="570">
          <cell r="A570" t="str">
            <v>TH2412</v>
          </cell>
          <cell r="B570" t="str">
            <v>Sobacha</v>
          </cell>
          <cell r="C570" t="str">
            <v>Graines de sarrasin grillées</v>
          </cell>
          <cell r="D570" t="str">
            <v>Sobacha</v>
          </cell>
          <cell r="E570" t="str">
            <v>Roasted Buckwheat Seeds</v>
          </cell>
          <cell r="F570" t="str">
            <v>Organic Seeds Infusion</v>
          </cell>
          <cell r="G570" t="str">
            <v>Ingredient: buckwheat seeds* (Fagopyrum esculentum). *From organic farming.</v>
          </cell>
          <cell r="H570" t="str">
            <v>:</v>
          </cell>
          <cell r="I570" t="str">
            <v>/</v>
          </cell>
          <cell r="J570" t="str">
            <v>Loose Infusion</v>
          </cell>
          <cell r="K570" t="str">
            <v>/</v>
          </cell>
          <cell r="L570" t="str">
            <v>/</v>
          </cell>
        </row>
        <row r="571">
          <cell r="A571" t="str">
            <v>TA6982</v>
          </cell>
          <cell r="B571" t="str">
            <v>Sortilège hivernal</v>
          </cell>
          <cell r="C571" t="str">
            <v xml:space="preserve">Épices </v>
          </cell>
          <cell r="D571" t="str">
            <v>Winter Spell</v>
          </cell>
          <cell r="E571" t="str">
            <v xml:space="preserve">Spices </v>
          </cell>
          <cell r="F571" t="str">
            <v>Organic Perfumed Green Tea</v>
          </cell>
          <cell r="G571" t="str">
            <v>Ingredients: green tea*, spices (cinnamon*, ginger*, pepper*, cloves*, cardamom*) 18%, fruit (orange*, apple*, rosehip*), almond*, hibiscus*. *From organic farming.</v>
          </cell>
          <cell r="H571" t="str">
            <v>/</v>
          </cell>
          <cell r="I571" t="str">
            <v>As a certified member of the World Fair Trade Organization, Les Jardins de Gaïa is committed to fairer trade and meets the requirements of fair trade. For more information: www.wfto.com.</v>
          </cell>
          <cell r="J571" t="str">
            <v>Loose leaf tea</v>
          </cell>
          <cell r="K571" t="str">
            <v>/</v>
          </cell>
          <cell r="L571"/>
        </row>
        <row r="572">
          <cell r="A572" t="str">
            <v>TN5922</v>
          </cell>
          <cell r="B572" t="str">
            <v xml:space="preserve">Sorwathe </v>
          </cell>
          <cell r="C572" t="str">
            <v>OP1</v>
          </cell>
          <cell r="D572" t="str">
            <v xml:space="preserve">Sorwathe </v>
          </cell>
          <cell r="E572" t="str">
            <v>OP1</v>
          </cell>
          <cell r="F572" t="str">
            <v>Organic Original Black Tea</v>
          </cell>
          <cell r="G572" t="str">
            <v>Ingredient: black tea*. *From organic farming.</v>
          </cell>
          <cell r="H572" t="str">
            <v>/</v>
          </cell>
          <cell r="I572" t="str">
            <v>As a certified member of the World Fair Trade Organization, Les Jardins de Gaïa is committed to fairer trade and meets the requirements of fair trade. For more information: www.wfto.com.</v>
          </cell>
          <cell r="J572" t="str">
            <v>Loose leaf tea</v>
          </cell>
          <cell r="K572" t="str">
            <v>/</v>
          </cell>
          <cell r="L572"/>
        </row>
        <row r="573">
          <cell r="A573" t="str">
            <v>TH214</v>
          </cell>
          <cell r="B573" t="str">
            <v>Souci</v>
          </cell>
          <cell r="C573" t="str">
            <v>Apaisante</v>
          </cell>
          <cell r="D573" t="str">
            <v>Marigold</v>
          </cell>
          <cell r="E573" t="str">
            <v>Soothing</v>
          </cell>
          <cell r="F573" t="str">
            <v>Organic Herbal Tea Infusion</v>
          </cell>
          <cell r="G573" t="str">
            <v>Ingredient: marigold* (Calendula officinalis). *From organic farming.</v>
          </cell>
          <cell r="H573"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573" t="str">
            <v>/</v>
          </cell>
          <cell r="J573" t="str">
            <v>Loose Infusion</v>
          </cell>
          <cell r="K573" t="str">
            <v>/</v>
          </cell>
          <cell r="L573" t="str">
            <v>/</v>
          </cell>
        </row>
        <row r="574">
          <cell r="A574" t="str">
            <v>TN2135</v>
          </cell>
          <cell r="B574" t="str">
            <v>Spring Blossom</v>
          </cell>
          <cell r="C574" t="str">
            <v>SFTGFOP1 FF
EX. 03.04.2022</v>
          </cell>
          <cell r="D574" t="str">
            <v>Spring Blossom</v>
          </cell>
          <cell r="E574" t="str">
            <v>SFTGFOP1 FF
EX. 03.04.2022</v>
          </cell>
          <cell r="F574" t="str">
            <v>Single Estate First Flush Organic Black Tea</v>
          </cell>
          <cell r="G574" t="str">
            <v xml:space="preserve">Ingredient: black tea*. *From organic farming. </v>
          </cell>
          <cell r="H574" t="str">
            <v>/</v>
          </cell>
          <cell r="I574" t="str">
            <v>As a certified member of the World Fair Trade Organization, Les Jardins de Gaïa is committed to fairer trade and meets the requirements of fair trade. For more information: www.wfto.com.</v>
          </cell>
          <cell r="J574" t="str">
            <v>Loose leaf tea</v>
          </cell>
          <cell r="K574" t="str">
            <v>/</v>
          </cell>
          <cell r="L574" t="str">
            <v>/</v>
          </cell>
        </row>
        <row r="575">
          <cell r="A575" t="str">
            <v>TN2136</v>
          </cell>
          <cell r="B575" t="str">
            <v>Spring Blossom</v>
          </cell>
          <cell r="C575" t="str">
            <v>SFTGFOP1 FF
EX. 03.04.2022</v>
          </cell>
          <cell r="D575" t="str">
            <v>Spring Blossom</v>
          </cell>
          <cell r="E575" t="str">
            <v>SFTGFOP1 FF
EX. 03.04.2022</v>
          </cell>
          <cell r="F575" t="str">
            <v>Single Estate First Flush Organic Black Tea</v>
          </cell>
          <cell r="G575" t="str">
            <v xml:space="preserve">Ingredient: black tea*. *From organic farming. </v>
          </cell>
          <cell r="H575" t="str">
            <v>/</v>
          </cell>
          <cell r="I575" t="str">
            <v>As a certified member of the World Fair Trade Organization, Les Jardins de Gaïa is committed to fairer trade and meets the requirements of fair trade. For more information: www.wfto.com.</v>
          </cell>
          <cell r="J575" t="str">
            <v>Loose leaf tea</v>
          </cell>
          <cell r="K575" t="str">
            <v>/</v>
          </cell>
          <cell r="L575" t="str">
            <v>/</v>
          </cell>
        </row>
        <row r="576">
          <cell r="A576" t="str">
            <v>TN2136R</v>
          </cell>
          <cell r="B576" t="str">
            <v>Spring Blossom</v>
          </cell>
          <cell r="C576" t="str">
            <v>SFTGFOP1 FF
EX. 03.04.2022</v>
          </cell>
          <cell r="D576" t="str">
            <v>Spring Blossom</v>
          </cell>
          <cell r="E576" t="str">
            <v>SFTGFOP1 FF
EX. 03.04.2022</v>
          </cell>
          <cell r="F576" t="str">
            <v>Single Estate First Flush Organic Black Tea</v>
          </cell>
          <cell r="G576" t="str">
            <v xml:space="preserve">Ingredient: black tea*. *From organic farming. </v>
          </cell>
          <cell r="H576" t="str">
            <v>/</v>
          </cell>
          <cell r="I576" t="str">
            <v>As a certified member of the World Fair Trade Organization, Les Jardins de Gaïa is committed to fairer trade and meets the requirements of fair trade. For more information: www.wfto.com.</v>
          </cell>
          <cell r="J576" t="str">
            <v>Loose leaf tea</v>
          </cell>
          <cell r="K576" t="str">
            <v>/</v>
          </cell>
          <cell r="L576" t="str">
            <v>/</v>
          </cell>
        </row>
        <row r="577">
          <cell r="A577" t="str">
            <v>TV6612</v>
          </cell>
          <cell r="B577" t="str">
            <v>Spring Dew</v>
          </cell>
          <cell r="C577" t="str">
            <v>/</v>
          </cell>
          <cell r="D577" t="str">
            <v>Spring Dew</v>
          </cell>
          <cell r="E577" t="str">
            <v>/</v>
          </cell>
          <cell r="F577" t="str">
            <v>Organic Original Green Tea</v>
          </cell>
          <cell r="G577" t="str">
            <v xml:space="preserve">Ingredient: green tea*. *From organic farming. </v>
          </cell>
          <cell r="H577" t="str">
            <v>/</v>
          </cell>
          <cell r="I577" t="str">
            <v>As a certified member of the World Fair Trade Organization, Les Jardins de Gaïa is committed to fairer trade and meets the requirements of fair trade. For more information: www.wfto.com.</v>
          </cell>
          <cell r="J577" t="str">
            <v>Loose leaf tea</v>
          </cell>
          <cell r="K577" t="str">
            <v>/</v>
          </cell>
          <cell r="L577"/>
        </row>
        <row r="578">
          <cell r="A578" t="str">
            <v>TN2376</v>
          </cell>
          <cell r="B578" t="str">
            <v>Spring Jewel</v>
          </cell>
          <cell r="C578" t="str">
            <v>FTGFOP1 FF Top Quality
EX. 30.03.2022</v>
          </cell>
          <cell r="D578" t="str">
            <v>Spring Jewel</v>
          </cell>
          <cell r="E578" t="str">
            <v>FTGFOP1 FF Top Quality
EX. 30.03.2022</v>
          </cell>
          <cell r="F578" t="str">
            <v>Single Estate First Flush Organic Black Tea</v>
          </cell>
          <cell r="G578" t="str">
            <v xml:space="preserve">Ingredient: black tea**. **From organic and biodynamic farming. demeter is the brand for products from biodynamic agriculture. </v>
          </cell>
          <cell r="H578" t="str">
            <v>/</v>
          </cell>
          <cell r="I578" t="str">
            <v>As a certified member of the World Fair Trade Organization, Les Jardins de Gaïa is committed to fairer trade and meets the requirements of fair trade. For more information: www.wfto.com.</v>
          </cell>
          <cell r="J578" t="str">
            <v>Loose leaf tea</v>
          </cell>
          <cell r="K578" t="str">
            <v>/</v>
          </cell>
          <cell r="L578"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579">
          <cell r="A579" t="str">
            <v>TV1145</v>
          </cell>
          <cell r="B579" t="str">
            <v>Spring Needle</v>
          </cell>
          <cell r="C579" t="str">
            <v>Aiguilles de pin
Song Zhen 松针</v>
          </cell>
          <cell r="D579" t="str">
            <v>Spring Needle</v>
          </cell>
          <cell r="E579" t="str">
            <v>Pine needles 松针</v>
          </cell>
          <cell r="F579" t="str">
            <v>Organic Original Green Tea</v>
          </cell>
          <cell r="G579" t="str">
            <v>Ingredient: green tea*. *From organic farming.</v>
          </cell>
          <cell r="H579" t="str">
            <v>/</v>
          </cell>
          <cell r="I579" t="str">
            <v>As a certified member of the World Fair Trade Organization, Les Jardins de Gaïa is committed to fairer trade and meets the requirements of fair trade. For more information: www.wfto.com.</v>
          </cell>
          <cell r="J579" t="str">
            <v>Loose leaf tea</v>
          </cell>
          <cell r="K579" t="str">
            <v>/</v>
          </cell>
          <cell r="L579"/>
        </row>
        <row r="580">
          <cell r="A580" t="str">
            <v>TV1142</v>
          </cell>
          <cell r="B580" t="str">
            <v>Spring Needle</v>
          </cell>
          <cell r="C580" t="str">
            <v>Aiguilles de pin
Song Zhen 松针</v>
          </cell>
          <cell r="D580" t="str">
            <v>Spring Needle</v>
          </cell>
          <cell r="E580" t="str">
            <v>Pine needles 松针</v>
          </cell>
          <cell r="F580" t="str">
            <v>Organic Original Green Tea</v>
          </cell>
          <cell r="G580" t="str">
            <v>Ingredient: green tea*. *From organic farming.</v>
          </cell>
          <cell r="H580" t="str">
            <v>/</v>
          </cell>
          <cell r="I580" t="str">
            <v>As a certified member of the World Fair Trade Organization, Les Jardins de Gaïa is committed to fairer trade and meets the requirements of fair trade. For more information: www.wfto.com.</v>
          </cell>
          <cell r="J580" t="str">
            <v>Loose leaf tea</v>
          </cell>
          <cell r="K580" t="str">
            <v>/</v>
          </cell>
          <cell r="L580"/>
        </row>
        <row r="581">
          <cell r="A581" t="str">
            <v>TV1142R</v>
          </cell>
          <cell r="B581" t="str">
            <v>Spring Needle</v>
          </cell>
          <cell r="C581" t="str">
            <v>Aiguilles de pin
Song Zhen 松针</v>
          </cell>
          <cell r="D581" t="str">
            <v>Spring Needle</v>
          </cell>
          <cell r="E581" t="str">
            <v>Pine needles 松针</v>
          </cell>
          <cell r="F581" t="str">
            <v>Organic Original Green Tea</v>
          </cell>
          <cell r="G581" t="str">
            <v>Ingredient: green tea*. *From organic farming.</v>
          </cell>
          <cell r="H581" t="str">
            <v>/</v>
          </cell>
          <cell r="I581" t="str">
            <v>As a certified member of the World Fair Trade Organization, Les Jardins de Gaïa is committed to fairer trade and meets the requirements of fair trade. For more information: www.wfto.com.</v>
          </cell>
          <cell r="J581" t="str">
            <v>Loose leaf tea</v>
          </cell>
          <cell r="K581" t="str">
            <v>/</v>
          </cell>
          <cell r="L581"/>
        </row>
        <row r="582">
          <cell r="A582" t="str">
            <v>TN2365</v>
          </cell>
          <cell r="B582" t="str">
            <v xml:space="preserve">Spring secret </v>
          </cell>
          <cell r="C582" t="str">
            <v xml:space="preserve">jardin de Selimbong </v>
          </cell>
          <cell r="D582" t="str">
            <v xml:space="preserve">Spring secret </v>
          </cell>
          <cell r="E582" t="str">
            <v xml:space="preserve">Selimbong garden </v>
          </cell>
          <cell r="F582" t="str">
            <v>Single Estate First Flush Organic Black Tea</v>
          </cell>
          <cell r="G582" t="str">
            <v xml:space="preserve">Ingredient: black tea**. **From organic and biodynamic farming. demeter is the brand for products from biodynamic agriculture.   </v>
          </cell>
          <cell r="H582" t="str">
            <v>/</v>
          </cell>
          <cell r="I582" t="str">
            <v>As a certified member of the World Fair Trade Organization, Les Jardins de Gaïa is committed to fairer trade and meets the requirements of fair trade. For more information: www.wfto.com.</v>
          </cell>
          <cell r="J582" t="str">
            <v>Loose leaf tea</v>
          </cell>
          <cell r="K582" t="str">
            <v>/</v>
          </cell>
          <cell r="L582" t="str">
            <v>/</v>
          </cell>
        </row>
        <row r="583">
          <cell r="A583" t="str">
            <v>TN2366</v>
          </cell>
          <cell r="B583" t="str">
            <v xml:space="preserve">Spring secret </v>
          </cell>
          <cell r="C583" t="str">
            <v xml:space="preserve">jardin de Selimbong </v>
          </cell>
          <cell r="D583" t="str">
            <v xml:space="preserve">Spring secret </v>
          </cell>
          <cell r="E583" t="str">
            <v xml:space="preserve">Selimbong garden </v>
          </cell>
          <cell r="F583" t="str">
            <v>Single Estate First Flush Organic Black Tea</v>
          </cell>
          <cell r="G583" t="str">
            <v xml:space="preserve">Ingredient: black tea**. **From organic and biodynamic farming. demeter is the brand for products from biodynamic agriculture.   </v>
          </cell>
          <cell r="H583" t="str">
            <v>/</v>
          </cell>
          <cell r="I583" t="str">
            <v>As a certified member of the World Fair Trade Organization, Les Jardins de Gaïa is committed to fairer trade and meets the requirements of fair trade. For more information: www.wfto.com.</v>
          </cell>
          <cell r="J583" t="str">
            <v>Loose leaf tea</v>
          </cell>
          <cell r="K583" t="str">
            <v>/</v>
          </cell>
          <cell r="L583" t="str">
            <v>/</v>
          </cell>
        </row>
        <row r="584">
          <cell r="A584" t="str">
            <v>TN2366R</v>
          </cell>
          <cell r="B584" t="str">
            <v xml:space="preserve">Spring secret </v>
          </cell>
          <cell r="C584" t="str">
            <v xml:space="preserve">jardin de Selimbong </v>
          </cell>
          <cell r="D584" t="str">
            <v xml:space="preserve">Spring secret </v>
          </cell>
          <cell r="E584" t="str">
            <v xml:space="preserve">Selimbong garden </v>
          </cell>
          <cell r="F584" t="str">
            <v>Single Estate First Flush Organic Black Tea</v>
          </cell>
          <cell r="G584" t="str">
            <v xml:space="preserve">Ingredient: black tea**. **From organic and biodynamic farming. demeter is the brand for products from biodynamic agriculture.   </v>
          </cell>
          <cell r="H584" t="str">
            <v>/</v>
          </cell>
          <cell r="I584" t="str">
            <v>As a certified member of the World Fair Trade Organization, Les Jardins de Gaïa is committed to fairer trade and meets the requirements of fair trade. For more information: www.wfto.com.</v>
          </cell>
          <cell r="J584" t="str">
            <v>Loose leaf tea</v>
          </cell>
          <cell r="K584" t="str">
            <v>/</v>
          </cell>
          <cell r="L584" t="str">
            <v>/</v>
          </cell>
        </row>
        <row r="585">
          <cell r="A585" t="str">
            <v>TV1055</v>
          </cell>
          <cell r="B585" t="str">
            <v xml:space="preserve">Spring Sprout </v>
          </cell>
          <cell r="C585" t="str">
            <v>Jeune pousse de printemps
Chun Ya 春芽</v>
          </cell>
          <cell r="D585" t="str">
            <v xml:space="preserve">Spring Sprout </v>
          </cell>
          <cell r="E585" t="str">
            <v>Spring young leaf
Chun Ya 春芽</v>
          </cell>
          <cell r="F585" t="str">
            <v>Singel Estate Organic Mingqian Green Tea</v>
          </cell>
          <cell r="G585" t="str">
            <v>Ingredient: green tea*. *From organic farming.</v>
          </cell>
          <cell r="H585" t="str">
            <v>/</v>
          </cell>
          <cell r="I585" t="str">
            <v>As a certified member of the World Fair Trade Organization, Les Jardins de Gaïa is committed to fairer trade and meets the requirements of fair trade. For more information: www.wfto.com.</v>
          </cell>
          <cell r="J585" t="str">
            <v>Loose leaf tea</v>
          </cell>
          <cell r="K585" t="str">
            <v>Several infusions</v>
          </cell>
          <cell r="L585"/>
        </row>
        <row r="586">
          <cell r="A586" t="str">
            <v>TV1056</v>
          </cell>
          <cell r="B586" t="str">
            <v xml:space="preserve">Spring Sprout </v>
          </cell>
          <cell r="C586" t="str">
            <v>Jeune pousse de printemps
Chun Ya 春芽</v>
          </cell>
          <cell r="D586" t="str">
            <v xml:space="preserve">Spring Sprout </v>
          </cell>
          <cell r="E586" t="str">
            <v>Spring young leaf
Chun Ya 春芽</v>
          </cell>
          <cell r="F586" t="str">
            <v>Singel Estate Organic Mingqian Green Tea</v>
          </cell>
          <cell r="G586" t="str">
            <v>Ingredient: green tea*. *From organic farming.</v>
          </cell>
          <cell r="H586" t="str">
            <v>/</v>
          </cell>
          <cell r="I586" t="str">
            <v>As a certified member of the World Fair Trade Organization, Les Jardins de Gaïa is committed to fairer trade and meets the requirements of fair trade. For more information: www.wfto.com.</v>
          </cell>
          <cell r="J586" t="str">
            <v>Loose leaf tea</v>
          </cell>
          <cell r="K586" t="str">
            <v>Several infusions</v>
          </cell>
          <cell r="L586"/>
        </row>
        <row r="587">
          <cell r="A587" t="str">
            <v>TV1056R</v>
          </cell>
          <cell r="B587" t="str">
            <v xml:space="preserve">Spring Sprout </v>
          </cell>
          <cell r="C587" t="str">
            <v>Jeune pousse de printemps
Chun Ya 春芽</v>
          </cell>
          <cell r="D587" t="str">
            <v xml:space="preserve">Spring Sprout </v>
          </cell>
          <cell r="E587" t="str">
            <v>Spring young leaf
Chun Ya 春芽</v>
          </cell>
          <cell r="F587" t="str">
            <v>Singel Estate Organic Mingqian Green Tea</v>
          </cell>
          <cell r="G587" t="str">
            <v>Ingredient: green tea*. *From organic farming.</v>
          </cell>
          <cell r="H587" t="str">
            <v>/</v>
          </cell>
          <cell r="I587" t="str">
            <v>As a certified member of the World Fair Trade Organization, Les Jardins de Gaïa is committed to fairer trade and meets the requirements of fair trade. For more information: www.wfto.com.</v>
          </cell>
          <cell r="J587" t="str">
            <v>Loose leaf tea</v>
          </cell>
          <cell r="K587" t="str">
            <v>Several infusions</v>
          </cell>
          <cell r="L587"/>
        </row>
        <row r="588">
          <cell r="A588" t="str">
            <v>TN2352</v>
          </cell>
          <cell r="B588" t="str">
            <v>Spring Thunder</v>
          </cell>
          <cell r="C588" t="str">
            <v>FTGFOP1 FF 
Jardin de Putharjhora - Top Quality 
cultivar RR-114</v>
          </cell>
          <cell r="D588" t="str">
            <v>Spring Thunder</v>
          </cell>
          <cell r="E588" t="str">
            <v>FTGFOP1 FF 
Putharjhora garden - Top Quality 3
cultivar RR-114</v>
          </cell>
          <cell r="F588" t="str">
            <v>Single Estate First Flush Organic Black Tea</v>
          </cell>
          <cell r="G588" t="str">
            <v xml:space="preserve">Ingredient: black tea**. **From organic and biodynamic farming. demeter is the brand for products from biodynamic agriculture. </v>
          </cell>
          <cell r="H588" t="str">
            <v>/</v>
          </cell>
          <cell r="I588" t="str">
            <v>As a certified member of the World Fair Trade Organization, Les Jardins de Gaïa is committed to fairer trade and meets the requirements of fair trade. For more information: www.wfto.com.</v>
          </cell>
          <cell r="J588" t="str">
            <v>Loose leaf tea</v>
          </cell>
          <cell r="K588" t="str">
            <v>/</v>
          </cell>
          <cell r="L588"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589">
          <cell r="A589" t="str">
            <v>TH1756</v>
          </cell>
          <cell r="B589" t="str">
            <v>Stévia</v>
          </cell>
          <cell r="C589" t="str">
            <v>/</v>
          </cell>
          <cell r="D589" t="str">
            <v>Stevia</v>
          </cell>
          <cell r="E589" t="str">
            <v>/</v>
          </cell>
          <cell r="F589" t="str">
            <v>Organic Herbal Tea Infusion</v>
          </cell>
          <cell r="G589" t="str">
            <v>Ingredient: stevia* (Stevia rebaudiana). *From organic farming.</v>
          </cell>
          <cell r="H589" t="str">
            <v>/</v>
          </cell>
          <cell r="I589" t="str">
            <v>/</v>
          </cell>
          <cell r="J589" t="str">
            <v>Loose Infusion</v>
          </cell>
          <cell r="K589" t="str">
            <v>/</v>
          </cell>
          <cell r="L589" t="str">
            <v>/</v>
          </cell>
        </row>
        <row r="590">
          <cell r="A590" t="str">
            <v>TO2042</v>
          </cell>
          <cell r="B590" t="str">
            <v>Sticky rice</v>
          </cell>
          <cell r="C590" t="str">
            <v>/</v>
          </cell>
          <cell r="D590" t="str">
            <v>Sticky rice</v>
          </cell>
          <cell r="E590" t="str">
            <v>/</v>
          </cell>
          <cell r="F590" t="str">
            <v>Organic Original Scented Wu Long Tea</v>
          </cell>
          <cell r="G590" t="str">
            <v>Ingredient: wu long tea*. *From organic farming.</v>
          </cell>
          <cell r="H590" t="str">
            <v>/</v>
          </cell>
          <cell r="I590" t="str">
            <v>/</v>
          </cell>
          <cell r="J590" t="str">
            <v>Loose leaf tea</v>
          </cell>
          <cell r="K590" t="str">
            <v>/</v>
          </cell>
          <cell r="L590"/>
        </row>
        <row r="591">
          <cell r="A591" t="str">
            <v>TN2112</v>
          </cell>
          <cell r="B591" t="str">
            <v>Subarna</v>
          </cell>
          <cell r="C591" t="str">
            <v>FTGFOP1 FF 
Top Quality - Ex. 07.04.2023
cultivar Subarna China</v>
          </cell>
          <cell r="D591" t="str">
            <v>Subarna</v>
          </cell>
          <cell r="E591" t="str">
            <v>FTGFOP1 FF 
Top Quality - Ex. 07.04.2023
cultivar Subarna China</v>
          </cell>
          <cell r="F591" t="str">
            <v>Single Estate First Flush Organic Black Tea</v>
          </cell>
          <cell r="G591" t="str">
            <v>Ingredient: black tea*. *From organic farming.</v>
          </cell>
          <cell r="H591" t="str">
            <v>/</v>
          </cell>
          <cell r="I591"/>
          <cell r="J591" t="str">
            <v>Loose leaf tea</v>
          </cell>
          <cell r="K591" t="str">
            <v>/</v>
          </cell>
          <cell r="L591"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592">
          <cell r="A592" t="str">
            <v>TA7012</v>
          </cell>
          <cell r="B592" t="str">
            <v>Summer Vibration</v>
          </cell>
          <cell r="C592" t="str">
            <v>Spicy</v>
          </cell>
          <cell r="D592" t="str">
            <v>Summer Vibration</v>
          </cell>
          <cell r="E592" t="str">
            <v>Spicy</v>
          </cell>
          <cell r="F592" t="str">
            <v>Organic Flavoured Blended Teas</v>
          </cell>
          <cell r="G592" t="str">
            <v>Ingredients: blend of teas (black tea*, green tea*), lemongrass*, natural mango flavouring*, pink berries*, buchu*, lemon essential oil*, marigold petals*, chili pepper*. *From organic farming.</v>
          </cell>
          <cell r="H592" t="str">
            <v>/</v>
          </cell>
          <cell r="I592" t="str">
            <v>As a certified member of the World Fair Trade Organization, Les Jardins de Gaïa is committed to fairer trade and meets the requirements of fair trade. For more information: www.wfto.com.</v>
          </cell>
          <cell r="J592" t="str">
            <v>Loose leaf tea</v>
          </cell>
          <cell r="K592" t="str">
            <v>/</v>
          </cell>
          <cell r="L592"/>
        </row>
        <row r="593">
          <cell r="A593" t="str">
            <v>TUTA7012</v>
          </cell>
          <cell r="B593" t="str">
            <v>Summer Vibration</v>
          </cell>
          <cell r="C593" t="str">
            <v>Spicy</v>
          </cell>
          <cell r="D593" t="str">
            <v>Summer Vibration</v>
          </cell>
          <cell r="E593" t="str">
            <v>Spicy</v>
          </cell>
          <cell r="F593" t="str">
            <v>Organic Flavoured Blended Teas</v>
          </cell>
          <cell r="G593" t="str">
            <v>Ingredients: blend of teas (black tea*, green tea*), lemongrass*, natural mango flavouring*, pink berries*, buchu*, lemon essential oil*, marigold petals*, chili pepper*. *From organic farming.</v>
          </cell>
          <cell r="H593" t="str">
            <v>/</v>
          </cell>
          <cell r="I593" t="str">
            <v>As a certified member of the World Fair Trade Organization, Les Jardins de Gaïa is committed to fairer trade and meets the requirements of fair trade. For more information: www.wfto.com.</v>
          </cell>
          <cell r="J593" t="str">
            <v>Loose leaf tea</v>
          </cell>
          <cell r="K593" t="str">
            <v>/</v>
          </cell>
          <cell r="L593"/>
        </row>
        <row r="594">
          <cell r="A594" t="str">
            <v>TUTO1416</v>
          </cell>
          <cell r="B594" t="str">
            <v>Sun Moon Lake Gaba</v>
          </cell>
          <cell r="C594" t="str">
            <v>/</v>
          </cell>
          <cell r="D594" t="str">
            <v>Sun Moon Lake Gaba</v>
          </cell>
          <cell r="E594" t="str">
            <v>/</v>
          </cell>
          <cell r="F594" t="str">
            <v>Organic Original Wu Long Tea</v>
          </cell>
          <cell r="G594" t="str">
            <v>Ingredient: wu long tea*.
*From organic farming.</v>
          </cell>
          <cell r="H594" t="str">
            <v>/</v>
          </cell>
          <cell r="I594" t="str">
            <v>/</v>
          </cell>
          <cell r="J594" t="str">
            <v>Loose leaf tea</v>
          </cell>
          <cell r="K594" t="str">
            <v>Several infusions</v>
          </cell>
          <cell r="L594"/>
        </row>
        <row r="595">
          <cell r="A595" t="str">
            <v>TUTO1406</v>
          </cell>
          <cell r="B595" t="str">
            <v>Sun Moon Lake Milky</v>
          </cell>
          <cell r="C595" t="str">
            <v>/</v>
          </cell>
          <cell r="D595" t="str">
            <v>Sun Moon Lake Milky</v>
          </cell>
          <cell r="E595" t="str">
            <v>/</v>
          </cell>
          <cell r="F595" t="str">
            <v>Organic Original Wu Long Tea</v>
          </cell>
          <cell r="G595" t="str">
            <v>Ingredient: wu long tea*.
*From organic farming.</v>
          </cell>
          <cell r="H595" t="str">
            <v>/</v>
          </cell>
          <cell r="I595" t="str">
            <v>/</v>
          </cell>
          <cell r="J595" t="str">
            <v>Loose leaf tea</v>
          </cell>
          <cell r="K595" t="str">
            <v>Several infusions</v>
          </cell>
          <cell r="L595"/>
        </row>
        <row r="596">
          <cell r="A596" t="str">
            <v>TN3862</v>
          </cell>
          <cell r="B596" t="str">
            <v>Sunny Morning</v>
          </cell>
          <cell r="C596" t="str">
            <v>TGBOP</v>
          </cell>
          <cell r="D596" t="str">
            <v>Sunny Morning</v>
          </cell>
          <cell r="E596" t="str">
            <v>TGBOP</v>
          </cell>
          <cell r="F596" t="str">
            <v>Organic Original Black Tea</v>
          </cell>
          <cell r="G596" t="str">
            <v>Ingredient: black tea*. *From organic farming.</v>
          </cell>
          <cell r="H596" t="str">
            <v>/</v>
          </cell>
          <cell r="I596" t="str">
            <v>As a certified member of the World Fair Trade Organization, Les Jardins de Gaïa is committed to fairer trade and meets the requirements of fair trade. For more information: www.wfto.com.</v>
          </cell>
          <cell r="J596" t="str">
            <v>Loose leaf tea</v>
          </cell>
          <cell r="K596" t="str">
            <v>/</v>
          </cell>
          <cell r="L596"/>
        </row>
        <row r="597">
          <cell r="A597" t="str">
            <v>TV1335</v>
          </cell>
          <cell r="B597" t="str">
            <v>Supreme Bud Needles</v>
          </cell>
          <cell r="C597" t="str">
            <v>Bourgeons de jade 玉芽</v>
          </cell>
          <cell r="D597" t="str">
            <v>Supreme Bud Needles</v>
          </cell>
          <cell r="E597" t="str">
            <v>Jade buds 玉芽</v>
          </cell>
          <cell r="F597" t="str">
            <v>Singel Estate Organic Mingqian Green Tea</v>
          </cell>
          <cell r="G597" t="str">
            <v>Ingredient: green tea*. *From organic farming.</v>
          </cell>
          <cell r="H597" t="str">
            <v>/</v>
          </cell>
          <cell r="I597" t="str">
            <v>As a certified member of the World Fair Trade Organization, Les Jardins de Gaïa is committed to fairer trade and meets the requirements of fair trade. For more information: www.wfto.com.</v>
          </cell>
          <cell r="J597" t="str">
            <v>Loose leaf tea</v>
          </cell>
          <cell r="K597" t="str">
            <v>Several infusions</v>
          </cell>
          <cell r="L597"/>
        </row>
        <row r="598">
          <cell r="A598" t="str">
            <v>TV1336</v>
          </cell>
          <cell r="B598" t="str">
            <v>Supreme Bud Needles</v>
          </cell>
          <cell r="C598" t="str">
            <v>Bourgeons de jade 玉芽</v>
          </cell>
          <cell r="D598" t="str">
            <v>Supreme Bud Needles</v>
          </cell>
          <cell r="E598" t="str">
            <v>Jade buds 玉芽</v>
          </cell>
          <cell r="F598" t="str">
            <v>Singel Estate Organic Mingqian Green Tea</v>
          </cell>
          <cell r="G598" t="str">
            <v>Ingredient: green tea*. *From organic farming.</v>
          </cell>
          <cell r="H598" t="str">
            <v>/</v>
          </cell>
          <cell r="I598" t="str">
            <v>As a certified member of the World Fair Trade Organization, Les Jardins de Gaïa is committed to fairer trade and meets the requirements of fair trade. For more information: www.wfto.com.</v>
          </cell>
          <cell r="J598" t="str">
            <v>Loose leaf tea</v>
          </cell>
          <cell r="K598" t="str">
            <v>Several infusions</v>
          </cell>
          <cell r="L598"/>
        </row>
        <row r="599">
          <cell r="A599" t="str">
            <v>TV1336R</v>
          </cell>
          <cell r="B599" t="str">
            <v>Supreme Bud Needles</v>
          </cell>
          <cell r="C599" t="str">
            <v>Bourgeons de jade 玉芽</v>
          </cell>
          <cell r="D599" t="str">
            <v>Supreme Bud Needles</v>
          </cell>
          <cell r="E599" t="str">
            <v>Jade buds 玉芽</v>
          </cell>
          <cell r="F599" t="str">
            <v>Singel Estate Organic Mingqian Green Tea</v>
          </cell>
          <cell r="G599" t="str">
            <v>Ingredient: green tea*. *From organic farming.</v>
          </cell>
          <cell r="H599" t="str">
            <v>/</v>
          </cell>
          <cell r="I599" t="str">
            <v>As a certified member of the World Fair Trade Organization, Les Jardins de Gaïa is committed to fairer trade and meets the requirements of fair trade. For more information: www.wfto.com.</v>
          </cell>
          <cell r="J599" t="str">
            <v>Loose leaf tea</v>
          </cell>
          <cell r="K599" t="str">
            <v>Several infusions</v>
          </cell>
          <cell r="L599"/>
        </row>
        <row r="600">
          <cell r="A600" t="str">
            <v>TA7362</v>
          </cell>
          <cell r="B600" t="str">
            <v>Sur les traces de Bouddha</v>
          </cell>
          <cell r="C600" t="str">
            <v>Fleurs - Huiles essentielles d'agrumes</v>
          </cell>
          <cell r="D600" t="str">
            <v xml:space="preserve">On Buddha's track </v>
          </cell>
          <cell r="E600" t="str">
            <v>Flowers - Citrus essential oils</v>
          </cell>
          <cell r="F600" t="str">
            <v>Organic Flavoured Blended Teas</v>
          </cell>
          <cell r="G600" t="str">
            <v>Ingredients: blend of teas (black tea*, jasmine green tea*), extract (vanilla*, rose*), flower petals 4% (rose*, lavender*, mallow*, marigold*, sunflower*, cornflower*), citrus essential oils (mandarin*, bergamot*) 2%, natural elderflower flavouring*. *From organic farming.</v>
          </cell>
          <cell r="H600" t="str">
            <v>/</v>
          </cell>
          <cell r="I600" t="str">
            <v>As a certified member of the World Fair Trade Organization, Les Jardins de Gaïa is committed to fairer trade and meets the requirements of fair trade. For more information: www.wfto.com.</v>
          </cell>
          <cell r="J600" t="str">
            <v>Loose leaf tea</v>
          </cell>
          <cell r="K600" t="str">
            <v>/</v>
          </cell>
          <cell r="L600"/>
        </row>
        <row r="601">
          <cell r="A601" t="str">
            <v>TA6132</v>
          </cell>
          <cell r="B601" t="str">
            <v xml:space="preserve">Surprise ! </v>
          </cell>
          <cell r="C601" t="str">
            <v>Saveurs passion - cacao</v>
          </cell>
          <cell r="D601" t="str">
            <v>Surprise!</v>
          </cell>
          <cell r="E601" t="str">
            <v>Passion fruit - cocoa flavours</v>
          </cell>
          <cell r="F601" t="str">
            <v>Organic Flavoured Green Tea</v>
          </cell>
          <cell r="G601" t="str">
            <v>Ingredients: green tea*, natural (passion fruit* 7%, cocoa* 3%, green lemon*) flavourings, carrot chips*, orange peels*, cornflower petals*. *From organic farming.</v>
          </cell>
          <cell r="H601" t="str">
            <v>/</v>
          </cell>
          <cell r="I601" t="str">
            <v>As a certified member of the World Fair Trade Organization, Les Jardins de Gaïa is committed to fairer trade and meets the requirements of fair trade. For more information: www.wfto.com.</v>
          </cell>
          <cell r="J601" t="str">
            <v>Loose leaf tea</v>
          </cell>
          <cell r="K601" t="str">
            <v>/</v>
          </cell>
          <cell r="L601"/>
        </row>
        <row r="602">
          <cell r="A602" t="str">
            <v>TA6132</v>
          </cell>
          <cell r="B602" t="str">
            <v>Surprise de Noël</v>
          </cell>
          <cell r="C602" t="str">
            <v>Saveurs passion - cacao</v>
          </cell>
          <cell r="D602" t="str">
            <v>Christmas Surprise!</v>
          </cell>
          <cell r="E602" t="str">
            <v>Passion fruit - cocoa flavours</v>
          </cell>
          <cell r="F602" t="str">
            <v>Organic Flavoured Green Tea</v>
          </cell>
          <cell r="G602" t="str">
            <v>Ingredients: green tea*, natural (passion fruit* 7%, cocoa* 3%, green lemon*) flavourings, carrot chips*, orange peels*, cornflower petals*. *From organic farming.</v>
          </cell>
          <cell r="H602" t="str">
            <v>/</v>
          </cell>
          <cell r="I602" t="str">
            <v>As a certified member of the World Fair Trade Organization, Les Jardins de Gaïa is committed to fairer trade and meets the requirements of fair trade. For more information: www.wfto.com.</v>
          </cell>
          <cell r="J602" t="str">
            <v>Loose leaf tea</v>
          </cell>
          <cell r="K602" t="str">
            <v>/</v>
          </cell>
          <cell r="L602"/>
        </row>
        <row r="603">
          <cell r="A603" t="str">
            <v>TSTA6132V4</v>
          </cell>
          <cell r="B603" t="str">
            <v>Surprise de Noël</v>
          </cell>
          <cell r="C603" t="str">
            <v>Saveurs passion - cacao</v>
          </cell>
          <cell r="D603" t="str">
            <v>Christmas Surprise!</v>
          </cell>
          <cell r="E603" t="str">
            <v>Passion fruit - cocoa flavours</v>
          </cell>
          <cell r="F603" t="str">
            <v>Organic Flavoured Green Tea</v>
          </cell>
          <cell r="G603" t="str">
            <v>Ingredients: green tea*, natural (passion fruit* 7%, cocoa* 3%, green lemon*) flavourings, carrot chips*, orange peels*, cornflower petals*. *From organic farming.</v>
          </cell>
          <cell r="H603" t="str">
            <v>/</v>
          </cell>
          <cell r="I603" t="str">
            <v>As a certified member of the World Fair Trade Organization, Les Jardins de Gaïa is committed to fairer trade and meets the requirements of fair trade. For more information: www.wfto.com.</v>
          </cell>
          <cell r="J603" t="str">
            <v>Loose leaf tea</v>
          </cell>
          <cell r="K603" t="str">
            <v>/</v>
          </cell>
          <cell r="L603"/>
        </row>
        <row r="604">
          <cell r="A604" t="str">
            <v>TV4575</v>
          </cell>
          <cell r="B604" t="str">
            <v>Taiping Hou Kui</v>
          </cell>
          <cell r="C604" t="str">
            <v>Roi singe de Taiping 太平猴魁</v>
          </cell>
          <cell r="D604" t="str">
            <v>Taiping Hou Kui</v>
          </cell>
          <cell r="E604" t="str">
            <v>King monkey of Taiping 太平猴魁</v>
          </cell>
          <cell r="F604" t="str">
            <v>Organic Green Tea</v>
          </cell>
          <cell r="G604" t="str">
            <v>Ingredient: green tea*. *From organic farming.</v>
          </cell>
          <cell r="H604" t="str">
            <v>/</v>
          </cell>
          <cell r="I604" t="str">
            <v>/</v>
          </cell>
          <cell r="J604" t="str">
            <v>Loose leaf tea</v>
          </cell>
          <cell r="K604" t="str">
            <v>/</v>
          </cell>
          <cell r="L604"/>
        </row>
        <row r="605">
          <cell r="A605" t="str">
            <v>TV4576</v>
          </cell>
          <cell r="B605" t="str">
            <v>Taiping Hou Kui</v>
          </cell>
          <cell r="C605" t="str">
            <v>Roi singe de Taiping 太平猴魁</v>
          </cell>
          <cell r="D605" t="str">
            <v>Taiping Hou Kui</v>
          </cell>
          <cell r="E605" t="str">
            <v>King monkey of Taiping 太平猴魁</v>
          </cell>
          <cell r="F605" t="str">
            <v>Organic Green Tea</v>
          </cell>
          <cell r="G605" t="str">
            <v>Ingredient: green tea*. *From organic farming.</v>
          </cell>
          <cell r="H605" t="str">
            <v>/</v>
          </cell>
          <cell r="I605" t="str">
            <v>/</v>
          </cell>
          <cell r="J605" t="str">
            <v>Loose leaf tea</v>
          </cell>
          <cell r="K605" t="str">
            <v>/</v>
          </cell>
          <cell r="L605"/>
        </row>
        <row r="606">
          <cell r="A606" t="str">
            <v>TV4576R</v>
          </cell>
          <cell r="B606" t="str">
            <v>Taiping Hou Kui</v>
          </cell>
          <cell r="C606" t="str">
            <v>Roi singe de Taiping 太平猴魁</v>
          </cell>
          <cell r="D606" t="str">
            <v>Taiping Hou Kui</v>
          </cell>
          <cell r="E606" t="str">
            <v>King monkey of Taiping 太平猴魁</v>
          </cell>
          <cell r="F606" t="str">
            <v>Organic Green Tea</v>
          </cell>
          <cell r="G606" t="str">
            <v>Ingredient: green tea*. *From organic farming.</v>
          </cell>
          <cell r="H606" t="str">
            <v>/</v>
          </cell>
          <cell r="I606" t="str">
            <v>/</v>
          </cell>
          <cell r="J606" t="str">
            <v>Loose leaf tea</v>
          </cell>
          <cell r="K606" t="str">
            <v>/</v>
          </cell>
          <cell r="L606"/>
        </row>
        <row r="607">
          <cell r="A607" t="str">
            <v>TA7282</v>
          </cell>
          <cell r="B607" t="str">
            <v>Taj Mahal</v>
          </cell>
          <cell r="C607" t="str">
            <v>Saveurs mûre - vanille</v>
          </cell>
          <cell r="D607" t="str">
            <v>Taj Mahal</v>
          </cell>
          <cell r="E607" t="str">
            <v>Blackberry - vanilla flavours</v>
          </cell>
          <cell r="F607" t="str">
            <v>Organic Flavoured Black Tea</v>
          </cell>
          <cell r="G607" t="str">
            <v>Ingredients: black tea*, natural blackberry flavouring* 7%, vanilla extract* 2%, carrot chips*, flower petals (marigold*, chamomile*). *From organic farm.</v>
          </cell>
          <cell r="H607" t="str">
            <v>/</v>
          </cell>
          <cell r="I607" t="str">
            <v>As a certified member of the World Fair Trade Organization, Les Jardins de Gaïa is committed to fairer trade and meets the requirements of fair trade. For more information: www.wfto.com.</v>
          </cell>
          <cell r="J607" t="str">
            <v>Loose leaf tea</v>
          </cell>
          <cell r="K607" t="str">
            <v>/</v>
          </cell>
          <cell r="L607"/>
        </row>
        <row r="608">
          <cell r="A608" t="str">
            <v>TUTJ2246</v>
          </cell>
          <cell r="B608" t="str">
            <v>Tamaryokucha</v>
          </cell>
          <cell r="C608" t="str">
            <v xml:space="preserve">玉緑茶 </v>
          </cell>
          <cell r="D608" t="str">
            <v>Tamaryokucha</v>
          </cell>
          <cell r="E608" t="str">
            <v xml:space="preserve">玉緑茶 </v>
          </cell>
          <cell r="F608" t="str">
            <v>Organic Green Tea</v>
          </cell>
          <cell r="G608" t="str">
            <v>Ingredient: green tea*. *From organic farming.</v>
          </cell>
          <cell r="H608" t="str">
            <v>/</v>
          </cell>
          <cell r="I608" t="str">
            <v>/</v>
          </cell>
          <cell r="J608" t="str">
            <v>Loose leaf tea</v>
          </cell>
          <cell r="K608" t="str">
            <v>Several infusions</v>
          </cell>
          <cell r="L608"/>
        </row>
        <row r="609">
          <cell r="A609" t="str">
            <v>TN2145</v>
          </cell>
          <cell r="B609" t="str">
            <v>Tara's Offering</v>
          </cell>
          <cell r="C609" t="str">
            <v xml:space="preserve">SFTGFOP1 FF 
Jardin de Samabeong - 
cultivar samabeong AV-2 </v>
          </cell>
          <cell r="D609" t="str">
            <v>Tara's Offering</v>
          </cell>
          <cell r="E609" t="str">
            <v xml:space="preserve">SFTGFOP1 FF 
Samabeong garden 
cultivar samabeong AV-2 </v>
          </cell>
          <cell r="F609" t="str">
            <v>Single Estate First Flush Organic Black Tea</v>
          </cell>
          <cell r="G609" t="str">
            <v xml:space="preserve">Ingredient: black tea*. *From organic farming. </v>
          </cell>
          <cell r="H609" t="str">
            <v>/</v>
          </cell>
          <cell r="I609" t="str">
            <v>As a certified member of the World Fair Trade Organization, Les Jardins de Gaïa is committed to fairer trade and meets the requirements of fair trade. For more information: www.wfto.com.</v>
          </cell>
          <cell r="J609" t="str">
            <v>Loose leaf tea</v>
          </cell>
          <cell r="K609" t="str">
            <v>/</v>
          </cell>
          <cell r="L609" t="str">
            <v>/</v>
          </cell>
        </row>
        <row r="610">
          <cell r="A610" t="str">
            <v>TN2146</v>
          </cell>
          <cell r="B610" t="str">
            <v>Tara's Offering</v>
          </cell>
          <cell r="C610" t="str">
            <v xml:space="preserve">SFTGFOP1 FF 
Jardin de Samabeong - 
cultivar samabeong AV-2 </v>
          </cell>
          <cell r="D610" t="str">
            <v>Tara's Offering</v>
          </cell>
          <cell r="E610" t="str">
            <v xml:space="preserve">SFTGFOP1 FF 
Samabeong garden 
cultivar samabeong AV-2 </v>
          </cell>
          <cell r="F610" t="str">
            <v>Single Estate First Flush Organic Black Tea</v>
          </cell>
          <cell r="G610" t="str">
            <v xml:space="preserve">Ingredient: black tea*. *From organic farming. </v>
          </cell>
          <cell r="H610" t="str">
            <v>/</v>
          </cell>
          <cell r="I610" t="str">
            <v>As a certified member of the World Fair Trade Organization, Les Jardins de Gaïa is committed to fairer trade and meets the requirements of fair trade. For more information: www.wfto.com.</v>
          </cell>
          <cell r="J610" t="str">
            <v>Loose leaf tea</v>
          </cell>
          <cell r="K610" t="str">
            <v>/</v>
          </cell>
          <cell r="L610" t="str">
            <v>/</v>
          </cell>
        </row>
        <row r="611">
          <cell r="A611" t="str">
            <v>TN2146R</v>
          </cell>
          <cell r="B611" t="str">
            <v>Tara's Offering</v>
          </cell>
          <cell r="C611" t="str">
            <v xml:space="preserve">SFTGFOP1 FF 
Jardin de Samabeong - 
cultivar samabeong AV-2 </v>
          </cell>
          <cell r="D611" t="str">
            <v>Tara's Offering</v>
          </cell>
          <cell r="E611" t="str">
            <v xml:space="preserve">SFTGFOP1 FF 
Samabeong garden 
cultivar samabeong AV-2 </v>
          </cell>
          <cell r="F611" t="str">
            <v>Single Estate First Flush Organic Black Tea</v>
          </cell>
          <cell r="G611" t="str">
            <v xml:space="preserve">Ingredient: black tea*. *From organic farming. </v>
          </cell>
          <cell r="H611" t="str">
            <v>/</v>
          </cell>
          <cell r="I611" t="str">
            <v>As a certified member of the World Fair Trade Organization, Les Jardins de Gaïa is committed to fairer trade and meets the requirements of fair trade. For more information: www.wfto.com.</v>
          </cell>
          <cell r="J611" t="str">
            <v>Loose leaf tea</v>
          </cell>
          <cell r="K611" t="str">
            <v>/</v>
          </cell>
          <cell r="L611" t="str">
            <v>/</v>
          </cell>
        </row>
        <row r="612">
          <cell r="A612" t="str">
            <v>TM6802</v>
          </cell>
          <cell r="B612" t="str">
            <v>Tchaï vert</v>
          </cell>
          <cell r="C612" t="str">
            <v>Épices traditionnelles indiennes</v>
          </cell>
          <cell r="D612" t="str">
            <v>Green Chai</v>
          </cell>
          <cell r="E612" t="str">
            <v>Traditional Indian Spices</v>
          </cell>
          <cell r="F612" t="str">
            <v>Organic Perfumed Green Tea</v>
          </cell>
          <cell r="G612" t="str">
            <v xml:space="preserve">Ingredients: green tea**, spices (cinnamon**, ginger**, black pepper**, cloves**, cardamom**) 13%. **From organic and biodynamic farming. demeter is the brand for products from biodynamic agriculture. </v>
          </cell>
          <cell r="H612" t="str">
            <v>/</v>
          </cell>
          <cell r="I612" t="str">
            <v>As a certified member of the World Fair Trade Organization, Les Jardins de Gaïa is committed to fairer trade and meets the requirements of fair trade. For more information: www.wfto.com.</v>
          </cell>
          <cell r="J612" t="str">
            <v>Loose leaf tea</v>
          </cell>
          <cell r="K612" t="str">
            <v>/</v>
          </cell>
          <cell r="L612"/>
        </row>
        <row r="613">
          <cell r="A613" t="str">
            <v>TM7902</v>
          </cell>
          <cell r="B613" t="str">
            <v>Tea Time</v>
          </cell>
          <cell r="C613" t="str">
            <v>/</v>
          </cell>
          <cell r="D613" t="str">
            <v>Tea Time</v>
          </cell>
          <cell r="E613" t="str">
            <v>/</v>
          </cell>
          <cell r="F613" t="str">
            <v>Organic Black Tea</v>
          </cell>
          <cell r="G613" t="str">
            <v>Ingredient: black tea*. *From organic farming.</v>
          </cell>
          <cell r="H613" t="str">
            <v>/</v>
          </cell>
          <cell r="I613" t="str">
            <v>As a certified member of the World Fair Trade Organization, Les Jardins de Gaïa is committed to fairer trade and meets the requirements of fair trade. For more information: www.wfto.com.</v>
          </cell>
          <cell r="J613" t="str">
            <v>Loose leaf tea</v>
          </cell>
          <cell r="K613" t="str">
            <v>/</v>
          </cell>
          <cell r="L613"/>
        </row>
        <row r="614">
          <cell r="A614" t="str">
            <v>TN2102</v>
          </cell>
          <cell r="B614" t="str">
            <v>Teesta</v>
          </cell>
          <cell r="C614" t="str">
            <v>FTGFOP1 FF 
Top Quality - Ex. 16.03.2023
cultivar Teesta China</v>
          </cell>
          <cell r="D614" t="str">
            <v>Teesta</v>
          </cell>
          <cell r="E614" t="str">
            <v>FTGFOP1 FF 
Top Quality - Ex. 16.03.2023
cultivar Teesta China</v>
          </cell>
          <cell r="F614" t="str">
            <v>Single Estate First Flush Organic Black Tea</v>
          </cell>
          <cell r="G614" t="str">
            <v>Ingredient: black tea*. *From organic farming.</v>
          </cell>
          <cell r="H614" t="str">
            <v>/</v>
          </cell>
          <cell r="I614" t="str">
            <v>/</v>
          </cell>
          <cell r="J614" t="str">
            <v>Loose leaf tea</v>
          </cell>
          <cell r="K614" t="str">
            <v>/</v>
          </cell>
          <cell r="L614"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615">
          <cell r="A615" t="str">
            <v>TA6832</v>
          </cell>
          <cell r="B615" t="str">
            <v>Tendres moments</v>
          </cell>
          <cell r="C615" t="str">
            <v>Vanille</v>
          </cell>
          <cell r="D615" t="str">
            <v xml:space="preserve">Tender Moments </v>
          </cell>
          <cell r="E615" t="str">
            <v>Vanilla</v>
          </cell>
          <cell r="F615" t="str">
            <v>Organic Flavoured Green Tea</v>
          </cell>
          <cell r="G615" t="str">
            <v xml:space="preserve">Ingredients: green tea*, vanilla extract* 4%, vanilla pieces* 2%, marigold petals*. *From organic farming. </v>
          </cell>
          <cell r="H615" t="str">
            <v>/</v>
          </cell>
          <cell r="I615" t="str">
            <v>As a certified member of the World Fair Trade Organization, Les Jardins de Gaïa is committed to fairer trade and meets the requirements of fair trade. For more information: www.wfto.com.</v>
          </cell>
          <cell r="J615" t="str">
            <v>Loose leaf tea</v>
          </cell>
          <cell r="K615" t="str">
            <v>/</v>
          </cell>
          <cell r="L615"/>
        </row>
        <row r="616">
          <cell r="A616" t="str">
            <v>TM0046</v>
          </cell>
          <cell r="B616" t="str">
            <v>Terre d'Afrique</v>
          </cell>
          <cell r="C616" t="str">
            <v>Lemongrass - Cannelle - Piment</v>
          </cell>
          <cell r="D616" t="str">
            <v>African Soil</v>
          </cell>
          <cell r="E616" t="str">
            <v>Lemongrass - Cinnamon - Chilli</v>
          </cell>
          <cell r="F616" t="str">
            <v>Organic Herbal Tea and Spices Infusion</v>
          </cell>
          <cell r="G616" t="str">
            <v>Ingrédients : lemongrass* 42%, cinnamon* 38%, sunflower petals*, green pepper*, black pepper*, chilli* 2%. *From organic farming.</v>
          </cell>
          <cell r="H616" t="str">
            <v>/</v>
          </cell>
          <cell r="I616" t="str">
            <v>/</v>
          </cell>
          <cell r="J616" t="str">
            <v>Loose Infusion</v>
          </cell>
          <cell r="K616" t="str">
            <v>/</v>
          </cell>
          <cell r="L616" t="str">
            <v>/</v>
          </cell>
        </row>
        <row r="617">
          <cell r="A617" t="str">
            <v>TUTM0046</v>
          </cell>
          <cell r="B617" t="str">
            <v>Terre d'Afrique</v>
          </cell>
          <cell r="C617" t="str">
            <v>Lemongrass - Cannelle - Piment</v>
          </cell>
          <cell r="D617" t="str">
            <v>African Soil</v>
          </cell>
          <cell r="E617" t="str">
            <v>Lemongrass - Cinnamon - Chilli</v>
          </cell>
          <cell r="F617" t="str">
            <v>Organic Herbal Tea and Spices Infusion</v>
          </cell>
          <cell r="G617" t="str">
            <v>Ingrédients : lemongrass* 42%, cinnamon* 38%, sunflower petals*, green pepper*, black pepper*, chilli* 2%. *From organic farming.</v>
          </cell>
          <cell r="H617" t="str">
            <v>/</v>
          </cell>
          <cell r="I617" t="str">
            <v>/</v>
          </cell>
          <cell r="J617" t="str">
            <v>Loose Infusion</v>
          </cell>
          <cell r="K617" t="str">
            <v>/</v>
          </cell>
          <cell r="L617" t="str">
            <v>/</v>
          </cell>
        </row>
        <row r="618">
          <cell r="A618" t="str">
            <v>TA4152</v>
          </cell>
          <cell r="B618" t="str">
            <v>Thé de l'Avent</v>
          </cell>
          <cell r="C618" t="str">
            <v>Cacao - Cannelle - Saveur vanille</v>
          </cell>
          <cell r="D618" t="str">
            <v xml:space="preserve">Merry, Merry Tea </v>
          </cell>
          <cell r="E618" t="str">
            <v>Cocoa - Cinnamon - Vanilla flavour</v>
          </cell>
          <cell r="F618" t="str">
            <v>Organic Flavoured Blended Teas</v>
          </cell>
          <cell r="G618" t="str">
            <v xml:space="preserve">Ingredients: blend of teas (black tea*, green tea*), natural vanilla flavouring* 5%, cinnamon* 3%, cocoa barks* 2%, orange peels*, marigold petals*. *From organic farming. </v>
          </cell>
          <cell r="H618" t="str">
            <v>/</v>
          </cell>
          <cell r="I618" t="str">
            <v>As a certified member of the World Fair Trade Organization, Les Jardins de Gaïa is committed to fairer trade and meets the requirements of fair trade. For more information: www.wfto.com.</v>
          </cell>
          <cell r="J618" t="str">
            <v>Loose leaf tea</v>
          </cell>
          <cell r="K618" t="str">
            <v>/</v>
          </cell>
          <cell r="L618"/>
        </row>
        <row r="619">
          <cell r="A619" t="str">
            <v>TA7222</v>
          </cell>
          <cell r="B619" t="str">
            <v>Thé de Noël</v>
          </cell>
          <cell r="C619" t="str">
            <v>Orange - Épices</v>
          </cell>
          <cell r="D619" t="str">
            <v>Christmas Tea</v>
          </cell>
          <cell r="E619" t="str">
            <v>Orange - Spices</v>
          </cell>
          <cell r="F619" t="str">
            <v>Organic Flavoured Black Tea</v>
          </cell>
          <cell r="G619" t="str">
            <v>Ingredients: black tea*, fruit (orange peels* 4%, apple pieces*, rosehip*), spices (cinnamon*, ginger*, cloves*, black pepper*, cardamom*) 7%, hibiscus*, essential oils (sweet orange*, blood orange*) 1%, flaked almonds*, natural apple flavouring*, cinnamon extract*. *From organic farming.
Noel 2024
Ingredients: black tea*, spices (cinnamon*, ginger*, cloves*, black pepper*, cardamom*) 14%,  fruit pieces (orange peels* 6%, apple pieces*, rosehip*), hibiscus*, essential oils 1% (sweet orange*, blood orange*) 1,5%, flaked almonds*, natural apple flavouring*, cinnamon extract* 0,5%. *From organic farming.</v>
          </cell>
          <cell r="H619" t="str">
            <v>/</v>
          </cell>
          <cell r="I619" t="str">
            <v>As a certified member of the World Fair Trade Organization, Les Jardins de Gaïa is committed to fairer trade and meets the requirements of fair trade. For more information: www.wfto.com.</v>
          </cell>
          <cell r="J619" t="str">
            <v>Loose leaf tea</v>
          </cell>
          <cell r="K619" t="str">
            <v>/</v>
          </cell>
          <cell r="L619"/>
        </row>
        <row r="620">
          <cell r="A620" t="str">
            <v>TU7222</v>
          </cell>
          <cell r="B620" t="str">
            <v>Thé de Noël</v>
          </cell>
          <cell r="C620" t="str">
            <v>Orange - Épices</v>
          </cell>
          <cell r="D620" t="str">
            <v>Christmas Tea</v>
          </cell>
          <cell r="E620" t="str">
            <v>Orange - Spices</v>
          </cell>
          <cell r="F620" t="str">
            <v>Organic Flavoured Black Tea</v>
          </cell>
          <cell r="G620" t="str">
            <v>Ingredients: black tea*, fruit (orange peels* 4%, apple pieces*, rosehip*), spices (cinnamon*, ginger*, cloves*, black pepper*, cardamom*) 7%, hibiscus*, essential oils (sweet orange*, blood orange*) 1%, flaked almonds*, natural apple flavouring*, cinnamon extract*. *From organic farming.
Noel 2024
Ingredients: black tea*, spices (cinnamon*, ginger*, cloves*, black pepper*, cardamom*) 14%,  fruit pieces (orange peels* 6%, apple pieces*, rosehip*), hibiscus*, essential oils 1% (sweet orange*, blood orange*) 1,5%, flaked almonds*, natural apple flavouring*, cinnamon extract* 0,5%. *From organic farming.</v>
          </cell>
          <cell r="H620" t="str">
            <v>/</v>
          </cell>
          <cell r="I620" t="str">
            <v>As a certified member of the World Fair Trade Organization, Les Jardins de Gaïa is committed to fairer trade and meets the requirements of fair trade. For more information: www.wfto.com.</v>
          </cell>
          <cell r="J620" t="str">
            <v>Loose leaf tea</v>
          </cell>
          <cell r="K620" t="str">
            <v>/</v>
          </cell>
          <cell r="L620"/>
        </row>
        <row r="621">
          <cell r="A621" t="str">
            <v>TA7222</v>
          </cell>
          <cell r="B621" t="str">
            <v>Thé d'hiver</v>
          </cell>
          <cell r="C621" t="str">
            <v>Orange - Épices</v>
          </cell>
          <cell r="D621" t="str">
            <v>Winter Tea</v>
          </cell>
          <cell r="E621" t="str">
            <v>Orange - Spices</v>
          </cell>
          <cell r="F621" t="str">
            <v>Organic Flavoured Black Tea</v>
          </cell>
          <cell r="G621" t="str">
            <v>Ingredients: black tea*, fruit (orange peels* 4%, apple pieces*, rosehip*), spices (cinnamon*, ginger*, cloves*, black pepper*, cardamom*) 7%, hibiscus*, essential oils (sweet orange*, blood orange*) 1%, flaked almonds*, natural apple flavouring*, cinnamon extract*. *From organic farming.
Noel 2024
Ingredients: black tea*, spices (cinnamon*, ginger*, cloves*, black pepper*, cardamom*) 14%,  fruit pieces (orange peels* 6%, apple pieces*, rosehip*), hibiscus*, essential oils (sweet orange*, blood orange*) 1,5%, flaked almonds*, natural apple flavouring*, cinnamon extract* 0,5%. *From organic farming.</v>
          </cell>
          <cell r="H621" t="str">
            <v>/</v>
          </cell>
          <cell r="I621" t="str">
            <v>As a certified member of the World Fair Trade Organization, Les Jardins de Gaïa is committed to fairer trade and meets the requirements of fair trade. For more information: www.wfto.com.</v>
          </cell>
          <cell r="J621" t="str">
            <v>Loose leaf tea</v>
          </cell>
          <cell r="K621" t="str">
            <v>/</v>
          </cell>
          <cell r="L621"/>
        </row>
        <row r="622">
          <cell r="A622" t="str">
            <v>TA6102</v>
          </cell>
          <cell r="B622" t="str">
            <v>Thé et Humanisme</v>
          </cell>
          <cell r="C622" t="str">
            <v>Basilic - Saveur fraise</v>
          </cell>
          <cell r="D622" t="str">
            <v>Tea and Humanism</v>
          </cell>
          <cell r="E622" t="str">
            <v>Basil - Strawberry flavour</v>
          </cell>
          <cell r="F622" t="str">
            <v>Organic Flavoured Green Tea</v>
          </cell>
          <cell r="G622" t="str">
            <v>Ingredients: green tea*, basil* 9%, natural strawberry flavouring* 3%, orange peels*,  cornflower petals*, lemon essential oil*. *From organic farming.</v>
          </cell>
          <cell r="H622" t="str">
            <v>/</v>
          </cell>
          <cell r="I622" t="str">
            <v>As a certified member of the World Fair Trade Organization, Les Jardins de Gaïa is committed to fairer trade and meets the requirements of fair trade. For more information: www.wfto.com.</v>
          </cell>
          <cell r="J622" t="str">
            <v>Loose leaf tea</v>
          </cell>
          <cell r="K622" t="str">
            <v>/</v>
          </cell>
          <cell r="L622"/>
        </row>
        <row r="623">
          <cell r="A623" t="str">
            <v>TV4022</v>
          </cell>
          <cell r="B623" t="str">
            <v>Thé vert à la rose</v>
          </cell>
          <cell r="C623" t="str">
            <v xml:space="preserve">Mei Gui Hua Cha 玫瑰花茶 </v>
          </cell>
          <cell r="D623" t="str">
            <v>Rose Green Tea</v>
          </cell>
          <cell r="E623" t="str">
            <v xml:space="preserve">Mei Gui Hua Cha 玫瑰花茶 </v>
          </cell>
          <cell r="F623" t="str">
            <v>Organic Scented Green Tea</v>
          </cell>
          <cell r="G623" t="str">
            <v>Ingredient: rose green tea*. *From organic farming.</v>
          </cell>
          <cell r="H623" t="str">
            <v>/</v>
          </cell>
          <cell r="I623" t="str">
            <v>/</v>
          </cell>
          <cell r="J623" t="str">
            <v>Loose leaf tea</v>
          </cell>
          <cell r="K623" t="str">
            <v>/</v>
          </cell>
          <cell r="L623"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624">
          <cell r="A624" t="str">
            <v>TUTV7352</v>
          </cell>
          <cell r="B624" t="str">
            <v>Thé vert au jasmin</v>
          </cell>
          <cell r="C624" t="str">
            <v>Cimes duveteuses
Mo Li Mao Feng Cha 茉莉毛峰茶</v>
          </cell>
          <cell r="D624" t="str">
            <v>Jasmine Green Tea</v>
          </cell>
          <cell r="E624" t="str">
            <v>Downy peaks
Mo Li Mao Feng Cha 茉莉毛峰茶</v>
          </cell>
          <cell r="F624" t="str">
            <v>Organic Scented Green Tea</v>
          </cell>
          <cell r="G624" t="str">
            <v>Ingredient: jasmine green tea*. *From organic farming.</v>
          </cell>
          <cell r="H624" t="str">
            <v>/</v>
          </cell>
          <cell r="I624" t="str">
            <v>/</v>
          </cell>
          <cell r="J624" t="str">
            <v>Loose leaf tea</v>
          </cell>
          <cell r="K624" t="str">
            <v>/</v>
          </cell>
          <cell r="L624"/>
        </row>
        <row r="625">
          <cell r="A625" t="str">
            <v>TJ2022</v>
          </cell>
          <cell r="B625" t="str">
            <v>Thé vert au yuzu</v>
          </cell>
          <cell r="C625" t="str">
            <v>Thé vert et yuzu du Japon</v>
          </cell>
          <cell r="D625" t="str">
            <v>Yuzu Green Tea</v>
          </cell>
          <cell r="E625" t="str">
            <v>Japanese green tea and yuzu</v>
          </cell>
          <cell r="F625" t="str">
            <v>Organic Flavoured Green Tea</v>
          </cell>
          <cell r="G625" t="str">
            <v>Ingredients: green tea*, yuzu* 21%, natural lime flavouring* 1%. *From organic farming.</v>
          </cell>
          <cell r="H625" t="str">
            <v>/</v>
          </cell>
          <cell r="I625" t="str">
            <v>/</v>
          </cell>
          <cell r="J625" t="str">
            <v>Loose leaf tea</v>
          </cell>
          <cell r="K625" t="str">
            <v>/</v>
          </cell>
          <cell r="L625"/>
        </row>
        <row r="626">
          <cell r="A626" t="str">
            <v>TUTV4342</v>
          </cell>
          <cell r="B626" t="str">
            <v>Thé vert de Corée</v>
          </cell>
          <cell r="C626" t="str">
            <v>Sencha</v>
          </cell>
          <cell r="D626" t="str">
            <v>Korean Green Tea</v>
          </cell>
          <cell r="E626" t="str">
            <v>Sencha</v>
          </cell>
          <cell r="F626" t="str">
            <v>Organic Original Green Tea</v>
          </cell>
          <cell r="G626" t="str">
            <v>Ingredient: green tea*. *From organic farming.</v>
          </cell>
          <cell r="H626" t="str">
            <v>/</v>
          </cell>
          <cell r="I626" t="str">
            <v>/</v>
          </cell>
          <cell r="J626" t="str">
            <v>Loose leaf tea</v>
          </cell>
          <cell r="K626" t="str">
            <v>/</v>
          </cell>
          <cell r="L626"/>
        </row>
        <row r="627">
          <cell r="A627" t="str">
            <v>TH2212</v>
          </cell>
          <cell r="B627" t="str">
            <v>Thym Citronné</v>
          </cell>
          <cell r="C627" t="str">
            <v>/</v>
          </cell>
          <cell r="D627" t="str">
            <v>Lemon thyme</v>
          </cell>
          <cell r="E627" t="str">
            <v>Expectorant &amp; Digestive</v>
          </cell>
          <cell r="F627" t="str">
            <v>Organic Herbal Tea Infusion</v>
          </cell>
          <cell r="G627" t="str">
            <v>Ingredient: lemon thyme* (Thymus citriodorus). *From organic farming.</v>
          </cell>
          <cell r="H627" t="str">
            <v>/</v>
          </cell>
          <cell r="I627" t="str">
            <v>/</v>
          </cell>
          <cell r="J627" t="str">
            <v>Loose Infusion</v>
          </cell>
          <cell r="K627" t="str">
            <v>/</v>
          </cell>
          <cell r="L627" t="str">
            <v>/</v>
          </cell>
        </row>
        <row r="628">
          <cell r="A628" t="str">
            <v>TH0602</v>
          </cell>
          <cell r="B628" t="str">
            <v>Thym vulgaire</v>
          </cell>
          <cell r="C628" t="str">
            <v>Expectorante &amp; Digestive</v>
          </cell>
          <cell r="D628" t="str">
            <v>Commonn Thyme</v>
          </cell>
          <cell r="E628" t="str">
            <v>Expectorant &amp; Digestive</v>
          </cell>
          <cell r="F628" t="str">
            <v>Organic Herbal Tea Infusion</v>
          </cell>
          <cell r="G628" t="str">
            <v>Ingredient: thyme* (Thymus vulgaris). *From organic farming.</v>
          </cell>
          <cell r="H628"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628" t="str">
            <v>/</v>
          </cell>
          <cell r="J628" t="str">
            <v>Loose Infusion</v>
          </cell>
          <cell r="K628" t="str">
            <v>/</v>
          </cell>
          <cell r="L628" t="str">
            <v>/</v>
          </cell>
        </row>
        <row r="629">
          <cell r="A629" t="str">
            <v>TO1152</v>
          </cell>
          <cell r="B629" t="str">
            <v>Tie Guan Yin</v>
          </cell>
          <cell r="C629" t="str">
            <v>Déesse en fer de la miséricorde 铁观音</v>
          </cell>
          <cell r="D629" t="str">
            <v>Tie Guan Yin</v>
          </cell>
          <cell r="E629" t="str">
            <v>Goddess of Mercy 铁观音</v>
          </cell>
          <cell r="F629" t="str">
            <v>Organic Original Wu Long Tea</v>
          </cell>
          <cell r="G629" t="str">
            <v>Ingredient: wu long tea*. *From organic farming.</v>
          </cell>
          <cell r="H629" t="str">
            <v>/</v>
          </cell>
          <cell r="I629" t="str">
            <v>As a certified member of the World Fair Trade Organization, Les Jardins de Gaïa is committed to fairer trade and meets the requirements of fair trade. For more information: www.wfto.com.</v>
          </cell>
          <cell r="J629" t="str">
            <v>Loose leaf tea</v>
          </cell>
          <cell r="K629" t="str">
            <v>/</v>
          </cell>
          <cell r="L629"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630">
          <cell r="A630" t="str">
            <v>TO1156</v>
          </cell>
          <cell r="B630" t="str">
            <v>Tie Guan Yin</v>
          </cell>
          <cell r="C630" t="str">
            <v>Déesse en fer de la miséricorde 铁观音</v>
          </cell>
          <cell r="D630" t="str">
            <v>Tie Guan Yin</v>
          </cell>
          <cell r="E630" t="str">
            <v>Goddess of Mercy 铁观音</v>
          </cell>
          <cell r="F630" t="str">
            <v>Organic Original Wu Long Tea</v>
          </cell>
          <cell r="G630" t="str">
            <v>Ingredient: wu long tea*. *From organic farming.</v>
          </cell>
          <cell r="H630" t="str">
            <v>/</v>
          </cell>
          <cell r="I630" t="str">
            <v>As a certified member of the World Fair Trade Organization, Les Jardins de Gaïa is committed to fairer trade and meets the requirements of fair trade. For more information: www.wfto.com.</v>
          </cell>
          <cell r="J630" t="str">
            <v>Loose leaf tea</v>
          </cell>
          <cell r="K630" t="str">
            <v>/</v>
          </cell>
          <cell r="L630"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631">
          <cell r="A631" t="str">
            <v>TO1143</v>
          </cell>
          <cell r="B631" t="str">
            <v>Tie Guan Yin</v>
          </cell>
          <cell r="C631" t="str">
            <v>Déesse en fer de la miséricorde 铁观音</v>
          </cell>
          <cell r="D631" t="str">
            <v>Tie Guan Yin</v>
          </cell>
          <cell r="E631" t="str">
            <v>Goddess of Mercy 铁观音</v>
          </cell>
          <cell r="F631" t="str">
            <v>Organic Original Wu Long Tea</v>
          </cell>
          <cell r="G631" t="str">
            <v>Ingredient: wu long tea*. *From organic farming.</v>
          </cell>
          <cell r="H631" t="str">
            <v>/</v>
          </cell>
          <cell r="I631" t="str">
            <v>/</v>
          </cell>
          <cell r="J631" t="str">
            <v>Loose leaf tea</v>
          </cell>
          <cell r="K631" t="str">
            <v>Several infusions</v>
          </cell>
          <cell r="L631"/>
        </row>
        <row r="632">
          <cell r="A632" t="str">
            <v>TO1145</v>
          </cell>
          <cell r="B632" t="str">
            <v>Tie Guan Yin</v>
          </cell>
          <cell r="C632" t="str">
            <v>Déesse en fer de la miséricorde 铁观音</v>
          </cell>
          <cell r="D632" t="str">
            <v>Tie Guan Yin</v>
          </cell>
          <cell r="E632" t="str">
            <v>Goddess of Mercy 铁观音</v>
          </cell>
          <cell r="F632" t="str">
            <v>Organic Original Wu Long Tea</v>
          </cell>
          <cell r="G632" t="str">
            <v>Ingredient: wu long tea*. *From organic farming.</v>
          </cell>
          <cell r="H632" t="str">
            <v>/</v>
          </cell>
          <cell r="I632" t="str">
            <v>/</v>
          </cell>
          <cell r="J632" t="str">
            <v>Loose leaf tea</v>
          </cell>
          <cell r="K632" t="str">
            <v>Several infusions</v>
          </cell>
          <cell r="L632"/>
        </row>
        <row r="633">
          <cell r="A633" t="str">
            <v>TO1145R</v>
          </cell>
          <cell r="B633" t="str">
            <v>Tie Guan Yin</v>
          </cell>
          <cell r="C633" t="str">
            <v>Déesse en fer de la miséricorde 铁观音</v>
          </cell>
          <cell r="D633" t="str">
            <v>Tie Guan Yin</v>
          </cell>
          <cell r="E633" t="str">
            <v>Goddess of Mercy 铁观音</v>
          </cell>
          <cell r="F633" t="str">
            <v>Organic Original Wu Long Tea</v>
          </cell>
          <cell r="G633" t="str">
            <v>Ingredient: wu long tea*. *From organic farming.</v>
          </cell>
          <cell r="H633" t="str">
            <v>/</v>
          </cell>
          <cell r="I633" t="str">
            <v>/</v>
          </cell>
          <cell r="J633" t="str">
            <v>Loose leaf tea</v>
          </cell>
          <cell r="K633" t="str">
            <v>Several infusions</v>
          </cell>
          <cell r="L633"/>
        </row>
        <row r="634">
          <cell r="A634" t="str">
            <v>TH5131</v>
          </cell>
          <cell r="B634" t="str">
            <v>Tisane du jeûne</v>
          </cell>
          <cell r="C634" t="str">
            <v>Relaxante &amp; Digestive
Mélisse - Feuilles de framboisier</v>
          </cell>
          <cell r="D634" t="str">
            <v>Fasting Herbal Tea</v>
          </cell>
          <cell r="E634" t="str">
            <v>Relaxing &amp; Digestive
Lemon balm - Raspberry leaves</v>
          </cell>
          <cell r="F634" t="str">
            <v>Organic Herbal Tea Infusion</v>
          </cell>
          <cell r="G634" t="str">
            <v>Ingredients: lemon balm* 40% (Melissa officinalis), catnip* (Nepeta cataria), raspberry leaves* 13% (Rubus idaeus), hazel tree leaves* (Corylus avellana), nettle* (Urtica dioica), strawberry leaves* (Fragaria vescae), cornflower petals* (Centaurea cyanus). *From organic farming.</v>
          </cell>
          <cell r="H634" t="str">
            <v>Recommended daily consumption: five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634" t="str">
            <v>/</v>
          </cell>
          <cell r="J634" t="str">
            <v>Loose Infusion</v>
          </cell>
          <cell r="K634" t="str">
            <v>/</v>
          </cell>
          <cell r="L634" t="str">
            <v>/</v>
          </cell>
        </row>
        <row r="635">
          <cell r="A635" t="str">
            <v>TH513</v>
          </cell>
          <cell r="B635" t="str">
            <v>Tisane du jeûne</v>
          </cell>
          <cell r="C635" t="str">
            <v>Relaxante &amp; Digestive
Mélisse - Feuilles de framboisier</v>
          </cell>
          <cell r="D635" t="str">
            <v>Fasting Herbal Tea</v>
          </cell>
          <cell r="E635" t="str">
            <v>Relaxing &amp; Digestive
Lemon balm - Raspberry leaves</v>
          </cell>
          <cell r="F635" t="str">
            <v>Organic Herbal Tea Infusion</v>
          </cell>
          <cell r="G635" t="str">
            <v>Ingredients: lemon balm* 40% (Melissa officinalis), catnip* (Nepeta cataria), raspberry leaves* 13% (Rubus idaeus), hazel tree leaves* (Corylus avellana), nettle* (Urtica dioica), strawberry leaves* (Fragaria vescae), cornflower petals* (Centaurea cyanus). *From organic farming.</v>
          </cell>
          <cell r="H635" t="str">
            <v>Recommended daily consumption: five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635" t="str">
            <v>/</v>
          </cell>
          <cell r="J635" t="str">
            <v>Loose Infusion</v>
          </cell>
          <cell r="K635" t="str">
            <v>/</v>
          </cell>
          <cell r="L635" t="str">
            <v>/</v>
          </cell>
        </row>
        <row r="636">
          <cell r="A636" t="str">
            <v>TF1282</v>
          </cell>
          <cell r="B636" t="str">
            <v>Tisane Enfants</v>
          </cell>
          <cell r="C636" t="str">
            <v>Fraise - Vanille</v>
          </cell>
          <cell r="D636" t="str">
            <v>Children's Tisane</v>
          </cell>
          <cell r="E636" t="str">
            <v>Strawberry - Vanilla</v>
          </cell>
          <cell r="F636" t="str">
            <v>Organic Flavoured Fruit Tea</v>
          </cell>
          <cell r="G636" t="str">
            <v>Ingredients: fruit (apple*, strawberry* 4%), aronia berries*, strawberry leaves* 6.5%, beetroot pieces*, natural (strawberry* 5%, blueberry*) flavourings, fruit peels (rosehip*, orange*), hibiscus*, vanilla extract* 3.5%, vanilla pieces* 2.5%. *From organic farming.</v>
          </cell>
          <cell r="H636" t="str">
            <v>/</v>
          </cell>
          <cell r="I636" t="str">
            <v>/</v>
          </cell>
          <cell r="J636" t="str">
            <v>Loose infusion</v>
          </cell>
          <cell r="K636" t="str">
            <v>/</v>
          </cell>
          <cell r="L636" t="str">
            <v>/</v>
          </cell>
        </row>
        <row r="637">
          <cell r="A637" t="str">
            <v>TA7152</v>
          </cell>
          <cell r="B637" t="str">
            <v>Tonic tonight</v>
          </cell>
          <cell r="C637" t="str">
            <v>Gingembre - Guarana - Ginseng</v>
          </cell>
          <cell r="D637" t="str">
            <v xml:space="preserve">Tonic tonight </v>
          </cell>
          <cell r="E637" t="str">
            <v>Ginger - Guarana - Ginseng</v>
          </cell>
          <cell r="F637" t="str">
            <v>Organic Flavoured Black Tea</v>
          </cell>
          <cell r="G637" t="str">
            <v xml:space="preserve">Ingredients: black tea*, ginger* 4%, guarana* 3%, ginseng* 2%, bergamot essential oil*. *From organic farming. </v>
          </cell>
          <cell r="H637" t="str">
            <v>/</v>
          </cell>
          <cell r="I637" t="str">
            <v>As a certified member of the World Fair Trade Organization, Les Jardins de Gaïa is committed to fairer trade and meets the requirements of fair trade. For more information: www.wfto.com.</v>
          </cell>
          <cell r="J637" t="str">
            <v>Loose leaf tea</v>
          </cell>
          <cell r="K637" t="str">
            <v>/</v>
          </cell>
          <cell r="L637"/>
        </row>
        <row r="638">
          <cell r="A638" t="str">
            <v>TR2262</v>
          </cell>
          <cell r="B638" t="str">
            <v>Tout feu tout flamme</v>
          </cell>
          <cell r="C638" t="str">
            <v>Orange</v>
          </cell>
          <cell r="D638" t="str">
            <v xml:space="preserve">Ablaze </v>
          </cell>
          <cell r="E638" t="str">
            <v>Orange</v>
          </cell>
          <cell r="F638" t="str">
            <v>Organic Flavoured Rooibos</v>
          </cell>
          <cell r="G638" t="str">
            <v>Ingredients: rooibos*, orange peels* 13.5%, sweet orange essential oil* 2.5%. *From organic farming.</v>
          </cell>
          <cell r="H638" t="str">
            <v>/</v>
          </cell>
          <cell r="I638" t="str">
            <v>As a certified member of the World Fair Trade Organization, Les Jardins de Gaïa is committed to fairer trade and meets the requirements of fair trade. For more information: www.wfto.com.</v>
          </cell>
          <cell r="J638" t="str">
            <v>Loose rooibos</v>
          </cell>
          <cell r="K638" t="str">
            <v>/</v>
          </cell>
          <cell r="L638" t="str">
            <v>/</v>
          </cell>
        </row>
        <row r="639">
          <cell r="A639" t="str">
            <v>TH1291</v>
          </cell>
          <cell r="B639" t="str">
            <v>Tulsi</v>
          </cell>
          <cell r="C639" t="str">
            <v>Respiratoire - Basilic sacré</v>
          </cell>
          <cell r="D639" t="str">
            <v>Tulsi</v>
          </cell>
          <cell r="E639" t="str">
            <v>Respiratory - Holy basil</v>
          </cell>
          <cell r="F639" t="str">
            <v>Organic Herbal Tea Infusion</v>
          </cell>
          <cell r="G639" t="str">
            <v>Ingredient: tulsi* (Ocimum tenuiflorum). *From organic farming.</v>
          </cell>
          <cell r="H639"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639" t="str">
            <v>/</v>
          </cell>
          <cell r="J639" t="str">
            <v>Loose Infusion</v>
          </cell>
          <cell r="K639" t="str">
            <v>/</v>
          </cell>
          <cell r="L639" t="str">
            <v>/</v>
          </cell>
        </row>
        <row r="640">
          <cell r="A640" t="str">
            <v>TH1292</v>
          </cell>
          <cell r="B640" t="str">
            <v>Tulsi</v>
          </cell>
          <cell r="C640" t="str">
            <v>Respiratoire - Basilic sacré</v>
          </cell>
          <cell r="D640" t="str">
            <v>Tulsi</v>
          </cell>
          <cell r="E640" t="str">
            <v>Respiratory - Holy basil</v>
          </cell>
          <cell r="F640" t="str">
            <v>Organic Herbal Tea Infusion</v>
          </cell>
          <cell r="G640" t="str">
            <v>Ingredient: tulsi* (Ocimum tenuiflorum). *From organic farming.</v>
          </cell>
          <cell r="H640"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640" t="str">
            <v>/</v>
          </cell>
          <cell r="J640" t="str">
            <v>Loose Infusion</v>
          </cell>
          <cell r="K640" t="str">
            <v>/</v>
          </cell>
          <cell r="L640" t="str">
            <v>/</v>
          </cell>
        </row>
        <row r="641">
          <cell r="A641" t="str">
            <v>TU0013</v>
          </cell>
          <cell r="B641" t="str">
            <v>Tuocha Vintage</v>
          </cell>
          <cell r="C641" t="str">
            <v>Millésime 1998</v>
          </cell>
          <cell r="D641" t="str">
            <v>Tuocha Vintage</v>
          </cell>
          <cell r="E641" t="str">
            <v>1998 Vintage</v>
          </cell>
          <cell r="F641" t="str">
            <v>Organic Original Compressed Pu'er Dark Tea</v>
          </cell>
          <cell r="G641" t="str">
            <v xml:space="preserve">Ingredient: dark tea pu'er*. *From organic farming. </v>
          </cell>
          <cell r="H641" t="str">
            <v>/</v>
          </cell>
          <cell r="I641" t="str">
            <v>/</v>
          </cell>
          <cell r="J641" t="str">
            <v>Loose leaf tea</v>
          </cell>
          <cell r="K641" t="str">
            <v>Several infusions</v>
          </cell>
          <cell r="L641" t="str">
            <v>/</v>
          </cell>
        </row>
        <row r="642">
          <cell r="A642" t="str">
            <v>TA6142</v>
          </cell>
          <cell r="B642" t="str">
            <v>Un amour de Maman</v>
          </cell>
          <cell r="C642" t="str">
            <v>Fraise - Saveur litchi</v>
          </cell>
          <cell r="D642" t="str">
            <v xml:space="preserve">Pretty Lady </v>
          </cell>
          <cell r="E642" t="str">
            <v>Strawberry - Lychee flavour</v>
          </cell>
          <cell r="F642" t="str">
            <v>Organic Flavoured Green Tea</v>
          </cell>
          <cell r="G642" t="str">
            <v>Ingredients: blend of teas (green tea*, black tea*), natural (strawberry*, lychee°) flavourings 5%, flower petals (rose*, cornflower*, sunflower*), strawberry pieces* 1%. *From organic farming. °Biocompatible flavouring.</v>
          </cell>
          <cell r="H642" t="str">
            <v>/</v>
          </cell>
          <cell r="I642" t="str">
            <v>As a certified member of the World Fair Trade Organization, Les Jardins de Gaïa is committed to fairer trade and meets the requirements of fair trade. For more information: www.wfto.com.</v>
          </cell>
          <cell r="J642" t="str">
            <v>Loose leaf tea</v>
          </cell>
          <cell r="K642" t="str">
            <v>/</v>
          </cell>
          <cell r="L642"/>
        </row>
        <row r="643">
          <cell r="A643" t="str">
            <v>TU6142</v>
          </cell>
          <cell r="B643" t="str">
            <v>Un amour de Maman</v>
          </cell>
          <cell r="C643" t="str">
            <v>Fraise - Saveur litchi</v>
          </cell>
          <cell r="D643" t="str">
            <v xml:space="preserve">Pretty Lady </v>
          </cell>
          <cell r="E643" t="str">
            <v>Strawberry - Lychee flavour</v>
          </cell>
          <cell r="F643" t="str">
            <v>Organic Flavoured Green Tea</v>
          </cell>
          <cell r="G643" t="str">
            <v>Ingredients: blend of teas (green tea*, black tea*), natural (strawberry*, lychee°) flavourings 5%, flower petals (rose*, cornflower*, sunflower*), strawberry pieces* 1%. *From organic farming. °Biocompatible flavouring.</v>
          </cell>
          <cell r="H643" t="str">
            <v>/</v>
          </cell>
          <cell r="I643" t="str">
            <v>As a certified member of the World Fair Trade Organization, Les Jardins de Gaïa is committed to fairer trade and meets the requirements of fair trade. For more information: www.wfto.com.</v>
          </cell>
          <cell r="J643" t="str">
            <v>Loose leaf tea</v>
          </cell>
          <cell r="K643" t="str">
            <v>/</v>
          </cell>
          <cell r="L643"/>
        </row>
        <row r="644">
          <cell r="A644" t="str">
            <v>TR2332</v>
          </cell>
          <cell r="B644" t="str">
            <v>Un printemps chez les San</v>
          </cell>
          <cell r="C644" t="str">
            <v>Cacao - Framboise</v>
          </cell>
          <cell r="D644" t="str">
            <v>Springtime by the San</v>
          </cell>
          <cell r="E644" t="str">
            <v>Cocoa - Raspberry</v>
          </cell>
          <cell r="F644" t="str">
            <v>Organic Flavoured Rooibos</v>
          </cell>
          <cell r="G644" t="str">
            <v xml:space="preserve">Ingredients: rooibos*, natural raspberry flavouring* 6%, cocoa barks* 4%, vanilla pieces*, raspberry pieces* 2%, amaranth*. *From organic farming. </v>
          </cell>
          <cell r="H644" t="str">
            <v>/</v>
          </cell>
          <cell r="I644" t="str">
            <v>As a certified member of the World Fair Trade Organization, Les Jardins de Gaïa is committed to fairer trade and meets the requirements of fair trade. For more information: www.wfto.com.</v>
          </cell>
          <cell r="J644" t="str">
            <v>Loose rooibos</v>
          </cell>
          <cell r="K644" t="str">
            <v>/</v>
          </cell>
          <cell r="L644" t="str">
            <v>/</v>
          </cell>
        </row>
        <row r="645">
          <cell r="A645" t="str">
            <v>TUTR2332</v>
          </cell>
          <cell r="B645" t="str">
            <v>Un printemps chez les San</v>
          </cell>
          <cell r="C645" t="str">
            <v>Cacao - Framboise</v>
          </cell>
          <cell r="D645" t="str">
            <v>Springtime by the San</v>
          </cell>
          <cell r="E645" t="str">
            <v>Cocoa - Raspberry</v>
          </cell>
          <cell r="F645" t="str">
            <v>Organic Flavoured Rooibos</v>
          </cell>
          <cell r="G645" t="str">
            <v xml:space="preserve">Ingredients: rooibos*, natural raspberry flavouring* 6%, cocoa barks* 4%, vanilla pieces*, raspberry pieces* 2%, amaranth*. *From organic farming. </v>
          </cell>
          <cell r="H645" t="str">
            <v>/</v>
          </cell>
          <cell r="I645" t="str">
            <v>As a certified member of the World Fair Trade Organization, Les Jardins de Gaïa is committed to fairer trade and meets the requirements of fair trade. For more information: www.wfto.com.</v>
          </cell>
          <cell r="J645" t="str">
            <v>Loose rooibos</v>
          </cell>
          <cell r="K645" t="str">
            <v>/</v>
          </cell>
          <cell r="L645" t="str">
            <v>/</v>
          </cell>
        </row>
        <row r="646">
          <cell r="A646" t="str">
            <v>TA5062</v>
          </cell>
          <cell r="B646" t="str">
            <v>Un thé pour Elles</v>
          </cell>
          <cell r="C646" t="str">
            <v>Saveur mirabelle – Fève tonka</v>
          </cell>
          <cell r="D646" t="str">
            <v>A Tea for Her</v>
          </cell>
          <cell r="E646" t="str">
            <v>Mirabelle plum flavour - Tonka bean</v>
          </cell>
          <cell r="F646" t="str">
            <v>Organic Flavoured Blended Teas</v>
          </cell>
          <cell r="G646" t="str">
            <v>Ingredients: white tea*, rosehips*, green tea*, tonka bean* 9%, natural mirabelle plum flavouring 5%, flower petals (amaranth*, cornflower*). *From organic farming.</v>
          </cell>
          <cell r="H646" t="str">
            <v>/</v>
          </cell>
          <cell r="I646" t="str">
            <v>As a certified member of the World Fair Trade Organization, Les Jardins de Gaïa is committed to fairer trade and meets the requirements of fair trade. For more information: www.wfto.com.</v>
          </cell>
          <cell r="J646" t="str">
            <v>Loose leaf tea</v>
          </cell>
          <cell r="K646" t="str">
            <v>/</v>
          </cell>
          <cell r="L646"/>
        </row>
        <row r="647">
          <cell r="A647" t="str">
            <v>TA9052</v>
          </cell>
          <cell r="B647" t="str">
            <v>Un thé pour l'océan</v>
          </cell>
          <cell r="C647" t="str">
            <v>Huile essentielle de citron - Menthe</v>
          </cell>
          <cell r="D647" t="str">
            <v>A Tea for the Ocean</v>
          </cell>
          <cell r="E647" t="str">
            <v>Lemon essential oil - Mint</v>
          </cell>
          <cell r="F647" t="str">
            <v>Organic Flavoured Wu Long Tea</v>
          </cell>
          <cell r="G647" t="str">
            <v xml:space="preserve">Ingredients: wu long tea*, ginger pieces*, rosemary*, peppermint* 3%, lemon essential oil* 2%, cornflower petals*. *From organic farming. </v>
          </cell>
          <cell r="H647" t="str">
            <v>/</v>
          </cell>
          <cell r="I647" t="str">
            <v>As a certified member of the World Fair Trade Organization, Les Jardins de Gaïa is committed to fairer trade and meets the requirements of fair trade. For more information: www.wfto.com.</v>
          </cell>
          <cell r="J647" t="str">
            <v>Leaf tea</v>
          </cell>
          <cell r="K647" t="str">
            <v>/</v>
          </cell>
          <cell r="L647" t="str">
            <v>/</v>
          </cell>
        </row>
        <row r="648">
          <cell r="A648" t="str">
            <v>TUTA9052</v>
          </cell>
          <cell r="B648" t="str">
            <v>Un thé pour l'océan</v>
          </cell>
          <cell r="C648" t="str">
            <v>Huile essentielle de citron - Menthe</v>
          </cell>
          <cell r="D648" t="str">
            <v>A Tea for the Ocean</v>
          </cell>
          <cell r="E648" t="str">
            <v>Lemon essential oil - Mint</v>
          </cell>
          <cell r="F648" t="str">
            <v>Organic Flavoured Wu Long Tea</v>
          </cell>
          <cell r="G648" t="str">
            <v xml:space="preserve">Ingredients: wu long tea*, ginger pieces*, rosemary*, peppermint* 3%, lemon essential oil* 2%, cornflower petals*. *From organic farming. </v>
          </cell>
          <cell r="H648" t="str">
            <v>/</v>
          </cell>
          <cell r="I648" t="str">
            <v>As a certified member of the World Fair Trade Organization, Les Jardins de Gaïa is committed to fairer trade and meets the requirements of fair trade. For more information: www.wfto.com.</v>
          </cell>
          <cell r="J648" t="str">
            <v>Leaf tea</v>
          </cell>
          <cell r="K648" t="str">
            <v>/</v>
          </cell>
          <cell r="L648" t="str">
            <v>/</v>
          </cell>
        </row>
        <row r="649">
          <cell r="A649" t="str">
            <v>TA6782</v>
          </cell>
          <cell r="B649" t="str">
            <v>Une nuit à Goa</v>
          </cell>
          <cell r="C649" t="str">
            <v xml:space="preserve">Vanille - Limette =&gt; Nouvelle recette  : noix de coco, lemongrass </v>
          </cell>
          <cell r="D649" t="str">
            <v xml:space="preserve">Night in Goa </v>
          </cell>
          <cell r="E649" t="str">
            <v xml:space="preserve">Vanille - Limette =&gt; Nouvelle recette  : coconut, lemongrass </v>
          </cell>
          <cell r="F649" t="str">
            <v>Organic Flavoured Green Tea</v>
          </cell>
          <cell r="G649" t="str">
            <v>Ingrédients : green tea*, fennel seeds*, turmeric*, natural coconut flavouring* 5%, coconut pieces* 5%, lemongrass* 4%, black pepper*, marigold petals*, moringa*. *From organic  farming.</v>
          </cell>
          <cell r="H649" t="str">
            <v>/</v>
          </cell>
          <cell r="I649" t="str">
            <v>As a certified member of the World Fair Trade Organization, Les Jardins de Gaïa is committed to fairer trade and meets the requirements of fair trade. For more information: www.wfto.com.</v>
          </cell>
          <cell r="J649" t="str">
            <v>Loose leaf tea</v>
          </cell>
          <cell r="K649" t="str">
            <v>/</v>
          </cell>
          <cell r="L649"/>
        </row>
        <row r="650">
          <cell r="A650" t="str">
            <v>TO1225</v>
          </cell>
          <cell r="B650" t="str">
            <v>Venerable Wu Long</v>
          </cell>
          <cell r="C650" t="str">
            <v>/</v>
          </cell>
          <cell r="D650" t="str">
            <v>Venerable Wu Long</v>
          </cell>
          <cell r="E650" t="str">
            <v>/</v>
          </cell>
          <cell r="F650" t="str">
            <v>Organic Original Wu Long Tea</v>
          </cell>
          <cell r="G650" t="str">
            <v>Ingredient: wu long tea*. *From organic farming.</v>
          </cell>
          <cell r="H650" t="str">
            <v>/</v>
          </cell>
          <cell r="I650" t="str">
            <v>/</v>
          </cell>
          <cell r="J650" t="str">
            <v>Loose leaf tea</v>
          </cell>
          <cell r="K650" t="str">
            <v>Several infusions</v>
          </cell>
          <cell r="L650"/>
        </row>
        <row r="651">
          <cell r="A651" t="str">
            <v>TO1222</v>
          </cell>
          <cell r="B651" t="str">
            <v>Venerable Wu Long</v>
          </cell>
          <cell r="C651" t="str">
            <v>/</v>
          </cell>
          <cell r="D651" t="str">
            <v>Venerable Wu Long</v>
          </cell>
          <cell r="E651" t="str">
            <v>/</v>
          </cell>
          <cell r="F651" t="str">
            <v>Organic Original Wu Long Tea</v>
          </cell>
          <cell r="G651" t="str">
            <v>Ingredient: wu long tea*. *From organic farming.</v>
          </cell>
          <cell r="H651" t="str">
            <v>/</v>
          </cell>
          <cell r="I651" t="str">
            <v>/</v>
          </cell>
          <cell r="J651" t="str">
            <v>Loose leaf tea</v>
          </cell>
          <cell r="K651" t="str">
            <v>Several infusions</v>
          </cell>
          <cell r="L651"/>
        </row>
        <row r="652">
          <cell r="A652" t="str">
            <v>TO1222R</v>
          </cell>
          <cell r="B652" t="str">
            <v>Venerable Wu Long</v>
          </cell>
          <cell r="C652" t="str">
            <v>/</v>
          </cell>
          <cell r="D652" t="str">
            <v>Venerable Wu Long</v>
          </cell>
          <cell r="E652" t="str">
            <v>/</v>
          </cell>
          <cell r="F652" t="str">
            <v>Organic Original Wu Long Tea</v>
          </cell>
          <cell r="G652" t="str">
            <v>Ingredient: wu long tea*. *From organic farming.</v>
          </cell>
          <cell r="H652" t="str">
            <v>/</v>
          </cell>
          <cell r="I652" t="str">
            <v>/</v>
          </cell>
          <cell r="J652" t="str">
            <v>Loose leaf tea</v>
          </cell>
          <cell r="K652" t="str">
            <v>Several infusions</v>
          </cell>
          <cell r="L652"/>
        </row>
        <row r="653">
          <cell r="A653" t="str">
            <v>TV6602</v>
          </cell>
          <cell r="B653" t="str">
            <v>Vert de Chine</v>
          </cell>
          <cell r="C653" t="str">
            <v>Chun Xiang
Senteurs printanières</v>
          </cell>
          <cell r="D653" t="str">
            <v>Chun Xiang</v>
          </cell>
          <cell r="E653" t="str">
            <v>Spring scents</v>
          </cell>
          <cell r="F653" t="str">
            <v>Organic Original Green Tea</v>
          </cell>
          <cell r="G653" t="str">
            <v xml:space="preserve">Ingredient: green tea*. *From organic farming. </v>
          </cell>
          <cell r="H653" t="str">
            <v>/</v>
          </cell>
          <cell r="I653" t="str">
            <v>As a certified member of the World Fair Trade Organization, Les Jardins de Gaïa is committed to fairer trade and meets the requirements of fair trade. For more information: www.wfto.com.</v>
          </cell>
          <cell r="J653" t="str">
            <v>Loose leaf tea</v>
          </cell>
          <cell r="K653" t="str">
            <v>/</v>
          </cell>
          <cell r="L653"/>
        </row>
        <row r="654">
          <cell r="A654" t="str">
            <v>TH2201</v>
          </cell>
          <cell r="B654" t="str">
            <v>Verveine</v>
          </cell>
          <cell r="C654" t="str">
            <v>Fortifiante</v>
          </cell>
          <cell r="D654" t="str">
            <v>Verbena</v>
          </cell>
          <cell r="E654" t="str">
            <v>Strengthening</v>
          </cell>
          <cell r="F654" t="str">
            <v>Organic Herbal Tea Infusion</v>
          </cell>
          <cell r="G654" t="str">
            <v>Ingredient: verbena* (Aloysia citrodora). *From organic farming.</v>
          </cell>
          <cell r="H654"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654" t="str">
            <v>/</v>
          </cell>
          <cell r="J654" t="str">
            <v>Loose Infusion</v>
          </cell>
          <cell r="K654" t="str">
            <v>/</v>
          </cell>
          <cell r="L654" t="str">
            <v>/</v>
          </cell>
        </row>
        <row r="655">
          <cell r="A655" t="str">
            <v>TH220</v>
          </cell>
          <cell r="B655" t="str">
            <v>Verveine</v>
          </cell>
          <cell r="C655" t="str">
            <v>Fortifiante</v>
          </cell>
          <cell r="D655" t="str">
            <v>Verbena</v>
          </cell>
          <cell r="E655" t="str">
            <v>Strengthening</v>
          </cell>
          <cell r="F655" t="str">
            <v>Organic Herbal Tea Infusion</v>
          </cell>
          <cell r="G655" t="str">
            <v>Ingredient: verbena* (Aloysia citrodora). *From organic farming.</v>
          </cell>
          <cell r="H655"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655" t="str">
            <v>/</v>
          </cell>
          <cell r="J655" t="str">
            <v>Loose Infusion</v>
          </cell>
          <cell r="K655" t="str">
            <v>/</v>
          </cell>
          <cell r="L655" t="str">
            <v>/</v>
          </cell>
        </row>
        <row r="656">
          <cell r="A656" t="str">
            <v>TH2645</v>
          </cell>
          <cell r="B656" t="str">
            <v>Vigne rouge</v>
          </cell>
          <cell r="C656" t="str">
            <v>Circulation</v>
          </cell>
          <cell r="D656" t="str">
            <v>Red Vine</v>
          </cell>
          <cell r="E656" t="str">
            <v>Blood Circulation</v>
          </cell>
          <cell r="F656" t="str">
            <v>Organic Herbal Tea Infusion</v>
          </cell>
          <cell r="G656" t="str">
            <v>Ingredient: red vine* (Vitis vinifera). *From organic farming.</v>
          </cell>
          <cell r="H656"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656" t="str">
            <v>/</v>
          </cell>
          <cell r="J656" t="str">
            <v>Loose Infusion</v>
          </cell>
          <cell r="K656" t="str">
            <v>/</v>
          </cell>
          <cell r="L656" t="str">
            <v>/</v>
          </cell>
        </row>
        <row r="657">
          <cell r="A657" t="str">
            <v>TH2646</v>
          </cell>
          <cell r="B657" t="str">
            <v>Vigne rouge</v>
          </cell>
          <cell r="C657" t="str">
            <v>Circulation</v>
          </cell>
          <cell r="D657" t="str">
            <v>Red Vine</v>
          </cell>
          <cell r="E657" t="str">
            <v>Blood Circulation</v>
          </cell>
          <cell r="F657" t="str">
            <v>Organic Herbal Tea Infusion</v>
          </cell>
          <cell r="G657" t="str">
            <v>Ingredient: red vine* (Vitis vinifera). *From organic farming.</v>
          </cell>
          <cell r="H657" t="str">
            <v>Recommended daily consumption: three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657" t="str">
            <v>/</v>
          </cell>
          <cell r="J657" t="str">
            <v>Loose Infusion</v>
          </cell>
          <cell r="K657" t="str">
            <v>/</v>
          </cell>
          <cell r="L657" t="str">
            <v>/</v>
          </cell>
        </row>
        <row r="658">
          <cell r="A658" t="str">
            <v>TH5191</v>
          </cell>
          <cell r="B658" t="str">
            <v>Vitalité</v>
          </cell>
          <cell r="C658" t="str">
            <v>Maté</v>
          </cell>
          <cell r="D658" t="str">
            <v>Vitality</v>
          </cell>
          <cell r="E658" t="str">
            <v>Mate</v>
          </cell>
          <cell r="F658" t="str">
            <v>Organic Herbal Tea Infusion</v>
          </cell>
          <cell r="G658" t="str">
            <v>Ingredients: mate* 30% (Ilex paraguariensis), lemongrass* (Cymbopogon citratus), apple pieces* (Malus domestica), hyssop* (Hyssopus officinalis), amaranth* (Gomphrena globosa). *From organic farming.</v>
          </cell>
          <cell r="H658" t="str">
            <v>Recommended daily consumption: five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658" t="str">
            <v>/</v>
          </cell>
          <cell r="J658" t="str">
            <v>Loose Infusion</v>
          </cell>
          <cell r="K658" t="str">
            <v>/</v>
          </cell>
          <cell r="L658" t="str">
            <v>/</v>
          </cell>
        </row>
        <row r="659">
          <cell r="A659" t="str">
            <v>TH519</v>
          </cell>
          <cell r="B659" t="str">
            <v>Vitalité</v>
          </cell>
          <cell r="C659" t="str">
            <v>Maté</v>
          </cell>
          <cell r="D659" t="str">
            <v>Vitality</v>
          </cell>
          <cell r="E659" t="str">
            <v>Mate</v>
          </cell>
          <cell r="F659" t="str">
            <v>Organic Herbal Tea Infusion</v>
          </cell>
          <cell r="G659" t="str">
            <v>Ingredients: mate* 30% (Ilex paraguariensis), lemongrass* (Cymbopogon citratus), apple pieces* (Malus domestica), hyssop* (Hyssopus officinalis), amaranth* (Gomphrena globosa). *From organic farming.</v>
          </cell>
          <cell r="H659" t="str">
            <v>Recommended daily consumption: five 25cl cups.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659" t="str">
            <v>/</v>
          </cell>
          <cell r="J659" t="str">
            <v>Loose Infusion</v>
          </cell>
          <cell r="K659" t="str">
            <v>/</v>
          </cell>
          <cell r="L659" t="str">
            <v>/</v>
          </cell>
        </row>
        <row r="660">
          <cell r="A660" t="str">
            <v>TA9036</v>
          </cell>
          <cell r="B660" t="str">
            <v>Volupté d’Orient</v>
          </cell>
          <cell r="C660" t="str">
            <v>Saveur fleur d'oranger</v>
          </cell>
          <cell r="D660" t="str">
            <v>Oriental Treat</v>
          </cell>
          <cell r="E660" t="str">
            <v>Orange blossom flavour</v>
          </cell>
          <cell r="F660" t="str">
            <v>Organic Flavoured Wu long Tea</v>
          </cell>
          <cell r="G660" t="str">
            <v>Ingredients: wu long tea*, natural orange blossom flavouring* 10%, bitter orange peel and leaves*, marigold petals*. *From organic farming.</v>
          </cell>
          <cell r="H660" t="str">
            <v>/</v>
          </cell>
          <cell r="I660" t="str">
            <v>As a certified member of the World Fair Trade Organization, Les Jardins de Gaïa is committed to fairer trade and meets the requirements of fair trade. For more information: www.wfto.com.</v>
          </cell>
          <cell r="J660" t="str">
            <v>Loose leaf tea</v>
          </cell>
          <cell r="K660" t="str">
            <v>/</v>
          </cell>
          <cell r="L660"/>
        </row>
        <row r="661">
          <cell r="A661" t="str">
            <v>TN5495</v>
          </cell>
          <cell r="B661" t="str">
            <v>Waikato Melody</v>
          </cell>
          <cell r="C661" t="str">
            <v>/</v>
          </cell>
          <cell r="D661" t="str">
            <v>Waikato Melody</v>
          </cell>
          <cell r="E661" t="str">
            <v>/</v>
          </cell>
          <cell r="F661" t="str">
            <v>Organic Original Black Tea</v>
          </cell>
          <cell r="G661" t="str">
            <v>Ingredient: black tea*. *From organic farming.</v>
          </cell>
          <cell r="H661" t="str">
            <v>/</v>
          </cell>
          <cell r="I661" t="str">
            <v>/</v>
          </cell>
          <cell r="J661" t="str">
            <v>Loose leaf tea</v>
          </cell>
          <cell r="K661" t="str">
            <v>Several infusions</v>
          </cell>
          <cell r="L661" t="str">
            <v>/</v>
          </cell>
        </row>
        <row r="662">
          <cell r="A662" t="str">
            <v>TN5492</v>
          </cell>
          <cell r="B662" t="str">
            <v>Waikato Melody</v>
          </cell>
          <cell r="C662" t="str">
            <v>/</v>
          </cell>
          <cell r="D662" t="str">
            <v>Waikato Melody</v>
          </cell>
          <cell r="E662" t="str">
            <v>/</v>
          </cell>
          <cell r="F662" t="str">
            <v>Organic Original Black Tea</v>
          </cell>
          <cell r="G662" t="str">
            <v>Ingredient: black tea*. *From organic farming.</v>
          </cell>
          <cell r="H662" t="str">
            <v>/</v>
          </cell>
          <cell r="I662" t="str">
            <v>/</v>
          </cell>
          <cell r="J662" t="str">
            <v>Loose leaf tea</v>
          </cell>
          <cell r="K662" t="str">
            <v>Several infusions</v>
          </cell>
          <cell r="L662" t="str">
            <v>/</v>
          </cell>
        </row>
        <row r="663">
          <cell r="A663" t="str">
            <v>TN5492R</v>
          </cell>
          <cell r="B663" t="str">
            <v>Waikato Melody</v>
          </cell>
          <cell r="C663" t="str">
            <v>/</v>
          </cell>
          <cell r="D663" t="str">
            <v>Waikato Melody</v>
          </cell>
          <cell r="E663" t="str">
            <v>/</v>
          </cell>
          <cell r="F663" t="str">
            <v>Organic Original Black Tea</v>
          </cell>
          <cell r="G663" t="str">
            <v>Ingredient: black tea*. *From organic farming.</v>
          </cell>
          <cell r="H663" t="str">
            <v>/</v>
          </cell>
          <cell r="I663" t="str">
            <v>/</v>
          </cell>
          <cell r="J663" t="str">
            <v>Loose leaf tea</v>
          </cell>
          <cell r="K663" t="str">
            <v>Several infusions</v>
          </cell>
          <cell r="L663" t="str">
            <v>/</v>
          </cell>
        </row>
        <row r="664">
          <cell r="A664" t="str">
            <v>TV5025</v>
          </cell>
          <cell r="B664" t="str">
            <v>Waikato Pleasure</v>
          </cell>
          <cell r="C664" t="str">
            <v>/</v>
          </cell>
          <cell r="D664" t="str">
            <v>Waikato Pleasure</v>
          </cell>
          <cell r="E664" t="str">
            <v>/</v>
          </cell>
          <cell r="F664" t="str">
            <v>Organic Original Green Tea</v>
          </cell>
          <cell r="G664" t="str">
            <v>Ingredient: green tea*. *From organic farming.</v>
          </cell>
          <cell r="H664" t="str">
            <v>/</v>
          </cell>
          <cell r="I664" t="str">
            <v>/</v>
          </cell>
          <cell r="J664" t="str">
            <v>Loose leaf tea</v>
          </cell>
          <cell r="K664" t="str">
            <v>Several infusions</v>
          </cell>
          <cell r="L664"/>
        </row>
        <row r="665">
          <cell r="A665" t="str">
            <v>TV5022</v>
          </cell>
          <cell r="B665" t="str">
            <v>Waikato Pleasure</v>
          </cell>
          <cell r="C665" t="str">
            <v>/</v>
          </cell>
          <cell r="D665" t="str">
            <v>Waikato Pleasure</v>
          </cell>
          <cell r="E665" t="str">
            <v>/</v>
          </cell>
          <cell r="F665" t="str">
            <v>Organic Original Green Tea</v>
          </cell>
          <cell r="G665" t="str">
            <v>Ingredient: green tea*. *From organic farming.</v>
          </cell>
          <cell r="H665" t="str">
            <v>/</v>
          </cell>
          <cell r="I665" t="str">
            <v>/</v>
          </cell>
          <cell r="J665" t="str">
            <v>Loose leaf tea</v>
          </cell>
          <cell r="K665" t="str">
            <v>Several infusions</v>
          </cell>
          <cell r="L665"/>
        </row>
        <row r="666">
          <cell r="A666" t="str">
            <v>TV5022R</v>
          </cell>
          <cell r="B666" t="str">
            <v>Waikato Pleasure</v>
          </cell>
          <cell r="C666" t="str">
            <v>/</v>
          </cell>
          <cell r="D666" t="str">
            <v>Waikato Pleasure</v>
          </cell>
          <cell r="E666" t="str">
            <v>/</v>
          </cell>
          <cell r="F666" t="str">
            <v>Organic Original Green Tea</v>
          </cell>
          <cell r="G666" t="str">
            <v>Ingredient: green tea*. *From organic farming.</v>
          </cell>
          <cell r="H666" t="str">
            <v>/</v>
          </cell>
          <cell r="I666" t="str">
            <v>/</v>
          </cell>
          <cell r="J666" t="str">
            <v>Loose leaf tea</v>
          </cell>
          <cell r="K666" t="str">
            <v>Several infusions</v>
          </cell>
          <cell r="L666"/>
        </row>
        <row r="667">
          <cell r="A667" t="str">
            <v>TB4016</v>
          </cell>
          <cell r="B667" t="str">
            <v>White Monkey</v>
          </cell>
          <cell r="C667" t="str">
            <v>Bai Mao Hou</v>
          </cell>
          <cell r="D667" t="str">
            <v>White Monkey</v>
          </cell>
          <cell r="E667" t="str">
            <v>/</v>
          </cell>
          <cell r="F667" t="str">
            <v>Organic Original White Tea</v>
          </cell>
          <cell r="G667" t="str">
            <v xml:space="preserve">Ingredient: white tea*. *From organic farming. </v>
          </cell>
          <cell r="H667" t="str">
            <v>/</v>
          </cell>
          <cell r="I667" t="str">
            <v>As a certified member of the World Fair Trade Organization, Les Jardins de Gaïa is committed to fairer trade and meets the requirements of fair trade. For more information: www.wfto.com.</v>
          </cell>
          <cell r="J667" t="str">
            <v>Loose leaf tea</v>
          </cell>
          <cell r="K667" t="str">
            <v>/</v>
          </cell>
          <cell r="L667"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668">
          <cell r="A668" t="str">
            <v>TN3142</v>
          </cell>
          <cell r="B668" t="str">
            <v>Wild tea</v>
          </cell>
          <cell r="C668" t="str">
            <v>FTGFOP1 SF</v>
          </cell>
          <cell r="D668" t="str">
            <v>Wild tea</v>
          </cell>
          <cell r="E668" t="str">
            <v>FTGFOP1 SF</v>
          </cell>
          <cell r="F668" t="str">
            <v>Organic Original Black Tea</v>
          </cell>
          <cell r="G668" t="str">
            <v>Ingredient: black tea*. *From organic farming.</v>
          </cell>
          <cell r="H668" t="str">
            <v>/</v>
          </cell>
          <cell r="I668" t="str">
            <v>/</v>
          </cell>
          <cell r="J668" t="str">
            <v>Loose leaf tea</v>
          </cell>
          <cell r="K668" t="str">
            <v>/</v>
          </cell>
          <cell r="L668"/>
        </row>
        <row r="669">
          <cell r="A669" t="str">
            <v>TV4542</v>
          </cell>
          <cell r="B669" t="str">
            <v>Wu Lü Spécial</v>
          </cell>
          <cell r="C669" t="str">
            <v>Brume de jade 雾绿</v>
          </cell>
          <cell r="D669" t="str">
            <v>Wu Lü Special</v>
          </cell>
          <cell r="E669" t="str">
            <v>Misty jade 雾绿</v>
          </cell>
          <cell r="F669" t="str">
            <v>Organic Original Green Tea</v>
          </cell>
          <cell r="G669" t="str">
            <v>Ingredient: green tea*. *From organic farming.</v>
          </cell>
          <cell r="H669" t="str">
            <v>/</v>
          </cell>
          <cell r="I669" t="str">
            <v>As a certified member of the World Fair Trade Organization, Les Jardins de Gaïa is committed to fairer trade and meets the requirements of fair trade. For more information: www.wfto.com.</v>
          </cell>
          <cell r="J669" t="str">
            <v>Loose leaf tea</v>
          </cell>
          <cell r="K669" t="str">
            <v>Several infusions</v>
          </cell>
          <cell r="L669"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670">
          <cell r="A670" t="str">
            <v>TV4546</v>
          </cell>
          <cell r="B670" t="str">
            <v>Wu Lü Spécial</v>
          </cell>
          <cell r="C670" t="str">
            <v>Brume de jade 雾绿</v>
          </cell>
          <cell r="D670" t="str">
            <v>Wu Lü Special</v>
          </cell>
          <cell r="E670" t="str">
            <v>Misty jade 雾绿</v>
          </cell>
          <cell r="F670" t="str">
            <v>Organic Original Green Tea</v>
          </cell>
          <cell r="G670" t="str">
            <v>Ingredient: green tea*. *From organic farming.</v>
          </cell>
          <cell r="H670" t="str">
            <v>/</v>
          </cell>
          <cell r="I670" t="str">
            <v>As a certified member of the World Fair Trade Organization, Les Jardins de Gaïa is committed to fairer trade and meets the requirements of fair trade. For more information: www.wfto.com.</v>
          </cell>
          <cell r="J670" t="str">
            <v>Loose leaf tea</v>
          </cell>
          <cell r="K670" t="str">
            <v>Several infusions</v>
          </cell>
          <cell r="L670"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671">
          <cell r="A671" t="str">
            <v>TUTV4542</v>
          </cell>
          <cell r="B671" t="str">
            <v>Wu Lü Spécial</v>
          </cell>
          <cell r="C671" t="str">
            <v>Brume de jade 雾绿</v>
          </cell>
          <cell r="D671" t="str">
            <v>Wu Lü Special</v>
          </cell>
          <cell r="E671" t="str">
            <v>Misty jade 雾绿</v>
          </cell>
          <cell r="F671" t="str">
            <v>Organic Original Green Tea</v>
          </cell>
          <cell r="G671" t="str">
            <v>Ingredient: green tea*. *From organic farming.</v>
          </cell>
          <cell r="H671" t="str">
            <v>/</v>
          </cell>
          <cell r="I671" t="str">
            <v>As a certified member of the World Fair Trade Organization, Les Jardins de Gaïa is committed to fairer trade and meets the requirements of fair trade. For more information: www.wfto.com.</v>
          </cell>
          <cell r="J671" t="str">
            <v>Loose leaf tea</v>
          </cell>
          <cell r="K671" t="str">
            <v>Several infusions</v>
          </cell>
          <cell r="L671"/>
        </row>
        <row r="672">
          <cell r="A672" t="str">
            <v>TV6442</v>
          </cell>
          <cell r="B672" t="str">
            <v>Wuyuan</v>
          </cell>
          <cell r="C672" t="str">
            <v>/</v>
          </cell>
          <cell r="D672" t="str">
            <v>Wuyuan</v>
          </cell>
          <cell r="E672" t="str">
            <v>/</v>
          </cell>
          <cell r="F672" t="str">
            <v>Organic Original Green Tea</v>
          </cell>
          <cell r="G672" t="str">
            <v>Ingredient: green tea*. *From organic farming.</v>
          </cell>
          <cell r="H672" t="str">
            <v>/</v>
          </cell>
          <cell r="I672" t="str">
            <v>/</v>
          </cell>
          <cell r="J672" t="str">
            <v>Loose leaf tea</v>
          </cell>
          <cell r="K672" t="str">
            <v>/</v>
          </cell>
          <cell r="L672"/>
        </row>
        <row r="673">
          <cell r="A673" t="str">
            <v>TV1326</v>
          </cell>
          <cell r="B673" t="str">
            <v>Yellow Dragon</v>
          </cell>
          <cell r="C673" t="str">
            <v>Huang Long 黄龙</v>
          </cell>
          <cell r="D673" t="str">
            <v>Yellow Dragon</v>
          </cell>
          <cell r="E673" t="str">
            <v>Huang Long 黄龙</v>
          </cell>
          <cell r="F673" t="str">
            <v>Organic Original Yellow Tea</v>
          </cell>
          <cell r="G673" t="str">
            <v>Ingredient: yellow tea*. *From organic farming.</v>
          </cell>
          <cell r="H673" t="str">
            <v>/</v>
          </cell>
          <cell r="I673" t="str">
            <v>As a certified member of the World Fair Trade Organization, Les Jardins de Gaïa is committed to fairer trade and meets the requirements of fair trade. For more information: www.wfto.com.</v>
          </cell>
          <cell r="J673" t="str">
            <v>Loose leaf tea</v>
          </cell>
          <cell r="K673" t="str">
            <v>Several infusions</v>
          </cell>
          <cell r="L673"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674">
          <cell r="A674" t="str">
            <v>TV1255</v>
          </cell>
          <cell r="B674" t="str">
            <v>Yu Lü</v>
          </cell>
          <cell r="C674" t="str">
            <v>Rosée de jade 玉露</v>
          </cell>
          <cell r="D674" t="str">
            <v>Yu Lü</v>
          </cell>
          <cell r="E674" t="str">
            <v>Jade dew 玉露</v>
          </cell>
          <cell r="F674" t="str">
            <v>Organic Original Green Tea</v>
          </cell>
          <cell r="G674" t="str">
            <v>Ingredient: green tea*. *From organic farming.</v>
          </cell>
          <cell r="H674" t="str">
            <v>/</v>
          </cell>
          <cell r="I674" t="str">
            <v>As a certified member of the World Fair Trade Organization, Les Jardins de Gaïa is committed to fairer trade and meets the requirements of fair trade. For more information: www.wfto.com.</v>
          </cell>
          <cell r="J674" t="str">
            <v>Loose leaf tea</v>
          </cell>
          <cell r="K674" t="str">
            <v>/</v>
          </cell>
          <cell r="L674"/>
        </row>
        <row r="675">
          <cell r="A675" t="str">
            <v>TV1252</v>
          </cell>
          <cell r="B675" t="str">
            <v>Yu Lü</v>
          </cell>
          <cell r="C675" t="str">
            <v>Rosée de jade 玉露</v>
          </cell>
          <cell r="D675" t="str">
            <v>Yu Lü</v>
          </cell>
          <cell r="E675" t="str">
            <v>Jade dew 玉露</v>
          </cell>
          <cell r="F675" t="str">
            <v>Organic Original Green Tea</v>
          </cell>
          <cell r="G675" t="str">
            <v>Ingredient: green tea*. *From organic farming.</v>
          </cell>
          <cell r="H675" t="str">
            <v>/</v>
          </cell>
          <cell r="I675" t="str">
            <v>As a certified member of the World Fair Trade Organization, Les Jardins de Gaïa is committed to fairer trade and meets the requirements of fair trade. For more information: www.wfto.com.</v>
          </cell>
          <cell r="J675" t="str">
            <v>Loose leaf tea</v>
          </cell>
          <cell r="K675" t="str">
            <v>/</v>
          </cell>
          <cell r="L675"/>
        </row>
        <row r="676">
          <cell r="A676" t="str">
            <v>TV1252R</v>
          </cell>
          <cell r="B676" t="str">
            <v>Yu Lü</v>
          </cell>
          <cell r="C676" t="str">
            <v>Rosée de jade 玉露</v>
          </cell>
          <cell r="D676" t="str">
            <v>Yu Lü</v>
          </cell>
          <cell r="E676" t="str">
            <v>Jade dew 玉露</v>
          </cell>
          <cell r="F676" t="str">
            <v>Organic Original Green Tea</v>
          </cell>
          <cell r="G676" t="str">
            <v>Ingredient: green tea*. *From organic farming.</v>
          </cell>
          <cell r="H676" t="str">
            <v>/</v>
          </cell>
          <cell r="I676" t="str">
            <v>As a certified member of the World Fair Trade Organization, Les Jardins de Gaïa is committed to fairer trade and meets the requirements of fair trade. For more information: www.wfto.com.</v>
          </cell>
          <cell r="J676" t="str">
            <v>Loose leaf tea</v>
          </cell>
          <cell r="K676" t="str">
            <v>/</v>
          </cell>
          <cell r="L676"/>
        </row>
        <row r="677">
          <cell r="A677" t="str">
            <v>TN4022</v>
          </cell>
          <cell r="B677" t="str">
            <v>Yunnan</v>
          </cell>
          <cell r="C677" t="str">
            <v>FOP</v>
          </cell>
          <cell r="D677" t="str">
            <v>Yunnan</v>
          </cell>
          <cell r="E677" t="str">
            <v>FOP</v>
          </cell>
          <cell r="F677" t="str">
            <v>Organic Original Black Tea</v>
          </cell>
          <cell r="G677" t="str">
            <v xml:space="preserve">Ingredient: black tea*. *From organic farming. </v>
          </cell>
          <cell r="H677" t="str">
            <v>/</v>
          </cell>
          <cell r="I677" t="str">
            <v>As a certified member of the World Fair Trade Organization, Les Jardins de Gaïa is committed to fairer trade and meets the requirements of fair trade. For more information: www.wfto.com.</v>
          </cell>
          <cell r="J677" t="str">
            <v>Loose leaf tea</v>
          </cell>
          <cell r="K677" t="str">
            <v>/</v>
          </cell>
          <cell r="L677"/>
        </row>
        <row r="678">
          <cell r="A678" t="str">
            <v>TN4052</v>
          </cell>
          <cell r="B678" t="str">
            <v>Yunnan d'Or</v>
          </cell>
          <cell r="C678" t="str">
            <v>金云南</v>
          </cell>
          <cell r="D678" t="str">
            <v>Golden Yunnan</v>
          </cell>
          <cell r="E678" t="str">
            <v>金云南</v>
          </cell>
          <cell r="F678" t="str">
            <v>Organic Original Black Tea</v>
          </cell>
          <cell r="G678" t="str">
            <v xml:space="preserve">Ingredient: black tea*. *From organic farming. </v>
          </cell>
          <cell r="H678" t="str">
            <v>/</v>
          </cell>
          <cell r="I678" t="str">
            <v>As a certified member of the World Fair Trade Organization, Les Jardins de Gaïa is committed to fairer trade and meets the requirements of fair trade. For more information: www.wfto.com.</v>
          </cell>
          <cell r="J678" t="str">
            <v>Loose leaf tea</v>
          </cell>
          <cell r="K678" t="str">
            <v>/</v>
          </cell>
          <cell r="L678"/>
        </row>
        <row r="679">
          <cell r="A679" t="str">
            <v>TV1232</v>
          </cell>
          <cell r="B679" t="str">
            <v>Yunnan Green</v>
          </cell>
          <cell r="C679" t="str">
            <v>/</v>
          </cell>
          <cell r="D679" t="str">
            <v>Yunnan Green</v>
          </cell>
          <cell r="E679" t="str">
            <v>/</v>
          </cell>
          <cell r="F679" t="str">
            <v>Organic Original Green Tea</v>
          </cell>
          <cell r="G679" t="str">
            <v>Ingredient: green tea*. *From organic farming.</v>
          </cell>
          <cell r="H679" t="str">
            <v>/</v>
          </cell>
          <cell r="I679" t="str">
            <v>As a certified member of the World Fair Trade Organization, Les Jardins de Gaïa is committed to fairer trade and meets the requirements of fair trade. For more information: www.wfto.com.</v>
          </cell>
          <cell r="J679" t="str">
            <v>Loose leaf tea</v>
          </cell>
          <cell r="K679" t="str">
            <v>/</v>
          </cell>
          <cell r="L679"/>
        </row>
        <row r="680">
          <cell r="A680" t="str">
            <v>TV1316</v>
          </cell>
          <cell r="B680" t="str">
            <v>Yunnan Green Special</v>
          </cell>
          <cell r="C680" t="str">
            <v>/</v>
          </cell>
          <cell r="D680" t="str">
            <v>Yunnan Green Special</v>
          </cell>
          <cell r="E680" t="str">
            <v>/</v>
          </cell>
          <cell r="F680" t="str">
            <v>Organic Original Green Tea</v>
          </cell>
          <cell r="G680" t="str">
            <v>Ingredient: green tea*. *From organic farming.</v>
          </cell>
          <cell r="H680" t="str">
            <v>/</v>
          </cell>
          <cell r="I680" t="str">
            <v>As a certified member of the World Fair Trade Organization, Les Jardins de Gaïa is committed to fairer trade and meets the requirements of fair trade. For more information: www.wfto.com.</v>
          </cell>
          <cell r="J680" t="str">
            <v>Loose leaf tea</v>
          </cell>
          <cell r="K680" t="str">
            <v>Several infusions</v>
          </cell>
          <cell r="L680" t="str">
            <v xml:space="preserve">We have been pioneers and tea experts since we first began in 1994, offering a complete range, the fruits of a marriage of nature and creativity. Our organic, fair trade teas, tisanes and spices are delicious and perfectly reflect the diversity of a garden in full bloom and of work appreciated for its true value. Prepare to be enchanted! </v>
          </cell>
        </row>
        <row r="681">
          <cell r="A681" t="str">
            <v>TA6722</v>
          </cell>
          <cell r="B681" t="str">
            <v>Zone 51</v>
          </cell>
          <cell r="C681" t="str">
            <v>Mangue - Gingembre</v>
          </cell>
          <cell r="D681" t="str">
            <v>Area 51</v>
          </cell>
          <cell r="E681" t="str">
            <v>Mango - Ginger</v>
          </cell>
          <cell r="F681" t="str">
            <v>Organic Flavoured Green Tea</v>
          </cell>
          <cell r="G681" t="str">
            <v>Ingredients: green tea*, natural (mango* 4%, peach*) flavourings, ginger pieces* 4%, mango pieces* 3%, guarana*, orange peels*, white ginseng*, lemon essential oil*. *From organic farming.</v>
          </cell>
          <cell r="H681" t="str">
            <v>/</v>
          </cell>
          <cell r="I681" t="str">
            <v>/</v>
          </cell>
          <cell r="J681" t="str">
            <v>Loose leaf tea</v>
          </cell>
          <cell r="K681" t="str">
            <v>/</v>
          </cell>
          <cell r="L681"/>
        </row>
        <row r="682">
          <cell r="A682" t="str">
            <v>TR2142</v>
          </cell>
          <cell r="B682" t="str">
            <v>Zoulou Digest</v>
          </cell>
          <cell r="C682" t="str">
            <v>Digestion
Carvi - Fenouil - Anis</v>
          </cell>
          <cell r="D682" t="str">
            <v>Zulu Spices</v>
          </cell>
          <cell r="E682" t="str">
            <v>Digestive
Carraway - Fennel - Anise</v>
          </cell>
          <cell r="F682" t="str">
            <v>Organic Perfumed Rooibos</v>
          </cell>
          <cell r="G682" t="str">
            <v>Ingredients: rooibos*, carraway* 8%, fennel* 6%, anise* 6%, coriander*. *From organic farming.</v>
          </cell>
          <cell r="H682" t="str">
            <v>Recommended daily consumption: 1.5L.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682" t="str">
            <v>As a certified member of the World Fair Trade Organization, Les Jardins de Gaïa is committed to fairer trade and meets the requirements of fair trade. For more information: www.wfto.com.</v>
          </cell>
          <cell r="J682" t="str">
            <v>Loose rooibos</v>
          </cell>
          <cell r="K682" t="str">
            <v>/</v>
          </cell>
          <cell r="L682" t="str">
            <v>/</v>
          </cell>
        </row>
        <row r="683">
          <cell r="A683" t="str">
            <v>TUTR2142</v>
          </cell>
          <cell r="B683" t="str">
            <v>Zoulou Digest</v>
          </cell>
          <cell r="C683" t="str">
            <v>Digestion
Carvi - Fenouil - Anis</v>
          </cell>
          <cell r="D683" t="str">
            <v>Zulu Spices</v>
          </cell>
          <cell r="E683" t="str">
            <v>Digestive
Carraway - Fennel - Anise</v>
          </cell>
          <cell r="F683" t="str">
            <v>Organic Perfumed Rooibos</v>
          </cell>
          <cell r="G683" t="str">
            <v>Ingredients: rooibos*, carraway* 8%, fennel* 6%, anise* 6%, coriander*. *From organic farming.</v>
          </cell>
          <cell r="H683" t="str">
            <v>Recommended daily consumption: 1.5L.
To fully enjoy the benefits of this infusion it is recommended that you adopt a healthy lifestyle and a varied and balanced diet. Nutritional information per 100 ml: energy 3kJ/1kcal. This infusion contains negligible amounts of fat such as saturated fat, and of carbohydrates including sugars, proteins and salt.</v>
          </cell>
          <cell r="I683" t="str">
            <v>As a certified member of the World Fair Trade Organization, Les Jardins de Gaïa is committed to fairer trade and meets the requirements of fair trade. For more information: www.wfto.com.</v>
          </cell>
          <cell r="J683" t="str">
            <v>Loose rooibos</v>
          </cell>
          <cell r="K683" t="str">
            <v>/</v>
          </cell>
          <cell r="L683" t="str">
            <v>/</v>
          </cell>
        </row>
      </sheetData>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 et EN"/>
      <sheetName val="LISTE EXPORT"/>
      <sheetName val="Rajouts FR"/>
      <sheetName val="IA_TRADS EN"/>
      <sheetName val="IA_Rajouts EN"/>
      <sheetName val="Compositions EN"/>
      <sheetName val="notes traductions"/>
    </sheetNames>
    <sheetDataSet>
      <sheetData sheetId="0"/>
      <sheetData sheetId="1">
        <row r="1">
          <cell r="A1" t="str">
            <v>Gamme France
Code Art</v>
          </cell>
          <cell r="B1" t="str">
            <v>DÉNOMINATION FR</v>
          </cell>
          <cell r="C1" t="str">
            <v>Gamme export anglais
Code art</v>
          </cell>
          <cell r="D1" t="str">
            <v>DENOMINATION EN</v>
          </cell>
          <cell r="E1" t="str">
            <v>Priorité</v>
          </cell>
        </row>
        <row r="2">
          <cell r="A2" t="str">
            <v>TB4036</v>
          </cell>
          <cell r="B2" t="str">
            <v>Bai Mu Dan Premium</v>
          </cell>
          <cell r="C2" t="str">
            <v>TB4036EN</v>
          </cell>
          <cell r="D2" t="str">
            <v>Bai Mu Dan Premium</v>
          </cell>
          <cell r="E2">
            <v>3</v>
          </cell>
        </row>
        <row r="3">
          <cell r="A3" t="str">
            <v>TA5046</v>
          </cell>
          <cell r="B3" t="str">
            <v>Come on baby</v>
          </cell>
          <cell r="C3" t="str">
            <v>TA5046EN</v>
          </cell>
          <cell r="D3" t="str">
            <v>Come on baby</v>
          </cell>
          <cell r="E3">
            <v>2</v>
          </cell>
        </row>
        <row r="4">
          <cell r="A4" t="str">
            <v>TA5056</v>
          </cell>
          <cell r="B4" t="str">
            <v>Neige au soleil</v>
          </cell>
          <cell r="C4" t="str">
            <v>TA5056EN</v>
          </cell>
          <cell r="D4" t="str">
            <v>Sunshine in the snow</v>
          </cell>
          <cell r="E4">
            <v>4</v>
          </cell>
        </row>
        <row r="5">
          <cell r="A5" t="str">
            <v>TA5016</v>
          </cell>
          <cell r="B5" t="str">
            <v>Rêve de Femme</v>
          </cell>
          <cell r="C5" t="str">
            <v>TA5016EN</v>
          </cell>
          <cell r="D5" t="str">
            <v>A woman's dream</v>
          </cell>
          <cell r="E5">
            <v>1</v>
          </cell>
        </row>
        <row r="6">
          <cell r="A6" t="str">
            <v>TA5036</v>
          </cell>
          <cell r="B6" t="str">
            <v>Rêve éveillé de Gaïa</v>
          </cell>
          <cell r="C6" t="str">
            <v>TA5036EN</v>
          </cell>
          <cell r="D6" t="str">
            <v>Dream of Gaïa's awakening</v>
          </cell>
          <cell r="E6">
            <v>2</v>
          </cell>
        </row>
        <row r="7">
          <cell r="A7" t="str">
            <v>TV3332</v>
          </cell>
          <cell r="B7" t="str">
            <v>Gampola Green</v>
          </cell>
          <cell r="C7" t="str">
            <v>TV3332EN</v>
          </cell>
          <cell r="D7" t="str">
            <v xml:space="preserve">Gampola Green
</v>
          </cell>
          <cell r="E7">
            <v>3</v>
          </cell>
        </row>
        <row r="8">
          <cell r="A8" t="str">
            <v>TV4212</v>
          </cell>
          <cell r="B8" t="str">
            <v>Sencha Chine</v>
          </cell>
          <cell r="C8" t="str">
            <v>TV4212EN</v>
          </cell>
          <cell r="D8" t="str">
            <v xml:space="preserve">Sencha China
</v>
          </cell>
          <cell r="E8">
            <v>1</v>
          </cell>
        </row>
        <row r="9">
          <cell r="A9" t="str">
            <v>TV6482</v>
          </cell>
          <cell r="B9" t="str">
            <v>Chun Mee Moon Palace</v>
          </cell>
          <cell r="C9" t="str">
            <v>TV6482EN</v>
          </cell>
          <cell r="D9" t="str">
            <v xml:space="preserve">Chun Mee Moon Palace
</v>
          </cell>
          <cell r="E9">
            <v>3</v>
          </cell>
        </row>
        <row r="10">
          <cell r="A10" t="str">
            <v>TV6492</v>
          </cell>
          <cell r="B10" t="str">
            <v>Gunpowder</v>
          </cell>
          <cell r="C10" t="str">
            <v>TV6492EN</v>
          </cell>
          <cell r="D10" t="str">
            <v xml:space="preserve">Gunpowder
</v>
          </cell>
          <cell r="E10">
            <v>3</v>
          </cell>
        </row>
        <row r="11">
          <cell r="A11" t="str">
            <v>TV6586</v>
          </cell>
          <cell r="B11" t="str">
            <v>Sencha Premium</v>
          </cell>
          <cell r="C11" t="str">
            <v>TV6586EN</v>
          </cell>
          <cell r="D11" t="str">
            <v>Sencha premium</v>
          </cell>
          <cell r="E11">
            <v>1</v>
          </cell>
        </row>
        <row r="12">
          <cell r="A12" t="str">
            <v>TV7362</v>
          </cell>
          <cell r="B12" t="str">
            <v>Jasmine Flowers</v>
          </cell>
          <cell r="C12" t="str">
            <v>TV7362EN</v>
          </cell>
          <cell r="D12" t="str">
            <v xml:space="preserve">Jasmine Flowers </v>
          </cell>
          <cell r="E12">
            <v>1</v>
          </cell>
        </row>
        <row r="13">
          <cell r="A13" t="str">
            <v>TA6142</v>
          </cell>
          <cell r="B13" t="str">
            <v>Un amour de Maman</v>
          </cell>
          <cell r="C13" t="str">
            <v>TA6142EN</v>
          </cell>
          <cell r="D13" t="str">
            <v xml:space="preserve">Pretty Lady </v>
          </cell>
          <cell r="E13">
            <v>3</v>
          </cell>
        </row>
        <row r="14">
          <cell r="A14" t="str">
            <v>TA6152</v>
          </cell>
          <cell r="B14" t="str">
            <v>Douceur exotique</v>
          </cell>
          <cell r="C14" t="str">
            <v>TA6152EN</v>
          </cell>
          <cell r="D14" t="str">
            <v>Mambo Mango</v>
          </cell>
          <cell r="E14">
            <v>3</v>
          </cell>
        </row>
        <row r="15">
          <cell r="A15" t="str">
            <v>TA6162</v>
          </cell>
          <cell r="B15" t="str">
            <v>Oiseau lune</v>
          </cell>
          <cell r="C15" t="str">
            <v>TA6162EN</v>
          </cell>
          <cell r="D15" t="str">
            <v>Moon bird</v>
          </cell>
          <cell r="E15">
            <v>2</v>
          </cell>
        </row>
        <row r="16">
          <cell r="A16" t="str">
            <v>TA6752</v>
          </cell>
          <cell r="B16" t="str">
            <v>Lady Yang Guifei</v>
          </cell>
          <cell r="C16" t="str">
            <v>TA6752EN</v>
          </cell>
          <cell r="D16" t="str">
            <v>Lady Yang Guifei</v>
          </cell>
          <cell r="E16">
            <v>3</v>
          </cell>
        </row>
        <row r="17">
          <cell r="A17" t="str">
            <v>TA6812</v>
          </cell>
          <cell r="B17" t="str">
            <v>Earl Grey vert</v>
          </cell>
          <cell r="C17" t="str">
            <v>TA6812EN</v>
          </cell>
          <cell r="D17" t="str">
            <v>Earl Green</v>
          </cell>
          <cell r="E17">
            <v>3</v>
          </cell>
        </row>
        <row r="18">
          <cell r="A18" t="str">
            <v>TA6822</v>
          </cell>
          <cell r="B18" t="str">
            <v>L’O à la bouche</v>
          </cell>
          <cell r="C18" t="str">
            <v>TA6822EN</v>
          </cell>
          <cell r="D18" t="str">
            <v>Tang'O</v>
          </cell>
          <cell r="E18">
            <v>1</v>
          </cell>
        </row>
        <row r="19">
          <cell r="A19" t="str">
            <v>TA6922</v>
          </cell>
          <cell r="B19" t="str">
            <v>Océan de fraîcheur</v>
          </cell>
          <cell r="C19" t="str">
            <v>TA6922EN</v>
          </cell>
          <cell r="D19" t="str">
            <v>A sea of freshness</v>
          </cell>
          <cell r="E19">
            <v>1</v>
          </cell>
        </row>
        <row r="20">
          <cell r="A20" t="str">
            <v>TA6952</v>
          </cell>
          <cell r="B20" t="str">
            <v>Printemps à Kyoto</v>
          </cell>
          <cell r="C20" t="str">
            <v>TA6952EN</v>
          </cell>
          <cell r="D20" t="str">
            <v>Springtime in Kyoto</v>
          </cell>
          <cell r="E20">
            <v>3</v>
          </cell>
        </row>
        <row r="21">
          <cell r="A21" t="str">
            <v>TA7012</v>
          </cell>
          <cell r="B21" t="str">
            <v>Summer Vibration</v>
          </cell>
          <cell r="C21" t="str">
            <v>TA7012EN</v>
          </cell>
          <cell r="D21" t="str">
            <v>Summer Vibration</v>
          </cell>
          <cell r="E21">
            <v>2</v>
          </cell>
        </row>
        <row r="22">
          <cell r="A22" t="str">
            <v>TJ2012</v>
          </cell>
          <cell r="B22" t="str">
            <v>Le thé des Samouraïs</v>
          </cell>
          <cell r="C22" t="str">
            <v>TJ2012EN</v>
          </cell>
          <cell r="D22" t="str">
            <v>Samourai tea</v>
          </cell>
          <cell r="E22">
            <v>1</v>
          </cell>
        </row>
        <row r="23">
          <cell r="A23" t="str">
            <v>TM0242</v>
          </cell>
          <cell r="B23" t="str">
            <v>Blanche rose et Rose rouge</v>
          </cell>
          <cell r="C23" t="str">
            <v>TM0242EN</v>
          </cell>
          <cell r="D23" t="str">
            <v>White rose and Red rose
Rose</v>
          </cell>
          <cell r="E23">
            <v>3</v>
          </cell>
        </row>
        <row r="24">
          <cell r="A24" t="str">
            <v>TM6932</v>
          </cell>
          <cell r="B24" t="str">
            <v>Parfum de Médina</v>
          </cell>
          <cell r="C24" t="str">
            <v>TM6932EN</v>
          </cell>
          <cell r="D24" t="str">
            <v>Around the Medina</v>
          </cell>
          <cell r="E24">
            <v>3</v>
          </cell>
        </row>
        <row r="25">
          <cell r="A25" t="str">
            <v>TA9026</v>
          </cell>
          <cell r="B25" t="str">
            <v>Le pouvoir des fleurs</v>
          </cell>
          <cell r="C25" t="str">
            <v>TA9026EN</v>
          </cell>
          <cell r="D25" t="str">
            <v>The flower power</v>
          </cell>
          <cell r="E25">
            <v>1</v>
          </cell>
        </row>
        <row r="26">
          <cell r="A26" t="str">
            <v>TA9052</v>
          </cell>
          <cell r="B26" t="str">
            <v>Un thé pour l'océan</v>
          </cell>
          <cell r="C26" t="str">
            <v>TA9052EN</v>
          </cell>
          <cell r="D26" t="str">
            <v>A tea for the Ocean</v>
          </cell>
          <cell r="E26">
            <v>2</v>
          </cell>
        </row>
        <row r="27">
          <cell r="A27" t="str">
            <v>TM7832</v>
          </cell>
          <cell r="B27" t="str">
            <v>English Breakfast</v>
          </cell>
          <cell r="C27" t="str">
            <v>TM7832EN</v>
          </cell>
          <cell r="D27" t="str">
            <v xml:space="preserve">English Breakfast
</v>
          </cell>
          <cell r="E27">
            <v>1</v>
          </cell>
        </row>
        <row r="28">
          <cell r="A28" t="str">
            <v>TM7882</v>
          </cell>
          <cell r="B28" t="str">
            <v>… Mon Amour</v>
          </cell>
          <cell r="C28" t="str">
            <v>TM7882EN</v>
          </cell>
          <cell r="D28" t="str">
            <v xml:space="preserve">… Mon Amour
</v>
          </cell>
          <cell r="E28">
            <v>1</v>
          </cell>
        </row>
        <row r="29">
          <cell r="A29" t="str">
            <v>TN2292</v>
          </cell>
          <cell r="B29" t="str">
            <v>Le jour se lève</v>
          </cell>
          <cell r="C29" t="str">
            <v>TN2292EN</v>
          </cell>
          <cell r="D29" t="str">
            <v xml:space="preserve">It's a new day </v>
          </cell>
          <cell r="E29">
            <v>1</v>
          </cell>
        </row>
        <row r="30">
          <cell r="A30" t="str">
            <v>TN3122</v>
          </cell>
          <cell r="B30" t="str">
            <v xml:space="preserve">Putharjhora </v>
          </cell>
          <cell r="C30" t="str">
            <v>TN3122EN</v>
          </cell>
          <cell r="D30" t="str">
            <v xml:space="preserve">Putharjhora </v>
          </cell>
          <cell r="E30">
            <v>3</v>
          </cell>
        </row>
        <row r="31">
          <cell r="A31" t="str">
            <v>TN3252</v>
          </cell>
          <cell r="B31" t="str">
            <v xml:space="preserve">Gaïa Bari Potong </v>
          </cell>
          <cell r="C31" t="str">
            <v>TN3252EN</v>
          </cell>
          <cell r="D31" t="str">
            <v>Gaïa Bari Potong</v>
          </cell>
          <cell r="E31">
            <v>1</v>
          </cell>
        </row>
        <row r="32">
          <cell r="A32" t="str">
            <v>TN4032</v>
          </cell>
          <cell r="B32" t="str">
            <v xml:space="preserve">Keemun </v>
          </cell>
          <cell r="C32" t="str">
            <v>TN4032EN</v>
          </cell>
          <cell r="D32" t="str">
            <v xml:space="preserve">Keemun </v>
          </cell>
          <cell r="E32">
            <v>3</v>
          </cell>
        </row>
        <row r="33">
          <cell r="A33" t="str">
            <v>TN4102</v>
          </cell>
          <cell r="B33" t="str">
            <v>Pu'er Grade 1</v>
          </cell>
          <cell r="C33" t="str">
            <v>TN4102EN</v>
          </cell>
          <cell r="D33" t="str">
            <v>PU' ER GRADE 1</v>
          </cell>
          <cell r="E33">
            <v>1</v>
          </cell>
        </row>
        <row r="34">
          <cell r="A34" t="str">
            <v>TA7022</v>
          </cell>
          <cell r="B34" t="str">
            <v>Earl Grey</v>
          </cell>
          <cell r="C34" t="str">
            <v>TA7022EN</v>
          </cell>
          <cell r="D34" t="str">
            <v>Earl Grey</v>
          </cell>
          <cell r="E34">
            <v>1</v>
          </cell>
        </row>
        <row r="35">
          <cell r="A35" t="str">
            <v>TA7082</v>
          </cell>
          <cell r="B35" t="str">
            <v>Ramayana</v>
          </cell>
          <cell r="C35" t="str">
            <v>TA7082EN</v>
          </cell>
          <cell r="D35" t="str">
            <v>Ramayana</v>
          </cell>
          <cell r="E35">
            <v>3</v>
          </cell>
        </row>
        <row r="36">
          <cell r="A36" t="str">
            <v>TA7102</v>
          </cell>
          <cell r="B36" t="str">
            <v>Rock your brain</v>
          </cell>
          <cell r="C36" t="str">
            <v>TA7102EN</v>
          </cell>
          <cell r="D36" t="str">
            <v>Rock your brain</v>
          </cell>
          <cell r="E36">
            <v>2</v>
          </cell>
        </row>
        <row r="37">
          <cell r="A37" t="str">
            <v>TA7192</v>
          </cell>
          <cell r="B37" t="str">
            <v>Finest Earl Grey</v>
          </cell>
          <cell r="C37" t="str">
            <v>TA7192EN</v>
          </cell>
          <cell r="D37" t="str">
            <v>Finest Earl Grey</v>
          </cell>
          <cell r="E37">
            <v>1</v>
          </cell>
        </row>
        <row r="38">
          <cell r="A38" t="str">
            <v>TA7222</v>
          </cell>
          <cell r="B38" t="str">
            <v>Thé de Noël</v>
          </cell>
          <cell r="C38" t="str">
            <v>TA7222EN</v>
          </cell>
          <cell r="D38" t="str">
            <v>Christmas tea</v>
          </cell>
          <cell r="E38">
            <v>4</v>
          </cell>
        </row>
        <row r="39">
          <cell r="A39" t="str">
            <v>TA7252</v>
          </cell>
          <cell r="B39" t="str">
            <v>Baiser gourmand</v>
          </cell>
          <cell r="C39" t="str">
            <v>TA7252EN</v>
          </cell>
          <cell r="D39" t="str">
            <v>Sweet Kiss</v>
          </cell>
          <cell r="E39">
            <v>1</v>
          </cell>
        </row>
        <row r="40">
          <cell r="A40" t="str">
            <v>TA7332</v>
          </cell>
          <cell r="B40" t="str">
            <v>Babouchka</v>
          </cell>
          <cell r="C40" t="str">
            <v>TA7332EN</v>
          </cell>
          <cell r="D40" t="str">
            <v>Babouchka</v>
          </cell>
          <cell r="E40">
            <v>3</v>
          </cell>
        </row>
        <row r="41">
          <cell r="A41" t="str">
            <v>TA7342</v>
          </cell>
          <cell r="B41" t="str">
            <v>Masala Tchaï</v>
          </cell>
          <cell r="C41" t="str">
            <v>TA7342EN</v>
          </cell>
          <cell r="D41" t="str">
            <v>Masala Chai</v>
          </cell>
          <cell r="E41">
            <v>1</v>
          </cell>
        </row>
        <row r="42">
          <cell r="A42" t="str">
            <v>TA7452</v>
          </cell>
          <cell r="B42" t="str">
            <v>Rendez-vous amoureux</v>
          </cell>
          <cell r="C42" t="str">
            <v>TA7452EN</v>
          </cell>
          <cell r="D42" t="str">
            <v>Rendezvous</v>
          </cell>
          <cell r="E42">
            <v>3</v>
          </cell>
        </row>
        <row r="43">
          <cell r="A43" t="str">
            <v>TM1612</v>
          </cell>
          <cell r="B43" t="str">
            <v>Épices vin chaud</v>
          </cell>
          <cell r="C43" t="str">
            <v>TM1612EN</v>
          </cell>
          <cell r="D43" t="str">
            <v>Mulled wine spices</v>
          </cell>
          <cell r="E43">
            <v>4</v>
          </cell>
        </row>
        <row r="44">
          <cell r="A44" t="str">
            <v>TM1662</v>
          </cell>
          <cell r="B44" t="str">
            <v>Masala pour Tchaï</v>
          </cell>
          <cell r="C44" t="str">
            <v>TM1662EN</v>
          </cell>
          <cell r="D44" t="str">
            <v>Masala for chai</v>
          </cell>
          <cell r="E44">
            <v>3</v>
          </cell>
        </row>
        <row r="45">
          <cell r="A45" t="str">
            <v>MT3022</v>
          </cell>
          <cell r="B45" t="str">
            <v>Maté Digest</v>
          </cell>
          <cell r="C45" t="str">
            <v>MT3022EN</v>
          </cell>
          <cell r="D45" t="str">
            <v>Mate digest</v>
          </cell>
          <cell r="E45">
            <v>3</v>
          </cell>
        </row>
        <row r="46">
          <cell r="A46" t="str">
            <v>MT1002</v>
          </cell>
          <cell r="B46" t="str">
            <v>Maté vert</v>
          </cell>
          <cell r="C46" t="str">
            <v>MT1002EN</v>
          </cell>
          <cell r="D46" t="str">
            <v>Green Mate</v>
          </cell>
          <cell r="E46">
            <v>1</v>
          </cell>
        </row>
        <row r="47">
          <cell r="A47" t="str">
            <v>TF1222</v>
          </cell>
          <cell r="B47" t="str">
            <v>Le fruit qui rougit</v>
          </cell>
          <cell r="C47" t="str">
            <v>TF1222EN</v>
          </cell>
          <cell r="D47" t="str">
            <v>Blushy Fruit</v>
          </cell>
          <cell r="E47">
            <v>3</v>
          </cell>
        </row>
        <row r="48">
          <cell r="A48" t="str">
            <v>TH5226</v>
          </cell>
          <cell r="B48" t="str">
            <v>La tisane de Noël</v>
          </cell>
          <cell r="C48" t="str">
            <v>TH5226EN</v>
          </cell>
          <cell r="D48" t="str">
            <v xml:space="preserve">Christmas Herbal tea
</v>
          </cell>
          <cell r="E48">
            <v>4</v>
          </cell>
        </row>
        <row r="49">
          <cell r="A49" t="str">
            <v>TR2322</v>
          </cell>
          <cell r="B49" t="str">
            <v>Asimbonanga</v>
          </cell>
          <cell r="C49" t="str">
            <v>TR2322EN</v>
          </cell>
          <cell r="D49" t="str">
            <v>Asimbonanga</v>
          </cell>
          <cell r="E49">
            <v>3</v>
          </cell>
        </row>
        <row r="50">
          <cell r="A50" t="str">
            <v>TR2282</v>
          </cell>
          <cell r="B50" t="str">
            <v>Doudou délice</v>
          </cell>
          <cell r="C50" t="str">
            <v>TR2282EN</v>
          </cell>
          <cell r="D50" t="str">
            <v>Cuddly Delight</v>
          </cell>
          <cell r="E50">
            <v>1</v>
          </cell>
        </row>
        <row r="51">
          <cell r="A51" t="str">
            <v>TR2022</v>
          </cell>
          <cell r="B51" t="str">
            <v>Élixir des petits lutins</v>
          </cell>
          <cell r="C51" t="str">
            <v>TR2022EN</v>
          </cell>
          <cell r="D51" t="str">
            <v>With the fairies</v>
          </cell>
          <cell r="E51">
            <v>1</v>
          </cell>
        </row>
        <row r="52">
          <cell r="A52" t="str">
            <v>TR2232</v>
          </cell>
          <cell r="B52" t="str">
            <v>Ginger Lemon</v>
          </cell>
          <cell r="C52" t="str">
            <v>TR2232EN</v>
          </cell>
          <cell r="D52" t="str">
            <v>Ginger Lemon</v>
          </cell>
          <cell r="E52">
            <v>1</v>
          </cell>
        </row>
        <row r="53">
          <cell r="A53" t="str">
            <v>TR2092</v>
          </cell>
          <cell r="B53" t="str">
            <v>Lumière d'étoiles</v>
          </cell>
          <cell r="C53" t="str">
            <v>TR2092EN</v>
          </cell>
          <cell r="D53" t="str">
            <v>Starlight</v>
          </cell>
          <cell r="E53">
            <v>4</v>
          </cell>
        </row>
        <row r="54">
          <cell r="A54" t="str">
            <v>TR2002</v>
          </cell>
          <cell r="B54" t="str">
            <v>Rooibos</v>
          </cell>
          <cell r="C54" t="str">
            <v>TR2002EN</v>
          </cell>
          <cell r="D54" t="str">
            <v>Rooibos original</v>
          </cell>
          <cell r="E54">
            <v>1</v>
          </cell>
        </row>
        <row r="55">
          <cell r="A55" t="str">
            <v>TR2402</v>
          </cell>
          <cell r="B55" t="str">
            <v>Rooibos sauvage</v>
          </cell>
          <cell r="C55" t="str">
            <v>TR2402EN</v>
          </cell>
          <cell r="D55" t="str">
            <v>Wild rooibos</v>
          </cell>
          <cell r="E55">
            <v>1</v>
          </cell>
        </row>
        <row r="56">
          <cell r="A56" t="str">
            <v>TA5076</v>
          </cell>
          <cell r="B56" t="str">
            <v>Au rythme du vent</v>
          </cell>
          <cell r="C56" t="str">
            <v>TA5076EN</v>
          </cell>
          <cell r="D56"/>
          <cell r="E56">
            <v>1</v>
          </cell>
        </row>
        <row r="57">
          <cell r="A57" t="str">
            <v>TA6262</v>
          </cell>
          <cell r="B57" t="str">
            <v>Le souffle des mers</v>
          </cell>
          <cell r="C57" t="str">
            <v>TA6262EN</v>
          </cell>
          <cell r="D57"/>
          <cell r="E57">
            <v>1</v>
          </cell>
        </row>
        <row r="58">
          <cell r="A58" t="str">
            <v>TN5512</v>
          </cell>
          <cell r="B58" t="str">
            <v>La voie de l'eau</v>
          </cell>
          <cell r="C58" t="str">
            <v>TN5512EN</v>
          </cell>
          <cell r="D58"/>
          <cell r="E58">
            <v>1</v>
          </cell>
        </row>
        <row r="59">
          <cell r="A59" t="str">
            <v>TA7462</v>
          </cell>
          <cell r="B59" t="str">
            <v>L'Odyssée</v>
          </cell>
          <cell r="C59" t="str">
            <v>TA7462EN</v>
          </cell>
          <cell r="D59"/>
          <cell r="E59">
            <v>1</v>
          </cell>
        </row>
        <row r="60">
          <cell r="A60" t="str">
            <v>TM0282</v>
          </cell>
          <cell r="B60" t="str">
            <v>Dhyāna AIR</v>
          </cell>
          <cell r="C60" t="str">
            <v>TM0282EN</v>
          </cell>
          <cell r="D60" t="str">
            <v>Dhyāna AIR</v>
          </cell>
          <cell r="E60">
            <v>1</v>
          </cell>
        </row>
        <row r="61">
          <cell r="A61" t="str">
            <v>TM0256</v>
          </cell>
          <cell r="B61" t="str">
            <v>Dhyāna EAU</v>
          </cell>
          <cell r="C61" t="str">
            <v>TM0256EN</v>
          </cell>
          <cell r="D61" t="str">
            <v>Dhyāna WATER</v>
          </cell>
          <cell r="E61">
            <v>1</v>
          </cell>
        </row>
        <row r="62">
          <cell r="A62" t="str">
            <v>TM0306</v>
          </cell>
          <cell r="B62" t="str">
            <v>Dhyāna ÉVEIL</v>
          </cell>
          <cell r="C62" t="str">
            <v>TM0306EN</v>
          </cell>
          <cell r="D62" t="str">
            <v>Dhyāna AWAKENING</v>
          </cell>
          <cell r="E62">
            <v>1</v>
          </cell>
        </row>
        <row r="63">
          <cell r="A63" t="str">
            <v>TM0262</v>
          </cell>
          <cell r="B63" t="str">
            <v>Dhyāna FEU</v>
          </cell>
          <cell r="C63" t="str">
            <v>TM0262EN</v>
          </cell>
          <cell r="D63" t="str">
            <v>Dhyāna FIRE</v>
          </cell>
          <cell r="E63">
            <v>1</v>
          </cell>
        </row>
        <row r="64">
          <cell r="A64" t="str">
            <v>TM0292</v>
          </cell>
          <cell r="B64" t="str">
            <v>Dhyāna SÉRÉNITÉ</v>
          </cell>
          <cell r="C64" t="str">
            <v>TM0292EN</v>
          </cell>
          <cell r="D64" t="str">
            <v>Dhyāna SERENITY</v>
          </cell>
          <cell r="E64">
            <v>1</v>
          </cell>
        </row>
        <row r="65">
          <cell r="A65" t="str">
            <v>TM0272</v>
          </cell>
          <cell r="B65" t="str">
            <v>Dhyāna TERRE</v>
          </cell>
          <cell r="C65" t="str">
            <v>TM0272EN</v>
          </cell>
          <cell r="D65" t="str">
            <v>Dhyāna EARTH</v>
          </cell>
          <cell r="E65">
            <v>1</v>
          </cell>
        </row>
        <row r="66">
          <cell r="A66" t="str">
            <v>TH0646</v>
          </cell>
          <cell r="B66" t="str">
            <v>A PLEINS POUMONS</v>
          </cell>
          <cell r="C66" t="str">
            <v>TH0646EN</v>
          </cell>
          <cell r="D66" t="str">
            <v>Lungsful</v>
          </cell>
          <cell r="E66">
            <v>1</v>
          </cell>
        </row>
        <row r="67">
          <cell r="A67" t="str">
            <v>TH0612</v>
          </cell>
          <cell r="B67" t="str">
            <v>BONNE MINE</v>
          </cell>
          <cell r="C67" t="str">
            <v>TH0612EN</v>
          </cell>
          <cell r="D67" t="str">
            <v>Healthy glow</v>
          </cell>
          <cell r="E67">
            <v>1</v>
          </cell>
        </row>
        <row r="68">
          <cell r="A68" t="str">
            <v>TH502</v>
          </cell>
          <cell r="B68" t="str">
            <v>BONNE NUIT</v>
          </cell>
          <cell r="C68" t="str">
            <v>TH502EN</v>
          </cell>
          <cell r="D68" t="str">
            <v>Good night</v>
          </cell>
          <cell r="E68">
            <v>1</v>
          </cell>
        </row>
        <row r="69">
          <cell r="A69" t="str">
            <v>TH1502</v>
          </cell>
          <cell r="B69" t="str">
            <v>HIBISCUS</v>
          </cell>
          <cell r="C69" t="str">
            <v>TH1502EN</v>
          </cell>
          <cell r="D69" t="str">
            <v>Hibiscus</v>
          </cell>
          <cell r="E69">
            <v>1</v>
          </cell>
        </row>
        <row r="70">
          <cell r="A70" t="str">
            <v>TH0632</v>
          </cell>
          <cell r="B70" t="str">
            <v>LA SOUPLESSE DU DRAGON</v>
          </cell>
          <cell r="C70" t="str">
            <v>TH0632EN</v>
          </cell>
          <cell r="D70" t="str">
            <v>Dragon's agility</v>
          </cell>
          <cell r="E70">
            <v>1</v>
          </cell>
        </row>
        <row r="71">
          <cell r="A71" t="str">
            <v>TH0622</v>
          </cell>
          <cell r="B71" t="str">
            <v>POWERFUL</v>
          </cell>
          <cell r="C71" t="str">
            <v>TH0622EN</v>
          </cell>
          <cell r="D71" t="str">
            <v>Powerful</v>
          </cell>
          <cell r="E71">
            <v>1</v>
          </cell>
        </row>
        <row r="72">
          <cell r="A72" t="str">
            <v>TH0666</v>
          </cell>
          <cell r="B72" t="str">
            <v>PRENDS TON TEMPS</v>
          </cell>
          <cell r="C72" t="str">
            <v>TH0666EN</v>
          </cell>
          <cell r="D72" t="str">
            <v>Take it easy</v>
          </cell>
          <cell r="E72">
            <v>1</v>
          </cell>
        </row>
        <row r="73">
          <cell r="A73" t="str">
            <v>TH0652</v>
          </cell>
          <cell r="B73" t="str">
            <v>REPAS RELAX</v>
          </cell>
          <cell r="C73" t="str">
            <v>TH0652EN</v>
          </cell>
          <cell r="D73" t="str">
            <v>Tummy tum-tum</v>
          </cell>
          <cell r="E73">
            <v>1</v>
          </cell>
        </row>
        <row r="74">
          <cell r="A74" t="str">
            <v>TH1292</v>
          </cell>
          <cell r="B74" t="str">
            <v>TULSI</v>
          </cell>
          <cell r="C74" t="str">
            <v>TH1292EN</v>
          </cell>
          <cell r="D74" t="str">
            <v>Tulsi</v>
          </cell>
          <cell r="E74">
            <v>1</v>
          </cell>
        </row>
      </sheetData>
      <sheetData sheetId="2"/>
      <sheetData sheetId="3"/>
      <sheetData sheetId="4">
        <row r="1">
          <cell r="A1" t="str">
            <v>code_pf</v>
          </cell>
          <cell r="B1" t="str">
            <v>denominateur</v>
          </cell>
          <cell r="C1" t="str">
            <v>sous_des</v>
          </cell>
          <cell r="D1" t="str">
            <v>gamme</v>
          </cell>
          <cell r="E1" t="str">
            <v>sous_gamme</v>
          </cell>
          <cell r="F1" t="str">
            <v>type</v>
          </cell>
          <cell r="G1" t="str">
            <v>origine</v>
          </cell>
          <cell r="H1" t="str">
            <v>new_text</v>
          </cell>
          <cell r="I1" t="str">
            <v>association</v>
          </cell>
          <cell r="J1" t="str">
            <v>ingredients</v>
          </cell>
          <cell r="K1" t="str">
            <v>allegation</v>
          </cell>
        </row>
        <row r="2">
          <cell r="A2" t="str">
            <v>TA5036</v>
          </cell>
          <cell r="B2" t="str">
            <v>Gaïa's waking dream</v>
          </cell>
          <cell r="C2" t="str">
            <v>Ginger - Vanilla flavor</v>
          </cell>
          <cell r="D2" t="str">
            <v>THE ENGAGED</v>
          </cell>
          <cell r="E2" t="str">
            <v>TAKING ACTION FOR NATURE</v>
          </cell>
          <cell r="F2" t="str">
            <v>Flavored white tea</v>
          </cell>
          <cell r="G2" t="str">
            <v>Vietnam</v>
          </cell>
          <cell r="H2" t="str">
            <v>Born from the meeting of the sweetness and freshness of white tea with the lively, lemony character of ginger and the sensual smoothness of vanilla, this recipe is an invitation to let go and dream of a waking world that leaves room for enchantment.</v>
          </cell>
          <cell r="I2" t="str">
            <v>Since 1999, the Kokopelli association has been campaigning for the liberation of seeds and against the patenting of living organisms. www.kokopelli-semences.fr</v>
          </cell>
          <cell r="J2" t="str">
            <v>Ingredients: white tea*, ginger* 10%, vanilla extract* 4%, flower petals (rose*, mallow*, lavender*, marigold*, sunflower*, cornflower*). *Organically grown.</v>
          </cell>
          <cell r="K2" t="str">
            <v>/</v>
          </cell>
        </row>
        <row r="3">
          <cell r="A3" t="str">
            <v>TA5046</v>
          </cell>
          <cell r="B3" t="str">
            <v>Come on baby</v>
          </cell>
          <cell r="C3" t="str">
            <v>geranium, rose</v>
          </cell>
          <cell r="D3" t="str">
            <v>THE ENGAGED</v>
          </cell>
          <cell r="E3" t="str">
            <v>ACTING FOR CULTURE</v>
          </cell>
          <cell r="F3" t="str">
            <v>Flavored white tea</v>
          </cell>
          <cell r="G3" t="str">
            <v>China - Fujian Vietnam - Yen Bai</v>
          </cell>
          <cell r="H3" t="str">
            <v>Don't resist this seductive white tea creation that hides its secrets. The thousand facets of this recipe reveal themselves in a permanent game of seduction, with sensual, gourmand notes of jasmine, orange blossom and vanilla. Prepare to have your senses thrilled!</v>
          </cell>
          <cell r="I3" t="str">
            <v>Be Together Académie, an inclusive arts teaching establishment, promotes artistic inclusion and facilitates the professional integration of artists with disabilities. be-together.eu</v>
          </cell>
          <cell r="J3" t="str">
            <v>Ingredients: white tea*, jasmine green tea*, geranium* 5%, rose petals* 7%, violet flowers*, marigold petals*, extracts of (vanilla*, rose* 1%), natural orange blossom flavor*. *Organically grown.</v>
          </cell>
          <cell r="K3" t="str">
            <v>/</v>
          </cell>
        </row>
        <row r="4">
          <cell r="A4" t="str">
            <v>TA5062</v>
          </cell>
          <cell r="B4" t="str">
            <v>Tea for Elles</v>
          </cell>
          <cell r="C4" t="str">
            <v>Mirabelle plum flavor - Tonka bean</v>
          </cell>
          <cell r="D4" t="str">
            <v>THE ENGAGED</v>
          </cell>
          <cell r="F4" t="str">
            <v>Flavoured tea blend</v>
          </cell>
          <cell r="G4" t="str">
            <v>Vietnam - China</v>
          </cell>
          <cell r="H4" t="str">
            <v>This recipe, based on a blend of white and green teas, reflects a reinvented femininity. Dedicated to women who change codes with dynamism, sensitivity and talent, it offers an original, gourmet experience with notes of tonka bean and mirabelle plum.</v>
          </cell>
          <cell r="I4" t="str">
            <v>Based in Alsace, Les foulées du sourire supports victims of domestic violence and promotes gender equality. lesfouleesdusourire.com</v>
          </cell>
          <cell r="J4" t="str">
            <v>Ingredients: white tea*, rosehip bark*, green tea*, tonka bean* 9%, natural mirabelle plum flavor 5%, flower petals (amaranth*, cornflower*). *From organic farming.</v>
          </cell>
          <cell r="K4" t="str">
            <v>/</v>
          </cell>
        </row>
        <row r="5">
          <cell r="A5" t="str">
            <v>TA6162</v>
          </cell>
          <cell r="B5" t="str">
            <v>Moon bird</v>
          </cell>
          <cell r="C5" t="str">
            <v>Pear and elderflower flavors</v>
          </cell>
          <cell r="D5" t="str">
            <v>THE ENGAGED</v>
          </cell>
          <cell r="E5" t="str">
            <v>TAKING ACTION FOR NATURE</v>
          </cell>
          <cell r="F5" t="str">
            <v>Flavored green tea</v>
          </cell>
          <cell r="G5" t="str">
            <v>China</v>
          </cell>
          <cell r="H5" t="str">
            <v>This green tea, beautifully enamelled with sunflower petals and the sweet flavours of elderflower and pear, supports the protection of the curlew, the emblematic bird of the Alsatian Ried, whose curved beak is reminiscent of the moon. May its magical song accompany our tastings for many years to come!</v>
          </cell>
          <cell r="I5" t="str">
            <v>The Ligue pour la Protection des Oiseaux (LPO) has been working to protect birds and safeguard biodiversity since 1912. lpo.fr</v>
          </cell>
          <cell r="J5" t="str">
            <v>Ingredients: green tea*, natural flavors of (pear*, elderflower*) 7%, vanilla extract*, sunflower petals*. *Organically grown.</v>
          </cell>
          <cell r="K5" t="str">
            <v>/</v>
          </cell>
        </row>
        <row r="6">
          <cell r="A6" t="str">
            <v>TA6172</v>
          </cell>
          <cell r="B6" t="str">
            <v>The Hummingbird Dream</v>
          </cell>
          <cell r="C6" t="str">
            <v>Lemon essential oil - Basil</v>
          </cell>
          <cell r="D6" t="str">
            <v>THE ENGAGED</v>
          </cell>
          <cell r="E6" t="str">
            <v>ACTING FOR EDUCATION</v>
          </cell>
          <cell r="F6" t="str">
            <v>Flavored green tea</v>
          </cell>
          <cell r="G6" t="str">
            <v>Vietnam</v>
          </cell>
          <cell r="H6" t="str">
            <v>This unexpectedly invigorating recipe combines the freshness of green tea from ancient Vietnamese tea bushes with the fresh, tangy, spicy notes of a delicious lemon-basil duo. An exciting and delicious combination, ideal for taking flight and daring to bring the hummingbird's dream to life.</v>
          </cell>
          <cell r="I6" t="str">
            <v>Located in the Ardèche region of France, Les Amanins is an agro-ecological center offering activities linked to nature, ecology and the human being. lesamanins.com</v>
          </cell>
          <cell r="J6" t="str">
            <v xml:space="preserve">Ingredients: green tea*, basil* 12%, marigold petals*, lemon essential oil* 2%. *Organically grown. </v>
          </cell>
          <cell r="K6" t="str">
            <v>/</v>
          </cell>
        </row>
        <row r="7">
          <cell r="A7" t="str">
            <v>TA6182</v>
          </cell>
          <cell r="B7" t="str">
            <v>The Pied Piper</v>
          </cell>
          <cell r="C7" t="str">
            <v>Bergamot - vanilla flavors</v>
          </cell>
          <cell r="D7" t="str">
            <v>THE ENGAGED</v>
          </cell>
          <cell r="E7" t="str">
            <v>TAKING ACTION FOR NATURE</v>
          </cell>
          <cell r="F7" t="str">
            <v>Flavored green tea</v>
          </cell>
          <cell r="G7" t="str">
            <v>Vietnam</v>
          </cell>
          <cell r="H7" t="str">
            <v>The harmonious harmony of this recipe, based on green tea from ancient Vietnamese tea bushes, makes it irresistible to follow in the footsteps of Kokopelli, the charming Native American flute-playing sower. The tartness of bergamot is deliciously rounded out by vanilla. A feast for the senses!</v>
          </cell>
          <cell r="I7" t="str">
            <v>Since 1999, the Kokopelli association has been campaigning for the liberation of seeds and against the patenting of living organisms. www.kokopelli-semences.fr</v>
          </cell>
          <cell r="J7" t="str">
            <v>Ingredients: green tea*, vanilla extract* 2%, flower petals (marigold*, cornflower*, lavender*), bergamot essential oil* 1%. *Organically grown.</v>
          </cell>
          <cell r="K7" t="str">
            <v>/</v>
          </cell>
        </row>
        <row r="8">
          <cell r="A8" t="str">
            <v>TA6212</v>
          </cell>
          <cell r="B8" t="str">
            <v>Moonlit garden</v>
          </cell>
          <cell r="C8" t="str">
            <v>Tulsi - Cardamom</v>
          </cell>
          <cell r="D8" t="str">
            <v>THE ENGAGED</v>
          </cell>
          <cell r="E8" t="str">
            <v>TAKING ACTION FOR NATURE</v>
          </cell>
          <cell r="F8" t="str">
            <v>Scented green tea</v>
          </cell>
          <cell r="G8" t="str">
            <v>India</v>
          </cell>
          <cell r="H8" t="str">
            <v>A nod to the moon, whose subtle influence has always fascinated, this green tea is distinguished by the spicy aromas of holy basil, underlined by delicious notes of mandarin and cardamom. A recipe that reminds us that caring for the planet means caring for ourselves.</v>
          </cell>
          <cell r="I8" t="str">
            <v>The Biodynamie Recherche association aims to promote respect and protection of the environment through biodynamic agriculture. biodynamie-recherche.org</v>
          </cell>
          <cell r="J8" t="str">
            <v xml:space="preserve">Ingredients: green tea**, mandarin peel*, tulsi* 10%, cardamom* 9%, amaranth*. *From organic farming. **Demeter is the brand name for certified biodynamic products. </v>
          </cell>
          <cell r="K8" t="str">
            <v>/</v>
          </cell>
        </row>
        <row r="9">
          <cell r="A9" t="str">
            <v>TA6262</v>
          </cell>
          <cell r="B9" t="str">
            <v>The breath of the seas</v>
          </cell>
          <cell r="C9" t="str">
            <v>passion - pomegranate - cardamom</v>
          </cell>
          <cell r="D9" t="str">
            <v>THE TRANSPORTE A LA VOILE</v>
          </cell>
          <cell r="F9" t="str">
            <v>flavored green tea</v>
          </cell>
          <cell r="G9" t="str">
            <v>Vietnam</v>
          </cell>
          <cell r="H9" t="str">
            <v>This recipe, based on a green tea sailed from Vietnam, carries with it the inspiring breath of the seas. Like an exotic voyage, its tasting is lulled by intensely fruity flavors of pomegranate and passion fruit on a deliciously spicy cardamom background.</v>
          </cell>
          <cell r="J9" t="str">
            <v>Ingredients: green tea*, pomegranate peel* 20%, natural flavors of (pomegranate* 6%, passion fruit* 4%), cardamom* 5%, lemongrass*, passionflower* 3%. *Organically grown.</v>
          </cell>
        </row>
        <row r="10">
          <cell r="A10" t="str">
            <v>TA6742</v>
          </cell>
          <cell r="B10" t="str">
            <v>Gourmet caprice</v>
          </cell>
          <cell r="C10" t="str">
            <v>Rhubarb - Strawberry</v>
          </cell>
          <cell r="D10" t="str">
            <v>THE GREAT CLASSICS</v>
          </cell>
          <cell r="F10" t="str">
            <v>Flavored green tea</v>
          </cell>
          <cell r="G10" t="str">
            <v>China - Vietnam</v>
          </cell>
          <cell r="H10" t="str">
            <v>This gourmet caprice combines the freshness of green tea with the irresistible sweet-and-tart duo of strawberry and rhubarb on a velvety vanilla base. A recipe that can be enjoyed either as a hot or iced infusion, alone or with others.</v>
          </cell>
          <cell r="J10" t="str">
            <v>Ingredients: green tea*, natural flavors of (rhubarb, strawberry*) 7%, fruit pieces (rhubarb*, strawberry*) 2%, vanilla pieces*. *From organic farming.</v>
          </cell>
          <cell r="K10" t="str">
            <v>/</v>
          </cell>
        </row>
        <row r="11">
          <cell r="A11" t="str">
            <v>TA6812</v>
          </cell>
          <cell r="B11" t="str">
            <v>Earl Grey green</v>
          </cell>
          <cell r="C11" t="str">
            <v>Bergamot essential oil</v>
          </cell>
          <cell r="D11" t="str">
            <v>THE GREAT CLASSICS</v>
          </cell>
          <cell r="F11" t="str">
            <v>Flavored green tea</v>
          </cell>
          <cell r="G11" t="str">
            <v>India - China - Vietnam</v>
          </cell>
          <cell r="H11" t="str">
            <v>Delicate and balanced, this bergamot-flavored green tea is a fresh take on the traditional Earl Grey recipe. A unique taste experience, to be enjoyed both hot and iced.</v>
          </cell>
          <cell r="J11" t="str">
            <v>Ingredients: green tea*, orange peel*, bergamot essential oil* 2%. *Organically grown.</v>
          </cell>
          <cell r="K11" t="str">
            <v>/</v>
          </cell>
        </row>
        <row r="12">
          <cell r="A12" t="str">
            <v>TA6872</v>
          </cell>
          <cell r="B12" t="str">
            <v>Peach Melba</v>
          </cell>
          <cell r="C12" t="str">
            <v>Peach - Raspberry - Vanilla flavor</v>
          </cell>
          <cell r="D12" t="str">
            <v>THE GREAT CLASSICS</v>
          </cell>
          <cell r="F12" t="str">
            <v>Flavored green tea</v>
          </cell>
          <cell r="G12" t="str">
            <v>China</v>
          </cell>
          <cell r="H12" t="str">
            <v>This gourmet nod to the famous dessert combines the freshness of green tea, the velvety smoothness of peach, the tangy notes of raspberry and the sweetness of vanilla. A recipe with an intense, long-lasting flavor, to be enjoyed hot or iced. Irresistible!</v>
          </cell>
          <cell r="J12" t="str">
            <v>Ingredients: green tea*, natural flavors (peach* 4%, raspberry* 2%, strawberry*), fruit pieces (peach*, raspberry*) 3%, vanilla extract* 2%. *From organic farming.</v>
          </cell>
          <cell r="K12" t="str">
            <v>/</v>
          </cell>
        </row>
        <row r="13">
          <cell r="A13" t="str">
            <v>TA6922</v>
          </cell>
          <cell r="B13" t="str">
            <v>Ocean of freshness</v>
          </cell>
          <cell r="C13" t="str">
            <v>Citrus</v>
          </cell>
          <cell r="D13" t="str">
            <v>THE GREAT CLASSICS</v>
          </cell>
          <cell r="F13" t="str">
            <v>Flavored green tea</v>
          </cell>
          <cell r="G13" t="str">
            <v xml:space="preserve">India - China - Vietnam </v>
          </cell>
          <cell r="H13" t="str">
            <v>This marriage of the herbal flavors of green tea with the fruity, slightly acidic flavors of a citrus combination leaves no one indifferent. A veritable ocean of freshness for the taste buds, to be enjoyed either as a hot or iced infusion.</v>
          </cell>
          <cell r="J13" t="str">
            <v>Ingredients: green tea*, citrus essential oils (grapefruit*, mandarin*, sweet orange*, bergamot* and blood orange*) 3%, natural lime flavor* 1%, orange peel* 1%, mandarin peel* 1%, blue cornflower petals*. *From organic farming.</v>
          </cell>
          <cell r="K13" t="str">
            <v>/</v>
          </cell>
        </row>
        <row r="14">
          <cell r="A14" t="str">
            <v>TA6992</v>
          </cell>
          <cell r="B14" t="str">
            <v>Green Pep's</v>
          </cell>
          <cell r="C14" t="str">
            <v>Sea buckthorn - Citrus essential oils</v>
          </cell>
          <cell r="D14" t="str">
            <v>THE GREAT CLASSICS</v>
          </cell>
          <cell r="F14" t="str">
            <v>Flavored green tea</v>
          </cell>
          <cell r="G14" t="str">
            <v>China</v>
          </cell>
          <cell r="H14" t="str">
            <v>Bursting with pep and flavor, this recipe with green tea and citrus fruits, combined with the small orange berries of sea buckthorn, offers a drink with fruity aromas, punctuated by a fresh lemony note. A little treat to instantly restore your motivation!</v>
          </cell>
          <cell r="J14" t="str">
            <v xml:space="preserve">Ingredients: green tea*, sea buckthorn* 5%, citrus essential oils (sweet orange*, lemon*, blood orange*, grapefruit*, mandarin*) 2%. *From organic farming. </v>
          </cell>
          <cell r="K14" t="str">
            <v>/</v>
          </cell>
        </row>
        <row r="15">
          <cell r="A15" t="str">
            <v>TA7012</v>
          </cell>
          <cell r="B15" t="str">
            <v>Summer Vibration</v>
          </cell>
          <cell r="C15" t="str">
            <v>lemongrass, mango flavor</v>
          </cell>
          <cell r="D15" t="str">
            <v>THE ENGAGED</v>
          </cell>
          <cell r="E15" t="str">
            <v>ACTING FOR CULTURE</v>
          </cell>
          <cell r="F15" t="str">
            <v>Flavoured tea blend</v>
          </cell>
          <cell r="G15" t="str">
            <v>China - India</v>
          </cell>
          <cell r="H15" t="str">
            <v xml:space="preserve">Join the Rastafari galaxy and vibrate to the colors green, yellow and red with this black tea featuring fruity mango flavors and a hint of lemon. Sensations guaranteed throughout this aromatic "flow", before being surprised by a spicy final touch! </v>
          </cell>
          <cell r="I15" t="str">
            <v>Zone 51 is an association founded in Sélestat in 1998. Its aim is to promote and disseminate contemporary music in Alsace. zone51.net</v>
          </cell>
          <cell r="J15" t="str">
            <v>Ingredients: tea blend (black tea*, green tea*), lemongrass* 14%, natural mango flavor* 8%, pink berries*, buchu*, lemon essential oil*, marigold petals*, chili flakes*. *Organically grown.</v>
          </cell>
          <cell r="K15" t="str">
            <v>/</v>
          </cell>
        </row>
        <row r="16">
          <cell r="A16" t="str">
            <v>TA7072</v>
          </cell>
          <cell r="B16" t="str">
            <v>African ritual</v>
          </cell>
          <cell r="C16" t="str">
            <v>Coconut - Banana - Pineapple</v>
          </cell>
          <cell r="D16" t="str">
            <v>THE GREAT CLASSICS</v>
          </cell>
          <cell r="F16" t="str">
            <v>Flavored black tea</v>
          </cell>
          <cell r="G16" t="str">
            <v>India</v>
          </cell>
          <cell r="H16" t="str">
            <v>This fruity, black-tea-based recipe inspires good humor and indulgence, taking you into a warm African atmosphere. This delicious ritual is a real feast for the taste buds, deliciously punctuated by the fruity notes of coconut, banana and pineapple.</v>
          </cell>
          <cell r="J16" t="str">
            <v>Ingredients: black tea*, natural flavors of (pineapple*, coconut*, banana*) 12%, fruit pieces (coconut shavings*, pineapple*, banana*) 3%. *From organic farming.</v>
          </cell>
          <cell r="K16" t="str">
            <v>/</v>
          </cell>
        </row>
        <row r="17">
          <cell r="A17" t="str">
            <v>TA7102</v>
          </cell>
          <cell r="B17" t="str">
            <v>Rock your brain</v>
          </cell>
          <cell r="C17" t="str">
            <v>ginger, cinnamon, juniper berries</v>
          </cell>
          <cell r="D17" t="str">
            <v>THE ENGAGED</v>
          </cell>
          <cell r="E17" t="str">
            <v>ACTING FOR CULTURE</v>
          </cell>
          <cell r="F17" t="str">
            <v>Flavored black tea</v>
          </cell>
          <cell r="G17" t="str">
            <v>India</v>
          </cell>
          <cell r="H17" t="str">
            <v>Inspired by the sacred fire, this deliciously spicy black tea is sure to take your breath away! Turn up the volume and get your palate into a frenzy. Far from all taste conventions, here's the most Rock 'n' Roll of our teas!</v>
          </cell>
          <cell r="I17" t="str">
            <v>Zone 51 is an association founded in Sélestat in 1998. Its aim is to promote and disseminate contemporary music in Alsace. zone51.net</v>
          </cell>
          <cell r="J17" t="str">
            <v>Ingredients: black tea*, spices (ginger* 20%, cinnamon* 14%, cardamom*, cloves*, juniper berries* 3%, fennel*, black pepper*), mandarin peel*, marigold petals*, rose petals*. *Organically grown.</v>
          </cell>
          <cell r="K17" t="str">
            <v>/</v>
          </cell>
        </row>
        <row r="18">
          <cell r="A18" t="str">
            <v>TA7142</v>
          </cell>
          <cell r="B18" t="str">
            <v>Belle des Îles</v>
          </cell>
          <cell r="C18" t="str">
            <v>Vanilla</v>
          </cell>
          <cell r="D18" t="str">
            <v>THE GREAT CLASSICS</v>
          </cell>
          <cell r="F18" t="str">
            <v>Flavored black tea</v>
          </cell>
          <cell r="G18" t="str">
            <v>Vietnam - Yen Bai</v>
          </cell>
          <cell r="H18" t="str">
            <v>Set your sights on gourmet delights with this black tea recipe that transports you to faraway exotic lands. At the heart of this delightful beverage is the delicious encounter between the assertive character of tea and the suave, refined sweetness of vanilla. For a delicious and enchanting journey..</v>
          </cell>
          <cell r="J18" t="str">
            <v>Ingredients: black tea*, vanilla extract* 4%, vanilla pieces* 2%, marigold petals*. *Organically grown.</v>
          </cell>
          <cell r="K18" t="str">
            <v>/</v>
          </cell>
        </row>
        <row r="19">
          <cell r="A19" t="str">
            <v>TA7202</v>
          </cell>
          <cell r="B19" t="str">
            <v>Gorgée de Soleil</v>
          </cell>
          <cell r="C19" t="str">
            <v>Peach - Apricot</v>
          </cell>
          <cell r="D19" t="str">
            <v>THE GREAT CLASSICS</v>
          </cell>
          <cell r="F19" t="str">
            <v>Flavored black tea</v>
          </cell>
          <cell r="G19" t="str">
            <v>India - Sri Lanka - China</v>
          </cell>
          <cell r="H19" t="str">
            <v>Infuse your teapot with a summery ambience, with this recipe based on a selection of black teas with the fruity flavor of fine weather. Its supple, sun-drenched liquor generously distills the luminous, gourmand notes of the irresistible peach-apricot duo.</v>
          </cell>
          <cell r="J19" t="str">
            <v>Ingredients: black tea*, natural flavors (peach*, apricot*) 8%, fruit pieces (apricot*, peach*) 1%, sunflower petals*. *From organic farming.</v>
          </cell>
          <cell r="K19" t="str">
            <v>/</v>
          </cell>
        </row>
        <row r="20">
          <cell r="A20" t="str">
            <v>TA7282</v>
          </cell>
          <cell r="B20" t="str">
            <v>Taj Mahal</v>
          </cell>
          <cell r="C20" t="str">
            <v>Blackberry - vanilla flavors</v>
          </cell>
          <cell r="D20" t="str">
            <v>THE GREAT CLASSICS</v>
          </cell>
          <cell r="F20" t="str">
            <v>Flavored black tea</v>
          </cell>
          <cell r="G20" t="str">
            <v>India</v>
          </cell>
          <cell r="H20" t="str">
            <v>This black tea plunges us into the heart of mystical and mythical India, for a taste journey of beauty.  Its round, slightly spicy taste, combined with the velvety, fruity flavor of vanilla and blackberry, is as elegant as it is delicious. To be savored for moments of escape.</v>
          </cell>
          <cell r="J20" t="str">
            <v>Ingredients: black tea*, natural blackberry flavor* 7%, vanilla extract* 2%, carrot chips*, flower petals (marigold*, chamomile*). *Organically grown.</v>
          </cell>
          <cell r="K20" t="str">
            <v>/</v>
          </cell>
        </row>
        <row r="21">
          <cell r="A21" t="str">
            <v>TA7362</v>
          </cell>
          <cell r="B21" t="str">
            <v>In the footsteps of Buddha</v>
          </cell>
          <cell r="C21" t="str">
            <v>Flowers - Citrus essential oils</v>
          </cell>
          <cell r="D21" t="str">
            <v>THE GREAT CLASSICS</v>
          </cell>
          <cell r="F21" t="str">
            <v>Flavoured tea blend</v>
          </cell>
          <cell r="G21" t="str">
            <v>China</v>
          </cell>
          <cell r="H21" t="str">
            <v>With its original base of black tea and jasmine green tea, this combination of floral and fruity oriental sounds offers a gourmet and initiatory journey in the footsteps of Buddha. Let yourself be carried away by this aromatic richness that will give you a taste of Nirvana!</v>
          </cell>
          <cell r="J21" t="str">
            <v>Ingredients: tea blend (black tea*, jasmine green tea*), extracts of (vanilla*, rose*), flower petals 4% (rose*, lavender*, mallow*, marigold*, sunflower*, cornflower*), citrus essential oils (mandarin*, bergamot*) 2%, natural elderflower flavor*. *From organic farming.</v>
          </cell>
          <cell r="K21" t="str">
            <v>/</v>
          </cell>
        </row>
        <row r="22">
          <cell r="A22" t="str">
            <v>TA7372</v>
          </cell>
          <cell r="B22" t="str">
            <v>Clever as a chimpanzee</v>
          </cell>
          <cell r="C22" t="str">
            <v>Honey - Fig - Thyme flavour</v>
          </cell>
          <cell r="D22" t="str">
            <v>THE ENGAGED</v>
          </cell>
          <cell r="E22" t="str">
            <v>TAKING ACTION FOR NATURE</v>
          </cell>
          <cell r="F22" t="str">
            <v>Flavored black tea</v>
          </cell>
          <cell r="G22" t="str">
            <v>Uganda - South Africa</v>
          </cell>
          <cell r="H22" t="str">
            <v>Based on an excellent Ugandan black tea, this gentle black tea recipe is dedicated to our clever and endearing "cousins". Its flavors of thyme and honey pleasantly surprise the palate, before giving way to delicious notes of fig, which chimpanzees love..</v>
          </cell>
          <cell r="I22" t="str">
            <v>The association Projet pour la Conservation des Grands Singes (PCGS) works to protect wild chimpanzees and their tropical forest habitats. helloasso.com/associations/projet-pour-la-conservation-des-grands-singes</v>
          </cell>
          <cell r="J22" t="str">
            <v xml:space="preserve">Ingredients: black tea*, honeybush*, fig pieces* 19%, natural fig flavor (fig 5%, honey* 4%), thyme* 1%, marigold petals*. *From organic farming. </v>
          </cell>
          <cell r="K22" t="str">
            <v>/</v>
          </cell>
        </row>
        <row r="23">
          <cell r="A23" t="str">
            <v>TA7402</v>
          </cell>
          <cell r="B23" t="str">
            <v>Hymn to the Earth</v>
          </cell>
          <cell r="C23" t="str">
            <v>Blueberry - blackcurrant flavors</v>
          </cell>
          <cell r="D23" t="str">
            <v>THE ENGAGED</v>
          </cell>
          <cell r="E23" t="str">
            <v>ACTING FOR EDUCATION</v>
          </cell>
          <cell r="F23" t="str">
            <v>Flavored black tea</v>
          </cell>
          <cell r="G23" t="str">
            <v>Vietnam</v>
          </cell>
          <cell r="H23" t="str">
            <v>The warmly hued infusion of this recipe, made with black tea from ancient Vietnamese tea bushes, is a delicious hymn to the earth. Like a caress, the fruity flavors of the blueberry-cassis duo delicately envelop the palate. A generosity to be enjoyed at any moment!</v>
          </cell>
          <cell r="I23" t="str">
            <v>Located in the Ardèche region of France, Les Amanins is an agro-ecological center offering activities linked to nature, ecology and the human being. lesamanins.com</v>
          </cell>
          <cell r="J23" t="str">
            <v xml:space="preserve">Ingredients: black tea*, natural flavors of (blueberry*, blackcurrant*) 11%, aronia*, heather*, poppy petals*. * Organically grown. </v>
          </cell>
          <cell r="K23" t="str">
            <v>/</v>
          </cell>
        </row>
        <row r="24">
          <cell r="A24" t="str">
            <v>TA7412</v>
          </cell>
          <cell r="B24" t="str">
            <v>The scent of resistance</v>
          </cell>
          <cell r="C24" t="str">
            <v>Orange essential oil - Licorice - Cocoa</v>
          </cell>
          <cell r="D24" t="str">
            <v>THE ENGAGED</v>
          </cell>
          <cell r="E24" t="str">
            <v>TAKING ACTION FOR NATURE</v>
          </cell>
          <cell r="F24" t="str">
            <v>Flavored black tea</v>
          </cell>
          <cell r="G24" t="str">
            <v>Vietnam</v>
          </cell>
          <cell r="H24" t="str">
            <v>There's something of the perfume of resistance in the farandole of flavors that surround this black tea from ancient tea bushes. Cocoa, licorice and orange, this drink is as much a feast for the taste buds as it is a source of inspiration and motivation to always act with respect for the life around us.</v>
          </cell>
          <cell r="I24" t="str">
            <v>Since 1999, the Kokopelli association has been campaigning for the liberation of seeds and against the patenting of living organisms. www.kokopelli-semences.fr</v>
          </cell>
          <cell r="J24" t="str">
            <v>Ingredients: black tea*, licorice* 13%, cocoa* 9%, orange essential oil* 3%, carrot chips*. *Organically grown. Contains licorice; people with high blood pressure should avoid excessive consumption.</v>
          </cell>
          <cell r="K24" t="str">
            <v>/</v>
          </cell>
        </row>
        <row r="25">
          <cell r="A25" t="str">
            <v>TA7432</v>
          </cell>
          <cell r="B25" t="str">
            <v>Between heaven and earth</v>
          </cell>
          <cell r="C25" t="str">
            <v>Épices - Bergamot essential oil</v>
          </cell>
          <cell r="D25" t="str">
            <v>THE ENGAGED</v>
          </cell>
          <cell r="E25" t="str">
            <v>TAKING ACTION FOR NATURE</v>
          </cell>
          <cell r="F25" t="str">
            <v>Flavored black tea</v>
          </cell>
          <cell r="G25" t="str">
            <v>India</v>
          </cell>
          <cell r="H25" t="str">
            <v>A harmonious blend of black tea and spices, underlined by a lovely note of bergamot, this particularly aromatic composition is a hymn to biodynamic farming, a method of cultivation that nurtures plants and people in perfect harmony. For a special moment between heaven and earth..</v>
          </cell>
          <cell r="I25" t="str">
            <v>The Biodynamie Recherche association aims to promote respect for and protection of the environment through biodynamic agriculture. biodynamie-recherche.org</v>
          </cell>
          <cell r="J25" t="str">
            <v xml:space="preserve">Ingredients: black tea**, spices 28% (cinnamon*, ginger*, cloves*, black pepper*, cardamom*), bergamot essential oil* 2%, marigold petals*, cornflower petals*. *Organically grown. **From organic and biodynamic agriculture. demeter is the brand name for products from certified biodynamic agriculture. </v>
          </cell>
          <cell r="K25" t="str">
            <v>/</v>
          </cell>
        </row>
        <row r="26">
          <cell r="A26" t="str">
            <v>TA9052</v>
          </cell>
          <cell r="B26" t="str">
            <v>Tea for the ocean</v>
          </cell>
          <cell r="C26" t="str">
            <v>Lemon essential oil - Mint</v>
          </cell>
          <cell r="D26" t="str">
            <v>THE ENGAGED</v>
          </cell>
          <cell r="E26" t="str">
            <v>TAKING ACTION FOR NATURE</v>
          </cell>
          <cell r="F26" t="str">
            <v>Flavored wulong tea</v>
          </cell>
          <cell r="G26" t="str">
            <v>China</v>
          </cell>
          <cell r="H26" t="str">
            <v>This original wulong tea recipe is dedicated to ocean protectors. After the lemony notes of ginger, the combination of peppermint and rosemary, the plant of sailors, brings a breath of fresh air to this deep, aromatic blue-green tea.</v>
          </cell>
          <cell r="I26" t="str">
            <v>Sea Shepherd France is an NGO working to protect all the species that inhabit our oceans. It fights against all threats to marine life. seashepherd.fr</v>
          </cell>
          <cell r="J26" t="str">
            <v xml:space="preserve">Ingredients: wulong tea*, ginger pieces*, rosemary*, peppermint* 3%, lemon essential oil* 2%, cornflower petals*. *Organically grown. </v>
          </cell>
          <cell r="K26" t="str">
            <v>/</v>
          </cell>
        </row>
        <row r="27">
          <cell r="A27" t="str">
            <v>TB3746</v>
          </cell>
          <cell r="B27" t="str">
            <v>Putharjhora Silver drops</v>
          </cell>
          <cell r="C27" t="str">
            <v>Putharjhora Garden - First Flush cultivar CP-1</v>
          </cell>
          <cell r="D27" t="str">
            <v>BONUSES</v>
          </cell>
          <cell r="F27" t="str">
            <v>Primeur white tea</v>
          </cell>
          <cell r="G27" t="str">
            <v>India - Dooars</v>
          </cell>
          <cell r="H27" t="str">
            <v>Biodynamically grown in the Putharjhora garden, this white tea made from beautiful buds delivers a velvety, harmonious, gourmet liquor. Its fresh, floral flavors, accompanied by lovely milky notes, are particularly pleasant and long on the palate.</v>
          </cell>
          <cell r="J27" t="str">
            <v xml:space="preserve">Ingredient: white tea**. **Demeter is the brand name for products from certified biodynamic agriculture. </v>
          </cell>
          <cell r="K27" t="str">
            <v>/</v>
          </cell>
        </row>
        <row r="28">
          <cell r="A28" t="str">
            <v>TB4046</v>
          </cell>
          <cell r="B28" t="str">
            <v>Ché Chun</v>
          </cell>
          <cell r="C28" t="str">
            <v>White peony</v>
          </cell>
          <cell r="D28" t="str">
            <v>THE GREAT CLASSICS</v>
          </cell>
          <cell r="F28" t="str">
            <v>Original white tea</v>
          </cell>
          <cell r="G28" t="str">
            <v>Vietnam - Yen Bai</v>
          </cell>
          <cell r="H28" t="str">
            <v>The buds and first two leaves of this white tea from ancient Vietnamese tea bushes have been processed in the manner of a Bai Mu Dan. Its infusion, with its wild meadow fragrance and delicately fruity flavours, is both light and fresh. An ideal drink for sunny days.</v>
          </cell>
          <cell r="J28" t="str">
            <v xml:space="preserve">Ingredient: white tea*. *Organically grown. </v>
          </cell>
          <cell r="K28" t="str">
            <v>/</v>
          </cell>
        </row>
        <row r="29">
          <cell r="A29" t="str">
            <v>TB7182</v>
          </cell>
          <cell r="B29" t="str">
            <v>Dragon's Tail</v>
          </cell>
          <cell r="C29" t="str">
            <v>Camellia taliensis buds</v>
          </cell>
          <cell r="D29" t="str">
            <v>LES GRAND CRUS</v>
          </cell>
          <cell r="F29" t="str">
            <v>Original white tea</v>
          </cell>
          <cell r="G29" t="str">
            <v>Vietnam - Lào Cai</v>
          </cell>
          <cell r="H29" t="str">
            <v>This sublime white tea from northern Vietnam is made from the buds of a rare species of camellia, Camellia taliensis. Delicately plucked, these "dragon's scaled tails" produce a dense liquor that is spicy, honeyed, fruity and floral. Short text: Rare white tea from Camellia taliensis buds. Notes: lychee, spices, honey, rose, butter.</v>
          </cell>
          <cell r="J29" t="str">
            <v xml:space="preserve">Ingredient: white tea*. *Organically grown. </v>
          </cell>
          <cell r="K29" t="str">
            <v>/</v>
          </cell>
        </row>
        <row r="30">
          <cell r="A30" t="str">
            <v>TF1112</v>
          </cell>
          <cell r="B30" t="str">
            <v>Mademoiselle Framboise</v>
          </cell>
          <cell r="C30" t="str">
            <v>Raspberry</v>
          </cell>
          <cell r="D30" t="str">
            <v>THE GREAT CLASSICS</v>
          </cell>
          <cell r="F30" t="str">
            <v>Flavored fruit infusion</v>
          </cell>
          <cell r="G30" t="str">
            <v>?</v>
          </cell>
          <cell r="H30" t="str">
            <v>When someone whispers in her ear that she's as pretty as a picture and the star of this pretty pink fruit infusion, Mademoiselle Framboise can't stop blushing... It's impossible to resist its delicate fragrance and tangy flavour, which delightfully awaken the taste buds..</v>
          </cell>
          <cell r="J30" t="str">
            <v>Ingredients: fruit pieces (apple* 39%, raspberry* 4%), natural flavors (raspberry* 14%, strawberry*, blackcurrant*), beet pieces*, rosehip peel*, hibiscus*, licorice* 5%, orange peel* 5%, redcurrant* 3%, mulberry leaves*, lemon essential oil* 1%. *Organically grown. Contains licorice; people with high blood pressure should avoid excessive consumption.</v>
          </cell>
          <cell r="K30" t="str">
            <v>/</v>
          </cell>
        </row>
        <row r="31">
          <cell r="A31" t="str">
            <v>TF1322</v>
          </cell>
          <cell r="B31" t="str">
            <v>Fruit tree delight</v>
          </cell>
          <cell r="C31" t="str">
            <v>Peach - Ripe flavor</v>
          </cell>
          <cell r="D31" t="str">
            <v>THE GREAT CLASSICS</v>
          </cell>
          <cell r="F31" t="str">
            <v>Flavored fruit infusion</v>
          </cell>
          <cell r="G31" t="str">
            <v>/</v>
          </cell>
          <cell r="H31" t="str">
            <v>Bursting with sunshine and cheerfulness, this fruit infusion deliciously combines the flavors of blackberry and peach, enhanced by the refreshing lemon notes of lemongrass. A fruity delight for the whole family, particularly enjoyable as an iced infusion!</v>
          </cell>
          <cell r="J31" t="str">
            <v>Ingredients: fruit pieces (apple* 37%, peach* 3%, apricot* 2%), rosehip peel*, natural flavors of (peach* 8%, blackberry* 6%, apricot*), orange peel*, lemongrass*, hibiscus*, marigold petals*. *From organic farming.</v>
          </cell>
          <cell r="K31" t="str">
            <v>/</v>
          </cell>
        </row>
        <row r="32">
          <cell r="A32" t="str">
            <v>TH0612</v>
          </cell>
          <cell r="B32" t="str">
            <v>A healthy glow</v>
          </cell>
          <cell r="C32" t="str">
            <v>Antioxidant Cinnamon - Violet - Verbena</v>
          </cell>
          <cell r="D32" t="str">
            <v>THE BENEFACTORS</v>
          </cell>
          <cell r="E32" t="str">
            <v>HERBAL INFUSIONS</v>
          </cell>
          <cell r="F32" t="str">
            <v>Herbal infusions</v>
          </cell>
          <cell r="G32" t="str">
            <v>/</v>
          </cell>
          <cell r="H32" t="str">
            <v>Always look good with this herbal tea made from plants renowned for their antioxidant properties. The pleasure of its gourmet gingerbread scent and tangy, aniseed and honey flavors puts a smile on your face from the very first sip.</v>
          </cell>
          <cell r="J32" t="str">
            <v>Ingredients: fennel* (Foeniculum vulgare), cinnamon* 24% (Cinnamomum zeylanicum), hibiscus* (Hibiscus sabdariffa), violet* 12% (Viola odorata), ginger* (Zingiber officinale), verbena* 4% (Aloysia triphylla), stevia* (Stevia rebaudiana). *Organically grown.</v>
          </cell>
          <cell r="K32" t="str">
            <v>Recommended daily consumption: 3 cups of 25 cl. A healthy lifestyle and a varied, balanced diet are recommended to fully benefit from the virtues of this infusion. Average nutritional information per 100 ml: Energy 3 kJ/1 kcal. This infusion contains negligible quantities of fats (including saturated fats), carbohydrates (including sugars), proteins and salt.</v>
          </cell>
        </row>
        <row r="33">
          <cell r="A33" t="str">
            <v>TH0666</v>
          </cell>
          <cell r="B33" t="str">
            <v>Take your time</v>
          </cell>
          <cell r="C33" t="str">
            <v>Soothing Verbena - Lemon balm - Lavender</v>
          </cell>
          <cell r="D33" t="str">
            <v>THE BENEFACTORS</v>
          </cell>
          <cell r="E33" t="str">
            <v>HERBAL INFUSIONS</v>
          </cell>
          <cell r="F33" t="str">
            <v>Herbal infusions</v>
          </cell>
          <cell r="G33" t="str">
            <v>/</v>
          </cell>
          <cell r="H33" t="str">
            <v>Take a tasty break with this soothing herbal tea that promotes quality sleep. Its supple, textured infusion highlights the spicy sweetness of verbena and the sparkling notes of lemongrass. A luminous, comforting recipe that makes you want to take your time.</v>
          </cell>
          <cell r="J33" t="str">
            <v>Ingredients: verbena* 38% (Aloysia triphylla), lemongrass* (Cymbopogon citratus), lemon balm* 16% (Melissa officinalis L.), chamomile (Matricaria chamomilla), lavender* 6% (Lavandula angustifolia). *Organically grown.</v>
          </cell>
          <cell r="K33" t="str">
            <v>Recommended daily consumption: 3 cups of 25 cl. A healthy lifestyle and a varied, balanced diet are recommended to fully benefit from the virtues of this infusion. Average nutritional information per 100 ml: Energy 3 kJ/1 kcal. This infusion contains negligible quantities of fats (including saturated fats), carbohydrates (including sugars), proteins and salt.</v>
          </cell>
        </row>
        <row r="34">
          <cell r="A34" t="str">
            <v>TH1292</v>
          </cell>
          <cell r="B34" t="str">
            <v>Tulsi</v>
          </cell>
          <cell r="C34" t="str">
            <v>Respiratory - Holy basil</v>
          </cell>
          <cell r="D34" t="str">
            <v>THE BENEFACTORS</v>
          </cell>
          <cell r="E34" t="str">
            <v>HERBAL INFUSIONS</v>
          </cell>
          <cell r="F34" t="str">
            <v>Herbal infusions</v>
          </cell>
          <cell r="G34" t="str">
            <v>India</v>
          </cell>
          <cell r="H34" t="str">
            <v xml:space="preserve">The panacea of Ayurvedic medicine, tulsi, or "holy basil" as it's known in India, produces an aromatic herbal tea with a silky texture and gently distilled notes of spice and lemon. Its beneficial properties for the respiratory system make it easy to cope with seasonal changes. </v>
          </cell>
          <cell r="J34" t="str">
            <v>Ingredient : tulsi* (Ocimum tenuiflorum). *Organically grown.</v>
          </cell>
          <cell r="K34" t="str">
            <v>Recommended daily consumption: 3 cups of 25 cl. A healthy lifestyle and a varied, balanced diet are recommended to fully benefit from the virtues of this infusion. Average nutritional information per 100 ml: Energy 3 kJ/1 kcal. This infusion contains negligible quantities of fats (including saturated fats), carbohydrates (including sugars), proteins and salt.</v>
          </cell>
        </row>
        <row r="35">
          <cell r="A35" t="str">
            <v>TH1622</v>
          </cell>
          <cell r="B35" t="str">
            <v>Rosemary</v>
          </cell>
          <cell r="C35" t="str">
            <v>Digestive &amp;amp; Diuretic</v>
          </cell>
          <cell r="D35" t="str">
            <v>THE BENEFACTORS</v>
          </cell>
          <cell r="E35" t="str">
            <v>HERBAL INFUSIONS</v>
          </cell>
          <cell r="F35" t="str">
            <v>Herbal infusions</v>
          </cell>
          <cell r="G35" t="str">
            <v>Portugal - Morocco</v>
          </cell>
          <cell r="H35" t="str">
            <v>An emblematic rock garden shrub found throughout the Mediterranean region, rosemary produces a highly aromatic infusion. This condiment, much appreciated in cooking, is also a formidable medicinal plant that aids digestion and naturally supports renal elimination.</v>
          </cell>
          <cell r="J35" t="str">
            <v>Ingredient : rosemary* (Rosmarinus officinalis). *Organically grown.</v>
          </cell>
          <cell r="K35" t="str">
            <v>Recommended daily consumption: 3 cups of 25 cl. A healthy lifestyle and a varied, balanced diet are recommended to fully benefit from the virtues of this infusion. Average nutritional information per 100 ml: Energy 3 kJ/1 kcal. This infusion contains negligible quantities of fats (including saturated fats), carbohydrates (including sugars), proteins and salt.</v>
          </cell>
        </row>
        <row r="36">
          <cell r="A36" t="str">
            <v>TH208</v>
          </cell>
          <cell r="B36" t="str">
            <v>Lemon balm</v>
          </cell>
          <cell r="C36" t="str">
            <v xml:space="preserve">Relaxing &amp;amp; Digestive  </v>
          </cell>
          <cell r="D36" t="str">
            <v>THE BENEFACTORS</v>
          </cell>
          <cell r="E36" t="str">
            <v>HERBAL INFUSIONS</v>
          </cell>
          <cell r="F36" t="str">
            <v>Herbal infusions</v>
          </cell>
          <cell r="G36" t="str">
            <v>Portugal</v>
          </cell>
          <cell r="H36" t="str">
            <v>A source of well-being since ancient times, lemon balm is a perennial plant with highly fragrant leaves, whose infusion helps you relax and regain your equilibrium, while improving digestive functions. Its sweet, lemony flavors are also highly appreciated in cooking.</v>
          </cell>
          <cell r="J36" t="str">
            <v>Ingredient: lemon balm* (Melissa officinalis). *Organically grown.</v>
          </cell>
          <cell r="K36" t="str">
            <v>Recommended daily consumption: 3 cups of 25 cl. A healthy lifestyle and a varied, balanced diet are recommended to fully benefit from the virtues of this infusion. Average nutritional information per 100 ml: Energy 3 kJ/1 kcal. This infusion contains negligible amounts of fats (including saturated fats), carbohydrates (including sugars), proteins and salt.</v>
          </cell>
        </row>
        <row r="37">
          <cell r="A37" t="str">
            <v>TH217</v>
          </cell>
          <cell r="B37" t="str">
            <v>Linden flowers</v>
          </cell>
          <cell r="C37" t="str">
            <v>Relaxing</v>
          </cell>
          <cell r="D37" t="str">
            <v>THE BENEFACTORS</v>
          </cell>
          <cell r="E37" t="str">
            <v>HERBAL INFUSIONS</v>
          </cell>
          <cell r="F37" t="str">
            <v>Herbal infusions</v>
          </cell>
          <cell r="G37" t="str">
            <v>France</v>
          </cell>
          <cell r="H37" t="str">
            <v>Harvested in early summer, the fragrant flowers of the linden tree, the tree of love and loyalty that perfumes our villages, produce a supple, soothing liqueur. We appreciate its pleasant honeyed notes and its relaxing, sleep-inducing effects. An excellent evening herbal tea!</v>
          </cell>
          <cell r="J37" t="str">
            <v>Ingredient : lime blossom* (Tilia platyphyllos Scop). *Organically grown.</v>
          </cell>
          <cell r="K37" t="str">
            <v>Recommended daily consumption: 3 cups of 25 cl. A healthy lifestyle and a varied, balanced diet are recommended to fully benefit from the virtues of this infusion. Average nutritional information per 100 ml: Energy 3 kJ/1 kcal. This infusion contains negligible amounts of fats (including saturated fats), carbohydrates (including sugars), proteins and salt.</v>
          </cell>
        </row>
        <row r="38">
          <cell r="A38" t="str">
            <v>TH2622</v>
          </cell>
          <cell r="B38" t="str">
            <v>Ginkgo</v>
          </cell>
          <cell r="C38" t="str">
            <v>/</v>
          </cell>
          <cell r="D38" t="str">
            <v>THE GREAT CLASSICS</v>
          </cell>
          <cell r="E38" t="str">
            <v>HERBAL INFUSIONS</v>
          </cell>
          <cell r="F38" t="str">
            <v>Herbal infusions</v>
          </cell>
          <cell r="G38" t="str">
            <v>France</v>
          </cell>
          <cell r="H38" t="str">
            <v>The revered Ginkgo biloba, known for its extraordinary resistance and longevity, produces leaves that infuse into a silky-smooth liqueur, characterized by woody notes reminiscent of almonds. An original and endearing drink!</v>
          </cell>
          <cell r="J38" t="str">
            <v>Ingredient: ginkgo* (Ginkgo biloba) leaves. *Organically grown.</v>
          </cell>
          <cell r="K38" t="str">
            <v>/</v>
          </cell>
        </row>
        <row r="39">
          <cell r="A39" t="str">
            <v>TH502</v>
          </cell>
          <cell r="B39" t="str">
            <v>Good night</v>
          </cell>
          <cell r="C39" t="str">
            <v>Soothing Balm - Linden - Lavender</v>
          </cell>
          <cell r="D39" t="str">
            <v>THE BENEFACTORS</v>
          </cell>
          <cell r="E39" t="str">
            <v>HERBAL INFUSIONS</v>
          </cell>
          <cell r="F39" t="str">
            <v>Herbal infusions</v>
          </cell>
          <cell r="G39" t="str">
            <v>/</v>
          </cell>
          <cell r="H39" t="str">
            <v xml:space="preserve">This delicious infusion with its soft, slightly sweet flavors will transport you from the very first sip. The soothing properties of lemon balm, lime blossom and lavender invite you to glide gently into dreamland. </v>
          </cell>
          <cell r="J39" t="str">
            <v>Ingredients: lemon balm* 30% (Melissa officinalis), lime blossom* 30% (Tiliae flos), chamomile* (Matricaria chamomilla), lavender* 10% (Lavandula angustifolia). *From organic farming.</v>
          </cell>
          <cell r="K39" t="str">
            <v>Recommended daily consumption: 3 cups of 25 cl. A healthy lifestyle and a varied, balanced diet are recommended to fully benefit from the virtues of this infusion. Average nutritional information per 100 ml: Energy 3 kJ/1 kcal. This infusion contains negligible quantities of fats (including saturated fats), carbohydrates (including sugars), proteins and salt.</v>
          </cell>
        </row>
        <row r="40">
          <cell r="A40" t="str">
            <v>TH511</v>
          </cell>
          <cell r="B40" t="str">
            <v>Enchanted garden</v>
          </cell>
          <cell r="C40" t="str">
            <v>Fragrant mint - sunflower leaf - marigold petals</v>
          </cell>
          <cell r="D40" t="str">
            <v>THE GREAT CLASSICS</v>
          </cell>
          <cell r="E40" t="str">
            <v>HERBAL INFUSIONS</v>
          </cell>
          <cell r="F40" t="str">
            <v>Herbal infusions</v>
          </cell>
          <cell r="G40" t="str">
            <v>/</v>
          </cell>
          <cell r="H40" t="str">
            <v>This colorful, full-flavored infusion of flowers and herbs is a feast for the eyes and palate. Each sip offers a sensation of purity and freshness comparable to a barefoot stroll in the morning dew.</v>
          </cell>
          <cell r="J40" t="str">
            <v xml:space="preserve">Ingredients : spearmint* (Mentha rotundifolia) 35%, sunflower leaf* (Helianthus annuus) 25%, marigold petals* (Calendula officinalis) 13%, sunflower petals* (Helianthus annuus), oregano* (Origanum vulgare), chamomile* (Matricaria chamomilla), cornflower petals* (Centaurea cyanus), rose petals* (Rosa damascena), lilac flowers* (Syringa vulgaris). *From organic farming. </v>
          </cell>
          <cell r="K40" t="str">
            <v>/</v>
          </cell>
        </row>
        <row r="41">
          <cell r="A41" t="str">
            <v>TH520</v>
          </cell>
          <cell r="B41" t="str">
            <v>Love tea</v>
          </cell>
          <cell r="C41" t="str">
            <v>Hemp leaves - catnip - verbena</v>
          </cell>
          <cell r="D41" t="str">
            <v>THE GREAT CLASSICS</v>
          </cell>
          <cell r="E41" t="str">
            <v>HERBAL INFUSIONS</v>
          </cell>
          <cell r="F41" t="str">
            <v>Herbal infusions</v>
          </cell>
          <cell r="G41" t="str">
            <v>/</v>
          </cell>
          <cell r="H41" t="str">
            <v>Sensual and spiritual, this infusion of plants and flowers is inspired by the most beautiful of feelings. Let it tantalize your taste buds with its warm, round, gourmand flavors, providing intense gustatory pleasure. Enjoy it lovingly for two..</v>
          </cell>
          <cell r="J41" t="str">
            <v>Ingredients: hemp leaves* (Cannabis sativa) 45%, catnip* (Nepeta cataria) 20%, parsley* (Petroselinum crispum), lemon verbena* (Aloysia citrodora) 10%, savory* (Satureja montana), rosebuds* (Rosa damascena). *Organically grown.</v>
          </cell>
          <cell r="K41" t="str">
            <v>/</v>
          </cell>
        </row>
        <row r="42">
          <cell r="A42" t="str">
            <v>TH538</v>
          </cell>
          <cell r="B42" t="str">
            <v>What the stars say</v>
          </cell>
          <cell r="C42" t="str">
            <v>Lemongrass - raspberry leaves - lemon balm</v>
          </cell>
          <cell r="D42" t="str">
            <v>THE GREAT CLASSICS</v>
          </cell>
          <cell r="E42" t="str">
            <v>HERBAL INFUSIONS</v>
          </cell>
          <cell r="F42" t="str">
            <v>Herbal infusions</v>
          </cell>
          <cell r="G42" t="str">
            <v>/</v>
          </cell>
          <cell r="H42" t="str">
            <v>This gentle, enveloping herbal tea with its floral, slightly lemony flavours is an invitation to serene contemplation. Ideally enjoyed under the stars, listening to the secrets they have to tell.</v>
          </cell>
          <cell r="J42" t="str">
            <v>Ingredients: lemongrass* (Cymbopogon citratus) 32%, raspberry leaves* (Rubus idaeus) 32%, lemon balm* (Melissa officinalis) 22%, lime blossom* (Tiliae flos), cornflower petals* (Centaurea cyanus), marigold petals* (Calendula officinalis), rose petals* (Rosa damascena). *From organic farming.</v>
          </cell>
          <cell r="K42" t="str">
            <v>/</v>
          </cell>
        </row>
        <row r="43">
          <cell r="A43" t="str">
            <v>TH706</v>
          </cell>
          <cell r="B43" t="str">
            <v>Such light legs</v>
          </cell>
          <cell r="C43" t="str">
            <v>Draining &amp;amp; Revitalizing Maté - Rosemary</v>
          </cell>
          <cell r="D43" t="str">
            <v>THE BENEFACTORS</v>
          </cell>
          <cell r="E43" t="str">
            <v>HERBAL INFUSIONS</v>
          </cell>
          <cell r="F43" t="str">
            <v>Herbal infusions</v>
          </cell>
          <cell r="G43" t="str">
            <v>/</v>
          </cell>
          <cell r="H43" t="str">
            <v>This fresh, tonic and spicy herbal tea is made from plants renowned for their draining, stimulating and revitalizing properties. It's the perfect boost to help you get back on your feet, looking light and streamlined!</v>
          </cell>
          <cell r="J43" t="str">
            <v>Ingredients: spearmint* (Mentha rotundifolia), lemon balm* (Melissa officinalis), rosemary* 19% (Rosmarinus officinalis), lemongrass* (Cymbopogon citratus), mate* 10% (Ilex paraguariensis), rosebuds* (Rosa damascena). *Organically grown.</v>
          </cell>
          <cell r="K43" t="str">
            <v>Recommended daily consumption: 1.5 L. A healthy lifestyle and a varied, balanced diet are recommended to fully benefit from the virtues of this infusion. Average nutritional information per 100 ml: Energy 3 kJ/1 kcal. This infusion contains negligible amounts of fats (including saturated fats), carbohydrates (including sugars), proteins and salt.</v>
          </cell>
        </row>
        <row r="44">
          <cell r="A44" t="str">
            <v>TJ0766</v>
          </cell>
          <cell r="B44" t="str">
            <v>Silver Matcha</v>
          </cell>
          <cell r="D44" t="str">
            <v>JEWELS FROM JAPAN AND TAIWAN</v>
          </cell>
          <cell r="E44" t="str">
            <v>Matcha</v>
          </cell>
          <cell r="F44" t="str">
            <v>Matcha</v>
          </cell>
          <cell r="G44" t="str">
            <v>Japan - Ujitawara</v>
          </cell>
          <cell r="H44" t="str">
            <v>This intense green tasting matcha tea is made for lovers of balance, sweetness and subtlety. Its smooth, airy liquor is characterized by delicious aromas of salted butter and nuts, followed by a milky, chocolatey note. A superb taste experience!</v>
          </cell>
          <cell r="J44" t="str">
            <v xml:space="preserve">Ingredient: green tea*. *Organically grown. </v>
          </cell>
          <cell r="K44" t="str">
            <v>/</v>
          </cell>
        </row>
        <row r="45">
          <cell r="A45" t="str">
            <v>TJ0876</v>
          </cell>
          <cell r="B45" t="str">
            <v>Matcha Premium</v>
          </cell>
          <cell r="D45" t="str">
            <v>LES GRAND CRUS</v>
          </cell>
          <cell r="E45" t="str">
            <v>Matcha</v>
          </cell>
          <cell r="F45" t="str">
            <v>Matcha</v>
          </cell>
          <cell r="G45" t="str">
            <v>Japan - Kagoshima</v>
          </cell>
          <cell r="H45" t="str">
            <v xml:space="preserve">This premium-quality matcha has been traditionally produced from tencha leaves (shaded raw tea) in the Kagoshima region of southern Japan. It has a silky, luminous green froth, with particularly luscious milky and cocoa bean notes. </v>
          </cell>
          <cell r="J45" t="str">
            <v>Ingredient: green tea* from Japan. *Organically grown.</v>
          </cell>
          <cell r="K45" t="str">
            <v>/</v>
          </cell>
        </row>
        <row r="46">
          <cell r="A46" t="str">
            <v>TJ1014</v>
          </cell>
          <cell r="B46" t="str">
            <v>Kabuse No.1</v>
          </cell>
          <cell r="C46" t="str">
            <v>Penumbra green tea</v>
          </cell>
          <cell r="D46" t="str">
            <v>KEIKO</v>
          </cell>
          <cell r="F46" t="str">
            <v>Original green tea</v>
          </cell>
          <cell r="G46" t="str">
            <v>Japan - Kagoshima</v>
          </cell>
          <cell r="H46" t="str">
            <v>This Japanese penumbra green tea from a spring harvest in Japan is particularly lively and aromatic. The cup is a luminous green, delicately fragrant and full-bodied.</v>
          </cell>
          <cell r="J46" t="str">
            <v>Ingredient: green tea*. *Organically grown.</v>
          </cell>
          <cell r="K46" t="str">
            <v>/</v>
          </cell>
        </row>
        <row r="47">
          <cell r="A47" t="str">
            <v>TJ1074</v>
          </cell>
          <cell r="B47" t="str">
            <v>Kabuse Kukicha</v>
          </cell>
          <cell r="C47" t="str">
            <v>Penumbra green tea</v>
          </cell>
          <cell r="D47" t="str">
            <v>KEIKO</v>
          </cell>
          <cell r="F47" t="str">
            <v>Original green tea</v>
          </cell>
          <cell r="G47" t="str">
            <v>Japan - Kagoshima</v>
          </cell>
          <cell r="H47" t="str">
            <v xml:space="preserve">This Kukicha is unique in that it is made from the twigs of shaded tea bushes. Aficionados appreciate it for its very smooth, delicate infusion with lightly roasted flavours. Its lightness and lack of bitterness make it an excellent everyday drink. </v>
          </cell>
          <cell r="J47" t="str">
            <v>Ingredient: green tea*. *Organically grown.</v>
          </cell>
          <cell r="K47" t="str">
            <v>/</v>
          </cell>
        </row>
        <row r="48">
          <cell r="A48" t="str">
            <v>TJ2142</v>
          </cell>
          <cell r="B48" t="str">
            <v>Sencha Fukamushi</v>
          </cell>
          <cell r="C48" t="str">
            <v>/</v>
          </cell>
          <cell r="D48" t="str">
            <v>THE GREAT CLASSICS</v>
          </cell>
          <cell r="F48" t="str">
            <v>Original green tea</v>
          </cell>
          <cell r="G48" t="str">
            <v>Japan - Kagoshima</v>
          </cell>
          <cell r="H48" t="str">
            <v xml:space="preserve">Steamed for longer than a classic Japanese green tea, this fukamushi sencha produces a thick-textured liqueur with a very supple mouthfeel and moderate astringency. Its nutty flavors, combined with a complexity of herbal notes, come to the fore. </v>
          </cell>
          <cell r="J48" t="str">
            <v>Ingredient: green tea*. *Organically grown.</v>
          </cell>
          <cell r="K48" t="str">
            <v>/</v>
          </cell>
        </row>
        <row r="49">
          <cell r="A49" t="str">
            <v>TJ2252</v>
          </cell>
          <cell r="B49" t="str">
            <v>Kuki Hojicha</v>
          </cell>
          <cell r="C49" t="str">
            <v>Roasted green tea</v>
          </cell>
          <cell r="D49" t="str">
            <v>THE GREAT CLASSICS</v>
          </cell>
          <cell r="F49" t="str">
            <v>Original green tea</v>
          </cell>
          <cell r="G49" t="str">
            <v>Japan - Shizuoka</v>
          </cell>
          <cell r="H49" t="str">
            <v>Very popular in Japan, kuki hojicha is a roasted green tea that has the particularity of being composed of twigs and leaf stems. Its toasted bread and hazelnut flavours, accompanied by vegetal and fruity notes, are the perfect accompaniment to a meal.</v>
          </cell>
          <cell r="J49" t="str">
            <v>Ingredient: green tea*. *Organically grown.</v>
          </cell>
          <cell r="K49" t="str">
            <v>/</v>
          </cell>
        </row>
        <row r="50">
          <cell r="A50" t="str">
            <v>TJ2266</v>
          </cell>
          <cell r="B50" t="str">
            <v>Hojicha powder</v>
          </cell>
          <cell r="D50" t="str">
            <v>THE GREAT CLASSICS</v>
          </cell>
          <cell r="F50" t="str">
            <v>Original roasted green tea</v>
          </cell>
          <cell r="G50" t="str">
            <v>Japan - Kagoshima</v>
          </cell>
          <cell r="H50" t="str">
            <v>This hojicha powder, which can be prepared and enjoyed like matcha, also makes it easy to flavour sauces, cocktails and cakes with the warm flavours of Japanese roasted green tea. Its roasted cereal and peanut notes are particularly gourmet.</v>
          </cell>
          <cell r="J50" t="str">
            <v xml:space="preserve">Ingredient: green tea powder*. *From organic farming. </v>
          </cell>
          <cell r="K50" t="str">
            <v>/</v>
          </cell>
        </row>
        <row r="51">
          <cell r="A51" t="str">
            <v>TJ9051</v>
          </cell>
          <cell r="B51" t="str">
            <v>Matcha Tradition</v>
          </cell>
          <cell r="D51" t="str">
            <v>THE GREAT CLASSICS</v>
          </cell>
          <cell r="E51" t="str">
            <v>Matcha</v>
          </cell>
          <cell r="F51" t="str">
            <v>Matcha</v>
          </cell>
          <cell r="G51" t="str">
            <v>Japan - Kagoshima</v>
          </cell>
          <cell r="H51" t="str">
            <v>This genuine Japanese matcha, traditionally produced from shaded "tencha" tea leaves, is an excellent introduction to top-quality matcha. Its fine, even powder produces a smooth, fresh and flavorful liqueur with typical herbal notes.</v>
          </cell>
          <cell r="J51" t="str">
            <v>Ingredient: green tea* from Japan. *Organically grown.</v>
          </cell>
          <cell r="K51" t="str">
            <v>/</v>
          </cell>
        </row>
        <row r="52">
          <cell r="A52" t="str">
            <v>TL0086</v>
          </cell>
          <cell r="B52" t="str">
            <v>Cocoa barks</v>
          </cell>
          <cell r="C52" t="str">
            <v>/</v>
          </cell>
          <cell r="D52" t="str">
            <v>THE GREAT CLASSICS</v>
          </cell>
          <cell r="E52" t="str">
            <v>HERBAL INFUSIONS</v>
          </cell>
          <cell r="F52" t="str">
            <v>Natural herbal tea</v>
          </cell>
          <cell r="G52" t="str">
            <v>Peru</v>
          </cell>
          <cell r="H52" t="str">
            <v>The fruit of the labor of small Peruvian producers, these cocoa bean hulls come from the criollo variety, renowned for its gourmet, aromatic character. Their infusion produces a calorie-free, smooth and warm beverage that can be enjoyed on its own or with milk and sugar.</v>
          </cell>
          <cell r="J52" t="str">
            <v>Ingredient : roasted* cocoa bean husks. *Organically grown.</v>
          </cell>
          <cell r="K52" t="str">
            <v>/</v>
          </cell>
        </row>
        <row r="53">
          <cell r="A53" t="str">
            <v>TM0036</v>
          </cell>
          <cell r="B53" t="str">
            <v>The wild flight</v>
          </cell>
          <cell r="C53" t="str">
            <v xml:space="preserve">Eucalyptus - Cloves </v>
          </cell>
          <cell r="D53" t="str">
            <v>THE ENGAGED</v>
          </cell>
          <cell r="E53" t="str">
            <v>TAKING ACTION FOR NATURE</v>
          </cell>
          <cell r="F53" t="str">
            <v>Infusion of herbs and spices</v>
          </cell>
          <cell r="G53" t="str">
            <v>Portugal - France - Morocco - Sri Lanka - Turkey - Australia</v>
          </cell>
          <cell r="H53" t="str">
            <v>The grace of a wild flight is the source of inspiration for this herbal infusion. With flavors of lemon balm and lime blossom, between strength and sweetness, this recipe unfurls its spicy, fresh, camphorated and lemony notes. For an airy, contemplative pause with your eyes in the sky...</v>
          </cell>
          <cell r="I53" t="str">
            <v>The Ligue pour la Protection des Oiseaux (LPO) has been working to protect birds and safeguard biodiversity since 1912. lpo.fr</v>
          </cell>
          <cell r="J53" t="str">
            <v>Ingredients: lime*, eucalyptus* 22%, apple pieces*, lemon balm*, myrtle*, meadowsweet*, cloves* 4%, marigold petals*, cornflower petals*. *Organically grown.</v>
          </cell>
          <cell r="K53" t="str">
            <v>/</v>
          </cell>
        </row>
        <row r="54">
          <cell r="A54" t="str">
            <v>TM0046</v>
          </cell>
          <cell r="B54" t="str">
            <v>Land of Africa</v>
          </cell>
          <cell r="C54" t="str">
            <v>Lemongrass - Cinnamon - Pepper</v>
          </cell>
          <cell r="D54" t="str">
            <v>THE ENGAGED</v>
          </cell>
          <cell r="E54" t="str">
            <v>TAKING ACTION FOR NATURE</v>
          </cell>
          <cell r="F54" t="str">
            <v>Infusion of herbs and spices</v>
          </cell>
          <cell r="G54" t="str">
            <v>Egypt - Sri Lanka - Vietnam - Portugal - India - Spain</v>
          </cell>
          <cell r="H54" t="str">
            <v>Inspired by the strength of Africa's wild landscapes, this colorful composition of herbs and spices offers an intense taste experience. The warm sweetness of cinnamon with its spicy, peppery notes contrasts nicely with the fresh, lemony flavors of lemongrass.</v>
          </cell>
          <cell r="I54" t="str">
            <v>The association Projet pour la Conservation des Grands Singes (PCGS) works to protect wild chimpanzees and their tropical forest habitats. helloasso.com/associations/projet-pour-la-conservation-des-grands-singes</v>
          </cell>
          <cell r="J54" t="str">
            <v>Ingredients: lemongrass* 42%, cinnamon* 38%, sunflower petals*, green pepper*, black pepper*, chili* 2%. *Organically grown.</v>
          </cell>
          <cell r="K54" t="str">
            <v>/</v>
          </cell>
        </row>
        <row r="55">
          <cell r="A55" t="str">
            <v>TM0272</v>
          </cell>
          <cell r="B55" t="str">
            <v>Dhyāna EARTH</v>
          </cell>
          <cell r="C55" t="str">
            <v xml:space="preserve">Ginger-Curcuma meditation tea  </v>
          </cell>
          <cell r="D55" t="str">
            <v>THE GREAT CLASSICS</v>
          </cell>
          <cell r="E55" t="str">
            <v>MEDITATIONS</v>
          </cell>
          <cell r="F55" t="str">
            <v>Fragrant wulong tea</v>
          </cell>
          <cell r="G55" t="str">
            <v>China</v>
          </cell>
          <cell r="H55" t="str">
            <v>This generous recipe, based on wulong tea, makes us feel the quiet strength of the earth, which the potter loves to shape with his hands and mind. Its woody, spicy flavours, enhanced by notes of ginger and turmeric, are a natural invitation to a meditative pause.</v>
          </cell>
          <cell r="J55" t="str">
            <v>Ingredients: wulong tea*, grape pomace*, ginger* 10%, carrot pieces*, turmeric* 7%, rose hip*, liquorice*, black pepper*, heather flowers*. *Organically grown. Contains licorice: people with high blood pressure should avoid excessive consumption.</v>
          </cell>
          <cell r="K55" t="str">
            <v>/</v>
          </cell>
        </row>
        <row r="56">
          <cell r="A56" t="str">
            <v>TM6802</v>
          </cell>
          <cell r="B56" t="str">
            <v>Green chai</v>
          </cell>
          <cell r="C56" t="str">
            <v>Traditional Indian spices</v>
          </cell>
          <cell r="D56" t="str">
            <v>THE GREAT CLASSICS</v>
          </cell>
          <cell r="F56" t="str">
            <v>Scented green tea</v>
          </cell>
          <cell r="G56" t="str">
            <v>India - Sri Lanka</v>
          </cell>
          <cell r="H56" t="str">
            <v>Rediscover "Tchaï" with this green tea version of the traditional Indian drink.  The blend of spices is enhanced by the round, herbaceous flavors typical of Ceylon green teas. Perfect for a delicious departure from the beaten track!</v>
          </cell>
          <cell r="J56" t="str">
            <v>Ingredients: green tea*, spices (cinnamon*, ginger*, black pepper*, cloves*, cardamom*) 13%. *Organically grown.</v>
          </cell>
          <cell r="K56" t="str">
            <v>/</v>
          </cell>
        </row>
        <row r="57">
          <cell r="A57" t="str">
            <v>TM6942</v>
          </cell>
          <cell r="B57" t="str">
            <v>Bollywood flush</v>
          </cell>
          <cell r="C57" t="str">
            <v>Cardamom - Flowers</v>
          </cell>
          <cell r="D57" t="str">
            <v>THE GREAT CLASSICS</v>
          </cell>
          <cell r="F57" t="str">
            <v>Scented green tea</v>
          </cell>
          <cell r="G57" t="str">
            <v>India</v>
          </cell>
          <cell r="H57" t="str">
            <v>Colorful, lightly spiced and wildly festive, this recipe combines the freshness of green tea with the soft, sweet notes of cardamom, and is a bundle of good cheer! It takes you on a whirlwind of flavors and colors to the heart of the magic of traditional Indian festivals.</v>
          </cell>
          <cell r="J57" t="str">
            <v xml:space="preserve">Ingredients: green tea*, cardamom* 19%, flower petals (marigold*, rose*, sunflower*, monarda*) 3%. *Organically grown. </v>
          </cell>
          <cell r="K57" t="str">
            <v>/</v>
          </cell>
        </row>
        <row r="58">
          <cell r="A58" t="str">
            <v>TM7372</v>
          </cell>
          <cell r="B58" t="str">
            <v>Light my fire</v>
          </cell>
          <cell r="C58" t="str">
            <v>honeybush, tonka bean, hot pepper</v>
          </cell>
          <cell r="D58" t="str">
            <v>THE ENGAGED</v>
          </cell>
          <cell r="E58" t="str">
            <v>ACTING FOR CULTURE</v>
          </cell>
          <cell r="F58" t="str">
            <v>Flavored black tea</v>
          </cell>
          <cell r="G58" t="str">
            <v>India - Kerala</v>
          </cell>
          <cell r="H58" t="str">
            <v xml:space="preserve">Like an irresistible spark, this deliciously spicy black tea recipe is an invitation to awaken all dormant ardors. Let yourself be carried away by its gourmet flavors with honeyed, spicy and lemony notes, opening the door to unsuspected pleasures.. </v>
          </cell>
          <cell r="I58" t="str">
            <v>Be Together Académie, an inclusive arts teaching establishment, promotes artistic inclusion and facilitates the professional integration of artists with disabilities. be-together.eu</v>
          </cell>
          <cell r="J58" t="str">
            <v>Ingredients: black tea*, honeybush* 16%, ginger*, tonka bean* 7%, turmeric*, mandarin peel*, chilli* 4%, pink berries*, poppy petals*. *Organically grown.</v>
          </cell>
          <cell r="K58" t="str">
            <v>/</v>
          </cell>
        </row>
        <row r="59">
          <cell r="A59" t="str">
            <v>TM7902</v>
          </cell>
          <cell r="B59" t="str">
            <v>Tea Time</v>
          </cell>
          <cell r="C59" t="str">
            <v>/</v>
          </cell>
          <cell r="D59" t="str">
            <v>THE GREAT CLASSICS</v>
          </cell>
          <cell r="F59" t="str">
            <v>Black tea</v>
          </cell>
          <cell r="G59" t="str">
            <v>Vietnam - China - India</v>
          </cell>
          <cell r="H59" t="str">
            <v>Brighten up your tea time with this selection of black teas of remarkable finesse and intensity. Its full-bodied, copper-colored infusion blends tannic, full-bodied flavors with pleasant notes of hazelnut. Accept a cloud of milk or cream.</v>
          </cell>
          <cell r="J59" t="str">
            <v>Ingredient: black tea*. *Organically grown.</v>
          </cell>
          <cell r="K59" t="str">
            <v>/</v>
          </cell>
        </row>
        <row r="60">
          <cell r="A60" t="str">
            <v>TN2072</v>
          </cell>
          <cell r="B60" t="str">
            <v>Potong</v>
          </cell>
          <cell r="C60" t="str">
            <v>FTGFOP1 FF Top Quality cultivar Potong China</v>
          </cell>
          <cell r="D60" t="str">
            <v>BONUSES</v>
          </cell>
          <cell r="F60" t="str">
            <v>Premium black tea</v>
          </cell>
          <cell r="G60" t="str">
            <v>India - Darjeeling - Potong garden</v>
          </cell>
          <cell r="H60" t="str">
            <v>A beautifully complex springtime black tea from the Potong cooperative of small producers. Its particularly long-lasting liquor, structured by vegetal and mineral notes, evokes kiwi and baked beans. An expressive and refined vintage to discover!</v>
          </cell>
          <cell r="J60" t="str">
            <v xml:space="preserve">Ingredient: black tea**. **Demeter is the brand name for products from certified biodynamic agriculture. </v>
          </cell>
          <cell r="K60" t="str">
            <v>/</v>
          </cell>
        </row>
        <row r="61">
          <cell r="A61" t="str">
            <v>TN2236</v>
          </cell>
          <cell r="B61" t="str">
            <v>Singell Heritage</v>
          </cell>
          <cell r="C61" t="str">
            <v>FTGFOP1 FF Jardin de Singell - Ex. 12.04.2023 cultivar China</v>
          </cell>
          <cell r="D61" t="str">
            <v>LES GRAND CRUS</v>
          </cell>
          <cell r="F61" t="str">
            <v>Premium black tea</v>
          </cell>
          <cell r="G61" t="str">
            <v>India - Darjeeling - Singell garden</v>
          </cell>
          <cell r="H61" t="str">
            <v>Spring-picked from the oldest tea bushes in Singell's garden, this black tea represents the nobility of its birthplace. It seduces with the contrast between its fresh flavours reminiscent of early green vegetables and its fruity, sweet, rounded final notes. Short text: A rare early tea from the oldest tea bushes in Singell's garden. Notes: Cooked spring greens (green beans), fruity and sweet notes on the finish.</v>
          </cell>
          <cell r="J61" t="str">
            <v>Ingredient: black tea*. *Organically grown.</v>
          </cell>
          <cell r="K61" t="str">
            <v>/</v>
          </cell>
        </row>
        <row r="62">
          <cell r="A62" t="str">
            <v>TN2366</v>
          </cell>
          <cell r="B62" t="str">
            <v xml:space="preserve">Spring secret </v>
          </cell>
          <cell r="C62" t="str">
            <v>samabeong garden Ex.10.04.2023 cultivar samabeong 312</v>
          </cell>
          <cell r="D62" t="str">
            <v>LES GRAND CRUS</v>
          </cell>
          <cell r="F62" t="str">
            <v>Premium black tea</v>
          </cell>
          <cell r="G62" t="str">
            <v>India - Darjeeling - Samabeong garden</v>
          </cell>
          <cell r="H62" t="str">
            <v>Produced in the Selimbong garden, this black tea reveals all the secret charm that makes spring teas from this region of northern India so seductive and endearing. Its enveloping liquor releases incomparable floral, fruity, woody and mineral flavors. Short text: A superb spring harvest with an enveloping, light and aromatic liquor. Notes: Floral, fruity, woody and mineral.</v>
          </cell>
          <cell r="J62" t="str">
            <v xml:space="preserve">Ingredient: black tea*. *Organically grown. </v>
          </cell>
          <cell r="K62" t="str">
            <v>/</v>
          </cell>
        </row>
        <row r="63">
          <cell r="A63" t="str">
            <v>TN3132</v>
          </cell>
          <cell r="B63" t="str">
            <v xml:space="preserve">Putharjhora </v>
          </cell>
          <cell r="C63" t="str">
            <v>FTGFOP1 SF</v>
          </cell>
          <cell r="D63" t="str">
            <v>THE GREAT CLASSICS</v>
          </cell>
          <cell r="F63" t="str">
            <v>Original black tea</v>
          </cell>
          <cell r="G63" t="str">
            <v>India - Dooars</v>
          </cell>
          <cell r="H63" t="str">
            <v>The large, even leaves of this summer-harvested, biodynamically-produced black tea offer a coppery cup with fruity flavors underlined by a lovely spicy note reminiscent of Assam teas. A tea with a generous character that tolerates a little milk.</v>
          </cell>
          <cell r="J63" t="str">
            <v xml:space="preserve">Ingredient: black tea**. **Demeter is the brand name for products from certified biodynamic agriculture. </v>
          </cell>
          <cell r="K63" t="str">
            <v>/</v>
          </cell>
        </row>
        <row r="64">
          <cell r="A64" t="str">
            <v>TN3392</v>
          </cell>
          <cell r="B64" t="str">
            <v xml:space="preserve">Himalayan snows </v>
          </cell>
          <cell r="C64" t="str">
            <v>FTGFOP1 FF Top Quality Spring crop</v>
          </cell>
          <cell r="D64" t="str">
            <v>THE GREAT CLASSICS</v>
          </cell>
          <cell r="F64" t="str">
            <v>Black tea</v>
          </cell>
          <cell r="G64" t="str">
            <v>India - Darjeeling</v>
          </cell>
          <cell r="H64" t="str">
            <v>This Darjeeling black tea is the fruit of a blend of several spring harvests, expressing their vivacity and magical fragrances. Let yourself be charmed by its luminous cup, with refined, fresh and complex flavors evocative of red fruit and hazelnut.</v>
          </cell>
          <cell r="J64" t="str">
            <v>Ingredient: black tea*. *Organically grown.</v>
          </cell>
          <cell r="K64" t="str">
            <v>/</v>
          </cell>
        </row>
        <row r="65">
          <cell r="A65" t="str">
            <v>TN4052</v>
          </cell>
          <cell r="B65" t="str">
            <v>Golden Yunnan</v>
          </cell>
          <cell r="D65" t="str">
            <v>THE GREAT CLASSICS</v>
          </cell>
          <cell r="F65" t="str">
            <v>Original black tea</v>
          </cell>
          <cell r="G65" t="str">
            <v>China - Yunnan</v>
          </cell>
          <cell r="H65" t="str">
            <v>This tasty, selectively harvested black tea from Yunnan is characterized by its attractive leaves and rich golden buds. Its dark red, hazelnut-scented liquor is both fruity and spicy, with a smooth mouthfeel. A classic that never gets old!</v>
          </cell>
          <cell r="J65" t="str">
            <v>Ingredient: black tea*. *Organically grown.</v>
          </cell>
          <cell r="K65" t="str">
            <v>/</v>
          </cell>
        </row>
        <row r="66">
          <cell r="A66" t="str">
            <v>TN4102</v>
          </cell>
          <cell r="B66" t="str">
            <v>Pu'er Grade 1</v>
          </cell>
          <cell r="C66" t="str">
            <v>/</v>
          </cell>
          <cell r="D66" t="str">
            <v>THE GREAT CLASSICS</v>
          </cell>
          <cell r="F66" t="str">
            <v>Original dark tea</v>
          </cell>
          <cell r="G66" t="str">
            <v>China - Yunnan</v>
          </cell>
          <cell r="H66" t="str">
            <v>Hand-picked from ancient tea bushes, pu'er tea is characterized by notes of licorice undergrowth and a smooth liquor that lingers on the palate. In China, it is prized for its generous aroma, beneficial qualities and low theine content.</v>
          </cell>
          <cell r="J66" t="str">
            <v xml:space="preserve">Ingredient: pu'er dark tea*. *Organically grown. </v>
          </cell>
          <cell r="K66" t="str">
            <v>/</v>
          </cell>
        </row>
        <row r="67">
          <cell r="A67" t="str">
            <v>TN4676</v>
          </cell>
          <cell r="B67" t="str">
            <v>Grand Keemun FOP</v>
          </cell>
          <cell r="C67" t="str">
            <v>Qi Men Hong Cha</v>
          </cell>
          <cell r="D67" t="str">
            <v>THE GREAT CLASSICS</v>
          </cell>
          <cell r="F67" t="str">
            <v>Original black tea</v>
          </cell>
          <cell r="G67" t="str">
            <v>China - Anhui</v>
          </cell>
          <cell r="H67" t="str">
            <v>This great Qimen black tea, produced in the southwest of the famous Yellow Mountain, is a classic Chinese grand cru. Its smooth-textured red infusion blends typical chocolate and malty notes with light woody and fruity accents. A gourmet tea with perfect balance.</v>
          </cell>
          <cell r="J67" t="str">
            <v>Ingredient: black tea*. *Organically grown.</v>
          </cell>
          <cell r="K67" t="str">
            <v>/</v>
          </cell>
        </row>
        <row r="68">
          <cell r="A68" t="str">
            <v>TN5452</v>
          </cell>
          <cell r="B68" t="str">
            <v>Banana Black</v>
          </cell>
          <cell r="C68" t="str">
            <v>/</v>
          </cell>
          <cell r="D68" t="str">
            <v>THE GREAT CLASSICS</v>
          </cell>
          <cell r="F68" t="str">
            <v>Original black tea</v>
          </cell>
          <cell r="G68" t="str">
            <v>Vietnam - Yen Bai</v>
          </cell>
          <cell r="H68" t="str">
            <v>The leaves and numerous buds of this black tea's ancient tea bushes have been brought into contact with fresh banana leaves. The result is a lovely woody attack followed by a complex array of sweet, wild and spicy notes. A tea as gourmand as it is original!</v>
          </cell>
          <cell r="J68" t="str">
            <v>Ingredient: black tea*. *Organically grown.</v>
          </cell>
          <cell r="K68" t="str">
            <v>/</v>
          </cell>
        </row>
        <row r="69">
          <cell r="A69" t="str">
            <v>TN5512</v>
          </cell>
          <cell r="B69" t="str">
            <v>The water way</v>
          </cell>
          <cell r="C69" t="str">
            <v>/</v>
          </cell>
          <cell r="D69" t="str">
            <v>THE TRANSPORTE A LA VOILE</v>
          </cell>
          <cell r="F69" t="str">
            <v>Original black tea</v>
          </cell>
          <cell r="G69" t="str">
            <v>Vietnam</v>
          </cell>
          <cell r="H69" t="str">
            <v>Sailing all the way from its native Vietnam, this black tea has taken to the water, foreshadowing a new future. With the help of the wind and its inexhaustible energy, we can enjoy a tea from small producers with pleasant woody scents and malty flavors full of sweetness.</v>
          </cell>
          <cell r="J69" t="str">
            <v>Ingredient: black tea*. *Organically grown.</v>
          </cell>
        </row>
        <row r="70">
          <cell r="A70" t="str">
            <v>TN5896</v>
          </cell>
          <cell r="B70" t="str">
            <v>Cape Uganda</v>
          </cell>
          <cell r="C70" t="str">
            <v>/</v>
          </cell>
          <cell r="D70" t="str">
            <v>THE ENGAGED</v>
          </cell>
          <cell r="E70" t="str">
            <v>TAKING ACTION FOR NATURE</v>
          </cell>
          <cell r="F70" t="str">
            <v>Original black tea</v>
          </cell>
          <cell r="G70" t="str">
            <v>Uganda</v>
          </cell>
          <cell r="H70" t="str">
            <v>Produced by agroforestry in Uganda, this black tea seduces with its beautiful aromatic complexity, reflecting the biodiversity of its terroir. Its velvety, bitterness-free liquor offers pleasant fruity flavors that evoke the sweetness of mango on an intense, gourmet malty-sweet background.</v>
          </cell>
          <cell r="I70" t="str">
            <v>The association Projet pour la Conservation des Grands Singes (PCGS) works to protect wild chimpanzees and their tropical forest habitat. helloasso.com/associations/projet-pour-la-conservation-des-grands-singes</v>
          </cell>
          <cell r="J70" t="str">
            <v>Ingredient: black tea*. *Organically grown.</v>
          </cell>
          <cell r="K70" t="str">
            <v>/</v>
          </cell>
        </row>
        <row r="71">
          <cell r="A71" t="str">
            <v>TO1132</v>
          </cell>
          <cell r="B71" t="str">
            <v>Jade wulong</v>
          </cell>
          <cell r="D71" t="str">
            <v>THE GREAT CLASSICS</v>
          </cell>
          <cell r="F71" t="str">
            <v>Original wulong tea</v>
          </cell>
          <cell r="G71" t="str">
            <v>China - Hubei</v>
          </cell>
          <cell r="H71" t="str">
            <v xml:space="preserve">The large, rolled leaves of this wulong from the Hubei mountains release a bright yellow liquor with an intense floral fragrance. Its name "Jade" comes from its low oxidation, which makes it similar to a green tea and gives it pleasant fruity, vegetal flavours. </v>
          </cell>
          <cell r="J71" t="str">
            <v>Ingredient : wulong tea*. *Organically grown.</v>
          </cell>
          <cell r="K71" t="str">
            <v>/</v>
          </cell>
        </row>
        <row r="72">
          <cell r="A72" t="str">
            <v>TO1156</v>
          </cell>
          <cell r="B72" t="str">
            <v>Tie Guan Yin</v>
          </cell>
          <cell r="C72" t="str">
            <v xml:space="preserve">Iron goddess of mercy </v>
          </cell>
          <cell r="D72" t="str">
            <v>LES GRAND CRUS</v>
          </cell>
          <cell r="F72" t="str">
            <v>Original wulong tea</v>
          </cell>
          <cell r="G72" t="str">
            <v>China - Hubei</v>
          </cell>
          <cell r="H72" t="str">
            <v>Sought-after by tea lovers, this medium-oxidized wulong tea from Fujian province is a must-have. Its large, bead-rolled leaves offer a brilliant infusion characterized by exotic floral scents reminiscent of lilac and gourmet flavors of honey and hazelnut.</v>
          </cell>
          <cell r="J72" t="str">
            <v>Ingredient : wulong tea*. *Organically grown.</v>
          </cell>
          <cell r="K72" t="str">
            <v>/</v>
          </cell>
        </row>
        <row r="73">
          <cell r="A73" t="str">
            <v>TO1176</v>
          </cell>
          <cell r="B73" t="str">
            <v>Dong Ding</v>
          </cell>
          <cell r="D73" t="str">
            <v>JEWELS FROM JAPAN AND TAIWAN</v>
          </cell>
          <cell r="F73" t="str">
            <v>Original wulong tea</v>
          </cell>
          <cell r="G73" t="str">
            <v>Taiwan - New Taipei</v>
          </cell>
          <cell r="H73" t="str">
            <v xml:space="preserve">The pearl-rolled leaves of this famous wulong tea from central Taiwan have been moderately oxidized and then roasted using the traditional Taiwanese method. They deliver a dense liquor, with particularly intense floral, milky and nutty flavors. </v>
          </cell>
          <cell r="J73" t="str">
            <v>Ingredient : wulong tea*. *Organically grown.</v>
          </cell>
          <cell r="K73" t="str">
            <v>/</v>
          </cell>
        </row>
        <row r="74">
          <cell r="A74" t="str">
            <v>TO1222</v>
          </cell>
          <cell r="B74" t="str">
            <v>Venerable wulong</v>
          </cell>
          <cell r="C74" t="str">
            <v>/</v>
          </cell>
          <cell r="D74" t="str">
            <v>LES GRAND CRUS</v>
          </cell>
          <cell r="F74" t="str">
            <v>Original wulong tea</v>
          </cell>
          <cell r="G74" t="str">
            <v>New Zealand - Waikato</v>
          </cell>
          <cell r="H74" t="str">
            <v>Patiently matured in clay pots, this venerable wulong offers a beautiful organoleptic richness. After a woody attack that leaves an intense impression on the palate, the infusion releases pleasantly fruity aromas of fig, grape and caramelized hazelnut. A tea as elegant as it is delicious..</v>
          </cell>
          <cell r="J74" t="str">
            <v>Ingredient : wulong tea*. *Organically grown.</v>
          </cell>
          <cell r="K74" t="str">
            <v>/</v>
          </cell>
        </row>
        <row r="75">
          <cell r="A75" t="str">
            <v>TO2042</v>
          </cell>
          <cell r="B75" t="str">
            <v>Sticky rice</v>
          </cell>
          <cell r="C75" t="str">
            <v>/</v>
          </cell>
          <cell r="D75" t="str">
            <v>THE GREAT CLASSICS</v>
          </cell>
          <cell r="F75" t="str">
            <v>Original scented wulong tea</v>
          </cell>
          <cell r="G75" t="str">
            <v>Thailand - Chiang Rai</v>
          </cell>
          <cell r="H75" t="str">
            <v>This highly aromatic wulong tea from northern Thailand is distinguished by its fragrance of steamed rice, due to the presence of Nuo Mi Xiang (Semnostachya menglaensis Tsui) leaves. Its smooth liqueur offers sweet, floral and biscuity flavors reminiscent of rice pudding.</v>
          </cell>
          <cell r="J75" t="str">
            <v>Ingredient : wulong tea*. *Organically grown.</v>
          </cell>
          <cell r="K75" t="str">
            <v>/</v>
          </cell>
        </row>
        <row r="76">
          <cell r="A76" t="str">
            <v>TR2042</v>
          </cell>
          <cell r="B76" t="str">
            <v>Magic in the woods</v>
          </cell>
          <cell r="C76" t="str">
            <v>Blueberry - raspberry flavors</v>
          </cell>
          <cell r="D76" t="str">
            <v>THE GREAT CLASSICS</v>
          </cell>
          <cell r="F76" t="str">
            <v>Flavored Rooibos</v>
          </cell>
          <cell r="G76" t="str">
            <v>South Africa - Western Cape</v>
          </cell>
          <cell r="H76" t="str">
            <v>This rooibos, beautifully embellished with cornflower petals and fruity blueberry and raspberry flavors, evokes the magic of the woods. A delicious gourmet stroll awaits you, to be enjoyed with the whole family, hot or iced!</v>
          </cell>
          <cell r="J76" t="str">
            <v>Ingredients: rooibos*, natural flavors of (blueberry*, raspberry*) 13%, aronia*, cornflower petals*. *Organically grown.</v>
          </cell>
          <cell r="K76" t="str">
            <v>/</v>
          </cell>
        </row>
        <row r="77">
          <cell r="A77" t="str">
            <v>TR2102</v>
          </cell>
          <cell r="B77" t="str">
            <v>Parfum de Soleil</v>
          </cell>
          <cell r="C77" t="str">
            <v>Apricot - Peach</v>
          </cell>
          <cell r="D77" t="str">
            <v>THE GREAT CLASSICS</v>
          </cell>
          <cell r="F77" t="str">
            <v>Flavored Rooibos</v>
          </cell>
          <cell r="G77" t="str">
            <v>South Africa - Western Cape</v>
          </cell>
          <cell r="H77" t="str">
            <v xml:space="preserve">Like a scent of sunshine, this rooibos combines the warmth of its origins with the smoothness of peach and the tangy notes of apricot. For a fruity break that evokes the sweetness of fine weather with every sip. </v>
          </cell>
          <cell r="J77" t="str">
            <v xml:space="preserve">Ingredients: rooibos*, natural flavors of (peach*, apricot*) 8%, fruit pieces (apricot*, peach*) 1%, marigold petals*. *From organic farming. </v>
          </cell>
          <cell r="K77" t="str">
            <v>/</v>
          </cell>
        </row>
        <row r="78">
          <cell r="A78" t="str">
            <v>TR2192</v>
          </cell>
          <cell r="B78" t="str">
            <v>Gentle humanity</v>
          </cell>
          <cell r="C78" t="str">
            <v>Orange - Sweet mint</v>
          </cell>
          <cell r="D78" t="str">
            <v>THE ENGAGED</v>
          </cell>
          <cell r="E78" t="str">
            <v>ACTING FOR EDUCATION</v>
          </cell>
          <cell r="F78" t="str">
            <v>Flavored Rooibos</v>
          </cell>
          <cell r="G78" t="str">
            <v>South Africa - Western Cape</v>
          </cell>
          <cell r="H78" t="str">
            <v>At the heart of this gentle, luminous recipe that celebrates humanity, the warm, woody nuances of rooibos provide the setting for an intense dialogue between the freshness of mint and the fruity, aromatic roundness of orange. A delicacy meant to be shared.</v>
          </cell>
          <cell r="I78" t="str">
            <v>Located in the Ardèche region of France, Les Amanins is an agro-ecological center offering activities linked to nature, ecology and the human being. lesamanins.com</v>
          </cell>
          <cell r="J78" t="str">
            <v>Ingredients: wild rooibos*, sweet mint* 4%, orange peel* 3%, orange essential oil* 3%. *Organically grown.</v>
          </cell>
          <cell r="K78" t="str">
            <v>/</v>
          </cell>
        </row>
        <row r="79">
          <cell r="A79" t="str">
            <v>TR2262</v>
          </cell>
          <cell r="B79" t="str">
            <v>All guns blazing</v>
          </cell>
          <cell r="C79" t="str">
            <v>Orange</v>
          </cell>
          <cell r="D79" t="str">
            <v>THE GREAT CLASSICS</v>
          </cell>
          <cell r="F79" t="str">
            <v>Flavored Rooibos</v>
          </cell>
          <cell r="G79" t="str">
            <v>South Africa - Western Cape</v>
          </cell>
          <cell r="H79" t="str">
            <v>All fire and brimstone, this gourmet rooibos will not leave you indifferent. South Africa's national drink is here enhanced with notes of orange. The result is an intense red liqueur with round, sweet, fruity flavors that can be enjoyed as a hot or iced infusion.</v>
          </cell>
          <cell r="J79" t="str">
            <v>Ingredients: rooibos*, orange peel* 5%, sweet orange essential oil* 3%. *Organically grown.</v>
          </cell>
          <cell r="K79" t="str">
            <v>/</v>
          </cell>
        </row>
        <row r="80">
          <cell r="A80" t="str">
            <v>TR2332</v>
          </cell>
          <cell r="B80" t="str">
            <v>Springtime at the San</v>
          </cell>
          <cell r="C80" t="str">
            <v>Cocoa - Raspberry</v>
          </cell>
          <cell r="D80" t="str">
            <v>THE GREAT CLASSICS</v>
          </cell>
          <cell r="F80" t="str">
            <v>Flavored Rooibos</v>
          </cell>
          <cell r="G80" t="str">
            <v>South Africa - Western Cape</v>
          </cell>
          <cell r="H80" t="str">
            <v>The honeyed, slightly woody flavors of rooibos mingle with the warm cocoa and fruity raspberry notes... Let yourself be tempted by this recipe, inspired by wonderful moments of exchange spent among the San, a noble South African people.</v>
          </cell>
          <cell r="J80" t="str">
            <v>Ingredients: rooibos*, natural raspberry flavor* 6%, cocoa bark* 4%, vanilla pieces*, raspberry pieces* 2%, amaranth*. *From organic farming.</v>
          </cell>
          <cell r="K80" t="str">
            <v>/</v>
          </cell>
        </row>
        <row r="81">
          <cell r="A81" t="str">
            <v>TR2452</v>
          </cell>
          <cell r="B81" t="str">
            <v>Sowers of the future</v>
          </cell>
          <cell r="C81" t="str">
            <v>Pineapple - Mandarin</v>
          </cell>
          <cell r="D81" t="str">
            <v>THE ENGAGED</v>
          </cell>
          <cell r="F81" t="str">
            <v>Flavored Rooibos</v>
          </cell>
          <cell r="G81" t="str">
            <v>South Africa - Western Cape</v>
          </cell>
          <cell r="H81" t="str">
            <v>Generous and feminine, this rooibos-based recipe combines the sweetness of pineapple with the unique, smooth aromas of mandarin orange. Highlighted by discreet notes of licorice, it combines warmth and lightness in the image of its ingredients.</v>
          </cell>
          <cell r="I81" t="str">
            <v>The NGO Indigo works in South Africa to promote greater social justice in rural communities and to preserve biodiversity. indigo-dc.org</v>
          </cell>
          <cell r="J81" t="str">
            <v>Ingredients: rooibos*, fruit (mandarin peel*, pineapple pieces*) 10%, natural pineapple flavor* 4.5%, elderberries*, licorice*, mandarin essential oil* 0.5%. *From organic farming. Contains licorice; people with high blood pressure should avoid excessive consumption.</v>
          </cell>
          <cell r="K81" t="str">
            <v>/</v>
          </cell>
        </row>
        <row r="82">
          <cell r="A82" t="str">
            <v>TR2462</v>
          </cell>
          <cell r="B82" t="str">
            <v>Breathe life</v>
          </cell>
          <cell r="C82" t="str">
            <v>Mace - Lavender - Ripe flavor</v>
          </cell>
          <cell r="D82" t="str">
            <v>THE GREAT CLASSICS</v>
          </cell>
          <cell r="F82" t="str">
            <v>Flavored Rooibos</v>
          </cell>
          <cell r="G82" t="str">
            <v>South Africa - Western Cape</v>
          </cell>
          <cell r="H82" t="str">
            <v>On a base of green rooibos, the fruity notes of the blackberry-blueberry duo, the floral notes of lavender and the spicy notes of mace combine perfectly to create a melody of flavors. Each sip is an invitation to become more aware of the world around us. A real breath of oxygen and pleasure!</v>
          </cell>
          <cell r="J82" t="str">
            <v>Ingredients: green rooibos*, natural flavors of (blackberry* 7%, blueberry*, strawberry*), flowers (mace*, lavender*) 9%, flower petals (poppy*, cornflower*), aronia berries*. *From organic farming.</v>
          </cell>
          <cell r="K82" t="str">
            <v>/</v>
          </cell>
        </row>
        <row r="83">
          <cell r="A83" t="str">
            <v>TU0025</v>
          </cell>
          <cell r="B83" t="str">
            <v>Peace, Love &amp;amp; Tea</v>
          </cell>
          <cell r="C83" t="str">
            <v>Pu'er sheng</v>
          </cell>
          <cell r="D83" t="str">
            <v>LES GRAND CRUS</v>
          </cell>
          <cell r="F83" t="str">
            <v>Compressed pu'er dark tea</v>
          </cell>
          <cell r="G83" t="str">
            <v>China - Yunnan</v>
          </cell>
          <cell r="H83" t="str">
            <v>This galette de pu'er cru has been made to celebrate our 25th anniversary from a special selection of spring leaves harvested in 2018 from old tea bushes in Lincang. Its young, fruity notes will slowly evolve towards the tertiary aromas typical of old pu'er. A collector's item!</v>
          </cell>
          <cell r="J83" t="str">
            <v xml:space="preserve">Ingredient: pu'er sheng tea compressed into wafers*. *Organically grown. </v>
          </cell>
          <cell r="K83" t="str">
            <v>/</v>
          </cell>
        </row>
        <row r="84">
          <cell r="A84" t="str">
            <v>TUTJ0716</v>
          </cell>
          <cell r="B84" t="str">
            <v>Sencha</v>
          </cell>
          <cell r="C84" t="str">
            <v>Bashō's dream</v>
          </cell>
          <cell r="D84" t="str">
            <v>JEWELS FROM JAPAN AND TAIWAN</v>
          </cell>
          <cell r="F84" t="str">
            <v>Original green tea</v>
          </cell>
          <cell r="G84" t="str">
            <v>Japan - Ujitawara</v>
          </cell>
          <cell r="H84" t="str">
            <v>The pretty emerald needles of this great sencha deliver an infusion with surprisingly intense fragrances. On the palate, its sweet vanilla aromas linger for a long time. A generous green tea to be enjoyed to the rhythm of haiku verses.</v>
          </cell>
          <cell r="J84" t="str">
            <v>Ingredient: green tea*. *Organically grown.</v>
          </cell>
          <cell r="K84" t="str">
            <v>/</v>
          </cell>
        </row>
        <row r="85">
          <cell r="A85" t="str">
            <v>TUTJ0736</v>
          </cell>
          <cell r="B85" t="str">
            <v>Buddha Amacha</v>
          </cell>
          <cell r="D85" t="str">
            <v>JEWELS FROM JAPAN AND TAIWAN</v>
          </cell>
          <cell r="F85" t="str">
            <v>Herbal infusions</v>
          </cell>
          <cell r="G85" t="str">
            <v>Japan - Iwate</v>
          </cell>
          <cell r="H85" t="str">
            <v>This prestigious infusion, made from the leaves of the Hydrangea serrata plant, is traditionally consumed in Japan for religious ceremonies and special occasions. Its sweet, reglissive flavors arouse intense emotions, both gustatory and spiritual.</v>
          </cell>
          <cell r="J85" t="str">
            <v xml:space="preserve">Ingredient: amacha (Hydrangea macrophylla). Guaranteed free of pesticide residues. </v>
          </cell>
          <cell r="K85" t="str">
            <v>/</v>
          </cell>
        </row>
        <row r="86">
          <cell r="A86" t="str">
            <v>TUTJ0836</v>
          </cell>
          <cell r="B86" t="str">
            <v>Gyokuro Karigane</v>
          </cell>
          <cell r="C86" t="str">
            <v>Kukicha</v>
          </cell>
          <cell r="D86" t="str">
            <v>JEWELS FROM JAPAN AND TAIWAN</v>
          </cell>
          <cell r="F86" t="str">
            <v>Original green tea</v>
          </cell>
          <cell r="G86" t="str">
            <v>Japan - Ujitawara</v>
          </cell>
          <cell r="H86" t="str">
            <v>Made from gyokuro stems and leaves, this Japanese green tea represents the crème de la crème of kukicha teas. Its velvety liquor delivers yellow-fruit flavors accompanied by vegetal and marine notes that develop in the mouth in a highly refined manner. A real delight!</v>
          </cell>
          <cell r="J86" t="str">
            <v>Ingredient: green tea*. *Organically grown.</v>
          </cell>
          <cell r="K86" t="str">
            <v>/</v>
          </cell>
        </row>
        <row r="87">
          <cell r="A87" t="str">
            <v>TUTJ2246</v>
          </cell>
          <cell r="B87" t="str">
            <v>Tamaryokucha</v>
          </cell>
          <cell r="D87" t="str">
            <v>JEWELS FROM JAPAN AND TAIWAN</v>
          </cell>
          <cell r="F87" t="str">
            <v>Original green tea</v>
          </cell>
          <cell r="G87" t="str">
            <v>Japan - Shizuoka</v>
          </cell>
          <cell r="H87" t="str">
            <v xml:space="preserve">Tamaryokucha is a confidential Japanese green tea whose leaves are twisted rather than rolled into needles. It's appreciated for its zesty, nutty flavors and the subtle roasted notes of its oven-firing process. </v>
          </cell>
          <cell r="J87" t="str">
            <v>Ingredient: green tea*. *Organically grown.</v>
          </cell>
          <cell r="K87" t="str">
            <v>/</v>
          </cell>
        </row>
        <row r="88">
          <cell r="A88" t="str">
            <v>TUTO1316</v>
          </cell>
          <cell r="B88" t="str">
            <v>Superior Gaba wulong</v>
          </cell>
          <cell r="C88" t="str">
            <v xml:space="preserve"> "Original ecological restoration tea garden"</v>
          </cell>
          <cell r="D88" t="str">
            <v>JEWELS FROM JAPAN AND TAIWAN</v>
          </cell>
          <cell r="F88" t="str">
            <v>Original wulong tea</v>
          </cell>
          <cell r="G88" t="str">
            <v>Taiwan - Nantou</v>
          </cell>
          <cell r="H88" t="str">
            <v>This superior gaba wulong from the prestigious Qing Xin cultivar was grown in a pioneering organic garden in Taiwan. The liqueur seduces with notes of fresh cherry and sakura leaves, enhanced by a particularly bewitching malty, woody and roasted base.</v>
          </cell>
          <cell r="J88" t="str">
            <v>Ingredient : wulong tea*. *Organically grown.</v>
          </cell>
          <cell r="K88" t="str">
            <v>/</v>
          </cell>
        </row>
        <row r="89">
          <cell r="A89" t="str">
            <v>TUTV5342</v>
          </cell>
          <cell r="B89" t="str">
            <v>Korean green tea</v>
          </cell>
          <cell r="C89" t="str">
            <v>Sencha</v>
          </cell>
          <cell r="D89" t="str">
            <v>THE GREAT CLASSICS</v>
          </cell>
          <cell r="F89" t="str">
            <v>Original green tea</v>
          </cell>
          <cell r="G89" t="str">
            <v>South Korea - Jeju-do</v>
          </cell>
          <cell r="H89" t="str">
            <v>Similar to Japanese sencha, this bright green steamed green tea from a mature summer harvest releases a fruity bouquet, punctuated by marine and mineral notes reminiscent of its terroir. Colorful and luminous, its cup offers soft, balanced flavors.</v>
          </cell>
          <cell r="J89" t="str">
            <v xml:space="preserve">Ingredient: green tea*. *Organically grown. </v>
          </cell>
          <cell r="K89" t="str">
            <v>/</v>
          </cell>
        </row>
        <row r="90">
          <cell r="A90" t="str">
            <v>TV1092</v>
          </cell>
          <cell r="B90" t="str">
            <v>Hojicha</v>
          </cell>
          <cell r="D90" t="str">
            <v>THE GREAT CLASSICS</v>
          </cell>
          <cell r="F90" t="str">
            <v>Original roasted green tea</v>
          </cell>
          <cell r="G90" t="str">
            <v>Japan - Kagoshima</v>
          </cell>
          <cell r="H90" t="str">
            <v>Hojicha is a roasted green tea made from stems and leaves, whose infusion releases an amber liquor with a warm, toasty aroma and a slightly sweet, nutty flavor. An everyday tea reputed to be low in theine, it is particularly appreciated in Japan as an accompaniment to a meal.</v>
          </cell>
          <cell r="J90" t="str">
            <v>Ingredient: green tea*. *Organically grown.</v>
          </cell>
          <cell r="K90" t="str">
            <v>/</v>
          </cell>
        </row>
        <row r="91">
          <cell r="A91" t="str">
            <v>TV1126</v>
          </cell>
          <cell r="B91" t="str">
            <v>Lü Zhen Green Needle Special</v>
          </cell>
          <cell r="C91" t="str">
            <v xml:space="preserve">Green needles </v>
          </cell>
          <cell r="D91" t="str">
            <v>LES GRAND CRUS</v>
          </cell>
          <cell r="F91" t="str">
            <v>Mingqian green tea</v>
          </cell>
          <cell r="G91" t="str">
            <v>China - Hubei</v>
          </cell>
          <cell r="H91" t="str">
            <v xml:space="preserve">From the mountain massifs of Hubei, this green tea, the fruit of a spring harvest, is composed of downy buds finely hemmed in the shape of a needle. Its supple liquor is deliciously reminiscent of spring greens, with a background of mineral and buttery notes.. </v>
          </cell>
          <cell r="J91" t="str">
            <v>Ingredient: green tea*. *Organically grown.</v>
          </cell>
          <cell r="K91" t="str">
            <v>/</v>
          </cell>
        </row>
        <row r="92">
          <cell r="A92" t="str">
            <v>TV1232</v>
          </cell>
          <cell r="B92" t="str">
            <v>Yunnan Green</v>
          </cell>
          <cell r="C92" t="str">
            <v>/</v>
          </cell>
          <cell r="D92" t="str">
            <v>THE GREAT CLASSICS</v>
          </cell>
          <cell r="F92" t="str">
            <v>Original green tea</v>
          </cell>
          <cell r="G92" t="str">
            <v>China - Yunnan</v>
          </cell>
          <cell r="H92" t="str">
            <v>Plucked from ancient tea bushes, the large leaves of this Yunnan green tea release a refreshing infusion with the scent of undergrowth. Its supple liquor reveals floral and vegetal flavors underlined by a slight bitter and woody note. An excellent everyday tea.</v>
          </cell>
          <cell r="J92" t="str">
            <v>Ingredient: green tea*. *Organically grown.</v>
          </cell>
          <cell r="K92" t="str">
            <v>/</v>
          </cell>
        </row>
        <row r="93">
          <cell r="A93" t="str">
            <v>TV1346</v>
          </cell>
          <cell r="B93" t="str">
            <v>Jade Dew</v>
          </cell>
          <cell r="C93" t="str">
            <v xml:space="preserve">Jade dew </v>
          </cell>
          <cell r="D93" t="str">
            <v>LES GRAND CRUS</v>
          </cell>
          <cell r="F93" t="str">
            <v>Mingqian green tea</v>
          </cell>
          <cell r="G93" t="str">
            <v>China - Hubei</v>
          </cell>
          <cell r="H93" t="str">
            <v>This early steamed green tea is the fruit of ancient know-how, now rare in China. Its finely twisted spring buds deliver a crystalline, dense liquor with flavors of spring greens, accompanied by buttery, mineral and zesty notes. Short text: Prestigious spring harvest, steamed. Notes: Buttery, mineral, zesty, spring greens.</v>
          </cell>
          <cell r="J93" t="str">
            <v>Ingredient: green tea*. *Organically grown.</v>
          </cell>
          <cell r="K93" t="str">
            <v>/</v>
          </cell>
        </row>
        <row r="94">
          <cell r="A94" t="str">
            <v>TV1602</v>
          </cell>
          <cell r="B94" t="str">
            <v>Direction Uganda</v>
          </cell>
          <cell r="C94" t="str">
            <v>/</v>
          </cell>
          <cell r="D94" t="str">
            <v>THE ENGAGED</v>
          </cell>
          <cell r="E94" t="str">
            <v>TAKING ACTION FOR NATURE</v>
          </cell>
          <cell r="F94" t="str">
            <v>Original green tea</v>
          </cell>
          <cell r="G94" t="str">
            <v>Uganda</v>
          </cell>
          <cell r="H94" t="str">
            <v xml:space="preserve">Produced from tea bushes grown in agroforestry near Kibale National Park, this Ugandan green tea is entirely handcrafted. The surrounding trees and their protective shade have favored its sweetness and gourmet notes of brown sugar, yellow fruit and hot stone.. </v>
          </cell>
          <cell r="I94" t="str">
            <v>The association Projet pour la Conservation des Grands Singes (PCGS) works to protect wild chimpanzees and their tropical forest habitats. helloasso.com/associations/projet-pour-la-conservation-des-grands-singes</v>
          </cell>
          <cell r="J94" t="str">
            <v>Ingredient: green tea*. *Organically grown.</v>
          </cell>
          <cell r="K94" t="str">
            <v>/</v>
          </cell>
        </row>
        <row r="95">
          <cell r="A95" t="str">
            <v>TV4022</v>
          </cell>
          <cell r="B95" t="str">
            <v>Rose green tea</v>
          </cell>
          <cell r="C95" t="str">
            <v>Mei Gui Hua Cha</v>
          </cell>
          <cell r="D95" t="str">
            <v>THE GREAT CLASSICS</v>
          </cell>
          <cell r="F95" t="str">
            <v>Original scented green tea</v>
          </cell>
          <cell r="G95" t="str">
            <v>China - Enshi, Hubei</v>
          </cell>
          <cell r="H95" t="str">
            <v>This refined union combines the freshness of green tea and the delicate fragrance of rose to offer a rich taste experience. The sweet, heady flavors of the queen of flowers are subtly accompanied by the slight bitterness of green tea. For delicious moments of relaxation.</v>
          </cell>
          <cell r="J95" t="str">
            <v>Ingredient : rose green tea*. *Organically grown.</v>
          </cell>
          <cell r="K95" t="str">
            <v>/</v>
          </cell>
        </row>
        <row r="96">
          <cell r="A96" t="str">
            <v>TV4322</v>
          </cell>
          <cell r="B96" t="str">
            <v>Seogwang Sencha Spring</v>
          </cell>
          <cell r="D96" t="str">
            <v>THE GREAT CLASSICS</v>
          </cell>
          <cell r="F96" t="str">
            <v>Original green tea</v>
          </cell>
          <cell r="G96" t="str">
            <v>South Korea - Jeju-do</v>
          </cell>
          <cell r="H96" t="str">
            <v>Harvested in spring on Jeju Island, this green tea has benefited from the rich soil and ideal climatic conditions of this small South Korean paradise. The nuanced cup is dominated by herbaceous, mineral and fruity flavors, accompanied by notes of nuts.</v>
          </cell>
          <cell r="J96" t="str">
            <v>Ingredient: green tea*. *Organically grown.</v>
          </cell>
          <cell r="K96" t="str">
            <v>/</v>
          </cell>
        </row>
        <row r="97">
          <cell r="A97" t="str">
            <v>TV4542</v>
          </cell>
          <cell r="B97" t="str">
            <v>Wu Lü Special</v>
          </cell>
          <cell r="C97" t="str">
            <v xml:space="preserve">Jade mist </v>
          </cell>
          <cell r="D97" t="str">
            <v>THE GREAT CLASSICS</v>
          </cell>
          <cell r="F97" t="str">
            <v>Original green tea</v>
          </cell>
          <cell r="G97" t="str">
            <v>China - Hubei</v>
          </cell>
          <cell r="H97" t="str">
            <v xml:space="preserve">Sheltered from the mountain mists, this grand cru green tea from Hubei has benefited from the particularly favorable conditions of its terroir to develop its fruity aromas. Its fine, silky liquor offers sweet flavors reminiscent of melon, punctuated by a lovely zesty finish. </v>
          </cell>
          <cell r="J97" t="str">
            <v>Ingredient: green tea*. *Organically grown.</v>
          </cell>
          <cell r="K97" t="str">
            <v>/</v>
          </cell>
        </row>
        <row r="98">
          <cell r="A98" t="str">
            <v>TV5576</v>
          </cell>
          <cell r="B98" t="str">
            <v>Taiping Hou Kui</v>
          </cell>
          <cell r="C98" t="str">
            <v>Taiping Monkey King</v>
          </cell>
          <cell r="D98" t="str">
            <v>LES GRAND CRUS</v>
          </cell>
          <cell r="F98" t="str">
            <v>Original green tea</v>
          </cell>
          <cell r="G98" t="str">
            <v>China - Jiangxi</v>
          </cell>
          <cell r="H98" t="str">
            <v>primeurs 2024</v>
          </cell>
          <cell r="J98" t="str">
            <v>Ingredient: green tea*. *Organically grown.</v>
          </cell>
          <cell r="K98" t="str">
            <v>/</v>
          </cell>
        </row>
        <row r="99">
          <cell r="A99" t="str">
            <v>TV7942</v>
          </cell>
          <cell r="B99" t="str">
            <v>Pema's dream</v>
          </cell>
          <cell r="C99" t="str">
            <v>/</v>
          </cell>
          <cell r="D99" t="str">
            <v>THE GREAT CLASSICS</v>
          </cell>
          <cell r="F99" t="str">
            <v>Original green tea</v>
          </cell>
          <cell r="G99" t="str">
            <v>Nepal - Panchthar</v>
          </cell>
          <cell r="H99" t="str">
            <v>This Nepalese green tea was born in small, high-altitude plots surrounded by a rich and beautiful diversity of plants, which it seems to have imbibed. Its small leaves produce a golden liquor with vegetal, slightly acidic and spicy notes, and an airy quality that invites you to daydream.</v>
          </cell>
          <cell r="J99" t="str">
            <v>Ingredient: green tea*. *Organically grown.</v>
          </cell>
          <cell r="K99" t="str">
            <v>/</v>
          </cell>
        </row>
      </sheetData>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DG"/>
      <sheetName val="INFUSETTES PAGES"/>
      <sheetName val="TERRA MADRE"/>
      <sheetName val="FT"/>
      <sheetName val="CODE ARTI EXPORT"/>
      <sheetName val="FR et EN"/>
      <sheetName val="INFUSETTES COUNTRY FARM"/>
    </sheetNames>
    <sheetDataSet>
      <sheetData sheetId="0"/>
      <sheetData sheetId="1"/>
      <sheetData sheetId="2"/>
      <sheetData sheetId="3"/>
      <sheetData sheetId="4"/>
      <sheetData sheetId="5"/>
      <sheetData sheetId="6"/>
    </sheetDataSet>
  </externalBook>
</externalLink>
</file>

<file path=xl/persons/person.xml><?xml version="1.0" encoding="utf-8"?>
<personList xmlns="http://schemas.microsoft.com/office/spreadsheetml/2018/threadedcomments" xmlns:x="http://schemas.openxmlformats.org/spreadsheetml/2006/main">
  <person displayName="Aurélie SERVOL" id="{2E4CA100-09F5-456C-9AB6-BE0A3FFCA18E}" userId="S::aurelie.servol@jardinsdegaia.com::0f8370a3-a3cf-42ac-81d8-c6f201db2604"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6307A9-4C0A-4310-B6E8-AF41C4C0B526}" name="TableauJDG" displayName="TableauJDG" ref="A1:CW150" totalsRowShown="0" headerRowDxfId="97" dataDxfId="96" tableBorderDxfId="95">
  <autoFilter ref="A1:CW150" xr:uid="{591BA190-E617-4F6F-9DF4-882232FD12C0}"/>
  <sortState ref="A2:CW150">
    <sortCondition ref="D1:D150"/>
  </sortState>
  <tableColumns count="101">
    <tableColumn id="1" xr3:uid="{0BBA70F8-6AF3-4357-ADE9-C441E68B4D6C}" name="CODE PF" dataDxfId="94"/>
    <tableColumn id="8" xr3:uid="{2D1C4D01-3F60-4C5C-B5E6-E032C73BFE9F}" name="GAMME " dataDxfId="93"/>
    <tableColumn id="9" xr3:uid="{73318CC2-CB6F-4EEE-930E-4E830B04E6D5}" name="SOUS GAMME" dataDxfId="92"/>
    <tableColumn id="10" xr3:uid="{0177BB73-6CDB-477D-A30B-6CCB5FF0D88E}" name="DÉNOMINATION FR" dataDxfId="91"/>
    <tableColumn id="11" xr3:uid="{08BA98F5-4D0C-4DA2-B6AD-C947083452C1}" name="SOUS-DÉS FR" dataDxfId="90"/>
    <tableColumn id="12" xr3:uid="{285FD215-B329-49D4-9AD5-F0A4A73D4DCD}" name="TYPE DE THÉ FR" dataDxfId="89"/>
    <tableColumn id="13" xr3:uid="{B7073E77-4395-49F6-8F10-28CE37F82E11}" name="ORIGINE DU THÉ" dataDxfId="88"/>
    <tableColumn id="14" xr3:uid="{4E74F968-B924-4F72-A4B7-88F6CEB19106}" name="AB" dataDxfId="87"/>
    <tableColumn id="15" xr3:uid="{953185FB-AF9C-49DD-B5DB-69F4EEA7198E}" name="WFTO" dataDxfId="86"/>
    <tableColumn id="16" xr3:uid="{A22AB3F0-BDA5-4830-A315-D43CA9DD2C73}" name="D" dataDxfId="85"/>
    <tableColumn id="17" xr3:uid="{510CE261-9951-4806-85FA-687186D3870A}" name="WT" dataDxfId="84"/>
    <tableColumn id="18" xr3:uid="{18BFEBA0-E6C4-40E6-8FC7-DB83B4A7DDA0}" name="IGP" dataDxfId="83"/>
    <tableColumn id="19" xr3:uid="{714F4502-B50E-453A-BC8F-540F4192B88B}" name="EF" dataDxfId="82"/>
    <tableColumn id="20" xr3:uid="{C4C5FD61-8043-4CFA-BB38-E6DB22DB5627}" name="ECOCERT" dataDxfId="81"/>
    <tableColumn id="21" xr3:uid="{7335A52B-071A-49F5-A72A-75E17D0BC90E}" name="COND." dataDxfId="80"/>
    <tableColumn id="22" xr3:uid="{8F9CC57C-125D-4044-8E97-88EC85B44D91}" name="ANCIEN TEXTE COMMERCIAL  FR_x000a_300 caractères espaces compris" dataDxfId="79"/>
    <tableColumn id="23" xr3:uid="{77F85595-89D7-4DD3-950A-536BA066FBD4}" name="NOUVEAU TEXTE COMMERCIAL  FR_x000a_300 caractères espaces compris"/>
    <tableColumn id="24" xr3:uid="{E99109CB-7138-4AE0-B963-0036D89BB520}" name="NOUVEAU TEXTE COMMERCIAL COURT POUR ETIQUETTES GRANDS CRUS" dataDxfId="78"/>
    <tableColumn id="25" xr3:uid="{1F03D4AE-F3DA-4627-B6C1-75AF5B829916}" name="TEXTE ASSOCIATION LES ENGAGES_x000a_185 caractères espaces compris" dataDxfId="77"/>
    <tableColumn id="26" xr3:uid="{50CBD455-FED1-4752-8737-598F17AE33B2}" name="LISTE D'INGRÉDIENTS FR" dataDxfId="76"/>
    <tableColumn id="107" xr3:uid="{73C5BAEB-62BA-4E66-AB2F-EC7AA1F60BFB}" name="ALLERGENES" dataDxfId="0">
      <calculatedColumnFormula>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calculatedColumnFormula>
    </tableColumn>
    <tableColumn id="27" xr3:uid="{7767D226-D66E-48DD-9031-8AC6A5C2A822}" name="ALLÉGATIONS SANTÉ FR" dataDxfId="75"/>
    <tableColumn id="28" xr3:uid="{0029F5C6-373A-44E4-BBB9-B31F98567C78}" name="PHRASE WFTO FR" dataDxfId="74"/>
    <tableColumn id="29" xr3:uid="{E56B8357-B404-481F-93E3-912415A5C7D6}" name="POIDS G OU KG" dataDxfId="73"/>
    <tableColumn id="30" xr3:uid="{A7C61DF2-4B62-4E8F-A45E-E812A11DBBC5}" name="TPS MIN D'INFUSION" dataDxfId="72"/>
    <tableColumn id="31" xr3:uid="{BBC5FC34-C861-4B58-82D6-1C056A4D37A3}" name="T° C INFUSION" dataDxfId="71"/>
    <tableColumn id="32" xr3:uid="{F199AA72-1F57-4BB6-87BF-3AACB67D9B77}" name="POIDS EN G/TASSE DE 25 CL" dataDxfId="70"/>
    <tableColumn id="33" xr3:uid="{7E7D3078-5C9C-49C5-A2D7-6ABD4035153F}" name="NBRE DE TASSES" dataDxfId="69"/>
    <tableColumn id="34" xr3:uid="{8B25BADF-578F-46B7-B5A9-311BB9129531}" name="CODE EAN" dataDxfId="68"/>
    <tableColumn id="35" xr3:uid="{190AF854-84AE-4352-8093-8D477E69183B}" name="PLUSIEURS INFUSIONS " dataDxfId="67"/>
    <tableColumn id="36" xr3:uid="{778B6D4F-52BF-4821-AF34-B9B33F4E441E}" name="RÉF FACING" dataDxfId="66"/>
    <tableColumn id="37" xr3:uid="{AE84C745-205B-492B-9C1F-0EC0EDA0FF9D}" name="REF FACING 2025" dataDxfId="65"/>
    <tableColumn id="38" xr3:uid="{030B9B3E-ECFF-4D1C-B5B5-0BD56E39F271}" name="RÉF CONTRE 2025" dataDxfId="64"/>
    <tableColumn id="39" xr3:uid="{227EBC9F-D51E-41E8-B526-60CB91971B5A}" name="PRODUCTEUR/_x000a_JARDIN" dataDxfId="63"/>
    <tableColumn id="40" xr3:uid="{6F7CCC68-E526-403E-892D-A0BF69FBD014}" name="NOMENCLATURE PMI POUR INTEGRER V5" dataDxfId="62"/>
    <tableColumn id="41" xr3:uid="{83E8822C-09A1-46D6-931B-51A067CF571D}" name="PMI F9 NOUVEAU TEXTE COMMERCIAL" dataDxfId="61"/>
    <tableColumn id="42" xr3:uid="{A086DE07-2F3C-45C5-943E-FA1DA0E1B864}" name="DATE MODIFICATION PMI F9" dataDxfId="60"/>
    <tableColumn id="43" xr3:uid="{8E96975E-07D7-4C86-8A77-4690163F0D41}" name="SONNENTOR" dataDxfId="59"/>
    <tableColumn id="44" xr3:uid="{B3C2112C-0449-4258-8629-F072FCAAB4FE}" name="PREMIER LOT EN V5" dataDxfId="58"/>
    <tableColumn id="45" xr3:uid="{C77EF76A-10D9-49E6-96E1-9CC7DD41D15A}" name="BIOCOOP" dataDxfId="57"/>
    <tableColumn id="46" xr3:uid="{F140DFFC-9E1B-4427-AC88-59FAE344A373}" name="EXPORT_x000a_ANGLAIS" dataDxfId="56"/>
    <tableColumn id="47" xr3:uid="{A266D7CD-4A96-4ACF-9463-6DA7F8E21DD8}" name="CODE PF EXPORT ANGLAIS" dataDxfId="55"/>
    <tableColumn id="48" xr3:uid="{BDBE772D-0AE2-483D-BBD4-13B9D5D76B79}" name="DENOMINATION EN"/>
    <tableColumn id="49" xr3:uid="{8AB24001-64DF-4B6D-84E6-8A9F919E6657}" name="SOUS-DÉS EN"/>
    <tableColumn id="50" xr3:uid="{6DE93BC6-3E40-4656-AA96-63D452B29EF9}" name="TYPE DE THE EN"/>
    <tableColumn id="51" xr3:uid="{B472967C-29ED-42A0-942C-6B38158BE3F4}" name="ORIGINE EN"/>
    <tableColumn id="52" xr3:uid="{01167077-5928-47A8-AC07-53F8CE8BF6DA}" name="NOUVEAU TEXTE COMMERCIAL EN_x000a_"/>
    <tableColumn id="53" xr3:uid="{390E454E-9E24-43FB-AE5A-11837AF8421F}" name="LISTE INGREDIENTS EN" dataDxfId="54"/>
    <tableColumn id="54" xr3:uid="{B7E8A4C1-0D31-4AE3-A71C-A7348826B6E8}" name="TEXTE COMMERCIAL EN COURT" dataDxfId="53"/>
    <tableColumn id="55" xr3:uid="{DED867E9-4E61-4A7A-935F-5B45A67021D7}" name="ALLÉGATIONS SANTÉ EN" dataDxfId="52"/>
    <tableColumn id="56" xr3:uid="{47CCDA20-B472-40EC-B64F-450FD6FDF004}" name="Code étiquette EXPORT" dataDxfId="51"/>
    <tableColumn id="57" xr3:uid="{597F30F4-C4C7-471E-86B2-DE68ADEA5521}" name="Code contre-étiquette EXPORT" dataDxfId="50"/>
    <tableColumn id="58" xr3:uid="{252623D7-B98A-462C-B8F4-980C18DA8C93}" name="TEXTE ASSOCIATION LES ENGAGES" dataDxfId="49"/>
    <tableColumn id="59" xr3:uid="{1F94139A-09AB-4D3C-B3DE-ED04A58BB83F}" name="TEXTE PRESENTATION JDG" dataDxfId="48"/>
    <tableColumn id="60" xr3:uid="{14E0E476-8960-4AE2-9E84-87F366CF8ACD}" name="ECOCERT EN" dataDxfId="47"/>
    <tableColumn id="61" xr3:uid="{B56F0D7C-8EE9-4D0A-A370-18CFA85DBCC0}" name="CONDITIONNEMENT EXPORT" dataDxfId="46"/>
    <tableColumn id="62" xr3:uid="{4A2C281E-82CF-47BF-B8B8-426C967D6D59}" name="POIDS NET oz" dataDxfId="45"/>
    <tableColumn id="63" xr3:uid="{F4D7ABF2-376A-4A22-B7E1-7EEEB85775BA}" name="SOUS DES DE" dataDxfId="44"/>
    <tableColumn id="64" xr3:uid="{48B9A679-3C26-4294-9A2C-204FFE77DB24}" name="LISTE INGREDIENTS DE" dataDxfId="43"/>
    <tableColumn id="65" xr3:uid="{F421AF69-9EBD-4EC7-9145-65844DB63B3C}" name="SOUS DES IT" dataDxfId="42"/>
    <tableColumn id="66" xr3:uid="{4BEDF378-D06C-478A-8E22-07A16F258083}" name="LISTE INGREDIENTS IT" dataDxfId="41"/>
    <tableColumn id="67" xr3:uid="{66315659-5D8C-4C7B-85D3-A479BBF08125}" name="SOUS DES NL" dataDxfId="40"/>
    <tableColumn id="68" xr3:uid="{A2659A8A-C135-44CD-B519-F9244AB4B94B}" name="LISTE D'INGREDIENTS NL" dataDxfId="39"/>
    <tableColumn id="69" xr3:uid="{5988AC7B-74DE-4A36-B1CB-99E58885FA65}" name="Texte TUBE" dataDxfId="38"/>
    <tableColumn id="70" xr3:uid="{F0726C12-5AF7-45A3-A5F9-B2081E32B7E6}" name="Priorité" dataDxfId="37"/>
    <tableColumn id="71" xr3:uid="{45501D5A-5CE0-48EC-943A-EA43F9046BC8}" name="Aromatisé" dataDxfId="36">
      <calculatedColumnFormula>IF(IFERROR(FIND("romatis",$F2),0)=0,"","aromatisé")</calculatedColumnFormula>
    </tableColumn>
    <tableColumn id="72" xr3:uid="{4D8D857D-5778-4645-ABFC-4367F25EE821}" name="COMMENTAIRES" dataDxfId="35"/>
    <tableColumn id="73" xr3:uid="{1C601A87-A040-45DB-9D8C-7B56A6EB941B}" name="HISTORIQUE" dataDxfId="34"/>
    <tableColumn id="74" xr3:uid="{7216B679-0890-450E-B4A4-7C82D1E380DA}" name="Colonne1" dataDxfId="33"/>
    <tableColumn id="75" xr3:uid="{54E54914-F47F-412D-9465-3617DFF6AD5B}" name="Colonne2" dataDxfId="32"/>
    <tableColumn id="76" xr3:uid="{A6748B77-8DB9-4BD7-BBEC-13E2A3C9FEB8}" name="Colonne3" dataDxfId="31"/>
    <tableColumn id="77" xr3:uid="{EC1DE36F-C523-4700-B918-5779B2E892A0}" name="Colonne4" dataDxfId="30"/>
    <tableColumn id="78" xr3:uid="{F6A08048-0D1E-4073-B0DE-E822C99D563A}" name="Colonne5" dataDxfId="29"/>
    <tableColumn id="79" xr3:uid="{CF761E58-9CE5-40F9-8996-B59366DD1C3A}" name="1-4 Nouveau texte commercial FR" dataDxfId="28">
      <calculatedColumnFormula>IF(MID($Q2,251,1)=" ",MID($Q2,1,249),IF(MID($Q2,250,1)=" ",MID($Q2,1,248),MID($Q2,1,250)))</calculatedColumnFormula>
    </tableColumn>
    <tableColumn id="80" xr3:uid="{2CBD2F26-DEA7-4DC8-83C3-D21DAC46F8AC}" name="2-4 Nouveau texte commercial FR" dataDxfId="27">
      <calculatedColumnFormula>IF(MID($Q2,251,1)=" ",IF(MID($Q2,500,1)=" ",MID($Q2,250,249),IF(MID($Q2,499,1)=" ",MID($Q2,250,248),MID($Q2,250,250))),IF(MID($Q2,250,1)=" ",IF(MID($Q2,499,1)=" ",MID($Q2,249,249),IF(MID($Q2,498,1)=" ",MID($Q2,249,248),MID($Q2,249,250))),IF(MID($Q2,501,1)=" ",MID($Q2,251,249),IF(MID($Q2,500,1)=" ",MID($Q2,251,248),MID($Q2,251,250)))))</calculatedColumnFormula>
    </tableColumn>
    <tableColumn id="81" xr3:uid="{DBFD56F1-E8A5-4072-AB6C-FD0B720DD431}" name="3-4 Nouveau texte commercial FR" dataDxfId="26">
      <calculatedColumnFormula>IF(MID($Q2,251,1)=" ",IF(MID($Q2,500,1)=" ",IF(MID($Q2,749,1)=" ",MID($Q2,499,249),IF(MID($Q2,748,1)=" ",MID($Q2,499,248),MID($Q2,499,250))),IF(MID($Q2,499,1)=" ",IF(MID($Q2,748,1)=" ",MID($Q2,498,249),IF(MID($Q2,747,1)=" ",MID($Q2,498,248),MID($Q2,498,250))),IF(MID($Q2,750,1)=" ",MID($Q2,500,249),IF(MID($Q2,749,1)=" ",MID($Q2,500,248),MID($Q2,500,250))))),IF(MID($Q2,250,1)=" ",IF(MID($Q2,499,1)=" ",IF(MID($Q2,746,1)=" ",MID($Q2,498,247),IF(MID($Q2,745,1)=" ",MID($Q2,498,246),MID($Q2,498,248))),IF(MID($Q2,498,1)=" ",IF(MID($Q2,745,1)=" ",MID($Q2,497,247),IF(MID($Q2,744,1)=" ",MID($Q2,497,246),MID($Q2,497,248))),IF(MID($Q2,749,1)=" ",MID($Q2,499,249),IF(MID($Q2,748,1)=" ",MID($Q2,499,248),MID($Q2,499,250))))),IF(MID($Q2,501,1)=" ",IF(MID($Q2,750,1)=" ",MID($Q2,500,249),IF(MID($Q2,749,1)=" ",MID($Q2,500,248),MID($Q2,500,250))),IF(MID($Q2,500,1)=" ",IF(MID($Q2,749,1)=" ",MID($Q2,499,249),IF(MID($Q2,750,1)=" ",MID($Q2,499,249),MID($Q2,499,250))),IF(MID($Q2,751,1)=" ",MID($Q2,501,249),IF(MID($Q2,750,1)=" ",MID($Q2,501,248),MID($Q2,501,250)))))))</calculatedColumnFormula>
    </tableColumn>
    <tableColumn id="82" xr3:uid="{94127576-4602-4E71-A94D-09A0233740DA}" name="4-4 Nouveau texte comercial FR" dataDxfId="25">
      <calculatedColumnFormula>IF(MID($Q2,251,1)=" ",IF(MID($Q2,500,1)=" ",IF(MID($Q2,749,1)=" ",MID($Q2,748,250),IF(MID($Q2,748,1)=" ",MID($Q2,747,250),MID($Q2,749,250))),IF(MID($Q2,499,1)=" ",IF(MID($Q2,748,1)=" ",MID($Q2,747,250),IF(MID($Q2,747,1)=" ",MID($Q2,746,250),MID($Q2,748,250))),IF(MID($Q2,750,1)=" ",MID($Q2,749,250),IF(MID($Q2,749,1)=" ",MID($Q2,748,250),MID($Q2,750,250))))),IF(MID($Q2,250,1)=" ",IF(MID($Q2,499,1)=" ",IF(MID($Q2,746,1)=" ",MID($Q2,745,250),IF(MID($Q2,745,1)=" ",MID($Q2,744,250),MID($Q2,746,250))),IF(MID($Q2,498,1)=" ",IF(MID($Q2,745,1)=" ",MID($Q2,744,250),IF(MID($Q2,744,1)=" ",MID($Q2,743,250),MID($Q2,745,250))),IF(MID($Q2,749,1)=" ",MID($Q2,748,250),IF(MID($Q2,748,1)=" ",MID($Q2,747,250),MID($Q2,749,250))))),IF(MID($Q2,501,1)=" ",IF(MID($Q2,750,1)=" ",MID($Q2,749,250),IF(MID($Q2,749,1)=" ",MID($Q2,748,250),MID($Q2,750,250))),IF(MID($Q2,500,1)=" ",IF(MID($Q2,749,1)=" ",MID($Q2,748,250),IF(MID($Q2,750,1)=" ",MID($Q2,749,250),MID($Q2,750,250))),IF(MID($Q2,751,1)=" ",MID($Q2,750,250),IF(MID($Q2,750,1)=" ",MID($Q2,749,250),MID($Q2,751,250)))))))</calculatedColumnFormula>
    </tableColumn>
    <tableColumn id="83" xr3:uid="{570EA2F6-F2F0-4AE8-9BFF-6A7136E1838F}" name="1-4 Liste d'ingrédients" dataDxfId="24">
      <calculatedColumnFormula>IF(MID($T2,251,1)=" ",MID($T2,1,249),IF(MID($T2,250,1)=" ",MID($T2,1,248),MID($T2,1,250)))</calculatedColumnFormula>
    </tableColumn>
    <tableColumn id="84" xr3:uid="{80D31AF0-1BD9-468B-8FCE-F03FA7AEC71B}" name="2-4 Liste d'ingrédients" dataDxfId="23">
      <calculatedColumnFormula>IF(MID($T2,251,1)=" ",IF(MID($T2,500,1)=" ",MID($T2,250,249),IF(MID($T2,499,1)=" ",MID($T2,250,248),MID($T2,250,250))),IF(MID($T2,250,1)=" ",IF(MID($T2,499,1)=" ",MID($T2,249,249),IF(MID($T2,498,1)=" ",MID($T2,249,248),MID($T2,249,250))),IF(MID($T2,501,1)=" ",MID($T2,251,249),IF(MID($T2,500,1)=" ",MID($T2,251,248),MID($T2,251,250)))))</calculatedColumnFormula>
    </tableColumn>
    <tableColumn id="85" xr3:uid="{0459B8CA-F04F-4E7C-8CC2-11F805FE41FD}" name="3-4 Liste d'ingrédients" dataDxfId="22">
      <calculatedColumnFormula>IF(MID($T2,251,1)=" ",IF(MID($T2,500,1)=" ",IF(MID($T2,749,1)=" ",MID($T2,499,249),IF(MID($T2,748,1)=" ",MID($T2,499,248),MID($T2,499,250))),IF(MID($T2,499,1)=" ",IF(MID($T2,748,1)=" ",MID($T2,498,249),IF(MID($T2,747,1)=" ",MID($T2,498,248),MID($T2,498,250))),IF(MID($T2,750,1)=" ",MID($T2,500,249),IF(MID($T2,749,1)=" ",MID($T2,500,248),MID($T2,500,250))))),IF(MID($T2,250,1)=" ",IF(MID($T2,499,1)=" ",IF(MID($T2,746,1)=" ",MID($T2,498,247),IF(MID($T2,745,1)=" ",MID($T2,498,246),MID($T2,498,248))),IF(MID($T2,498,1)=" ",IF(MID($T2,745,1)=" ",MID($T2,497,247),IF(MID($T2,744,1)=" ",MID($T2,497,246),MID($T2,497,248))),IF(MID($T2,749,1)=" ",MID($T2,499,249),IF(MID($T2,748,1)=" ",MID($T2,499,248),MID($T2,499,250))))),IF(MID($T2,501,1)=" ",IF(MID($T2,750,1)=" ",MID($T2,500,249),IF(MID($T2,749,1)=" ",MID($T2,500,248),MID($T2,500,250))),IF(MID($T2,500,1)=" ",IF(MID($T2,749,1)=" ",MID($T2,499,249),IF(MID($T2,750,1)=" ",MID($T2,499,249),MID($T2,499,250))),IF(MID($T2,751,1)=" ",MID($T2,501,249),IF(MID($T2,750,1)=" ",MID($T2,501,248),MID($T2,501,250)))))))</calculatedColumnFormula>
    </tableColumn>
    <tableColumn id="86" xr3:uid="{1D90AED9-B530-4AD2-A8D9-050E3CAA2F93}" name="4-4 Liste d'ingrédients" dataDxfId="21">
      <calculatedColumnFormula>IF(MID($T2,251,1)=" ",IF(MID($T2,500,1)=" ",IF(MID($T2,749,1)=" ",MID($T2,748,250),IF(MID($T2,748,1)=" ",MID($T2,747,250),MID($T2,749,250))),IF(MID($T2,499,1)=" ",IF(MID($T2,748,1)=" ",MID($T2,747,250),IF(MID($T2,747,1)=" ",MID($T2,746,250),MID($T2,748,250))),IF(MID($T2,750,1)=" ",MID($T2,749,250),IF(MID($T2,749,1)=" ",MID($T2,748,250),MID($T2,750,250))))),IF(MID($T2,250,1)=" ",IF(MID($T2,499,1)=" ",IF(MID($T2,746,1)=" ",MID($T2,745,250),IF(MID($T2,745,1)=" ",MID($T2,744,250),MID($T2,746,250))),IF(MID($T2,498,1)=" ",IF(MID($T2,745,1)=" ",MID($T2,744,250),IF(MID($T2,744,1)=" ",MID($T2,743,250),MID($T2,745,250))),IF(MID($T2,749,1)=" ",MID($T2,748,250),IF(MID($T2,748,1)=" ",MID($T2,747,250),MID($T2,749,250))))),IF(MID($T2,501,1)=" ",IF(MID($T2,750,1)=" ",MID($T2,749,250),IF(MID($T2,749,1)=" ",MID($T2,748,250),MID($T2,750,250))),IF(MID($T2,500,1)=" ",IF(MID($T2,749,1)=" ",MID($T2,748,250),IF(MID($T2,750,1)=" ",MID($T2,749,250),MID($T2,750,250))),IF(MID($T2,751,1)=" ",MID($T2,750,250),IF(MID($T2,750,1)=" ",MID($T2,749,250),MID($T2,751,250)))))))</calculatedColumnFormula>
    </tableColumn>
    <tableColumn id="87" xr3:uid="{D024FEF3-8F62-4204-B9DE-B9723D6D1CBD}" name="1-4 allégation santé FR" dataDxfId="20">
      <calculatedColumnFormula>IF(MID($V2,251,1)=" ",MID($V2,1,249),IF(MID($V2,250,1)=" ",MID($V2,1,248),MID($V2,1,250)))</calculatedColumnFormula>
    </tableColumn>
    <tableColumn id="88" xr3:uid="{5EB2FAFC-098C-48BD-8CE9-999CE84101B0}" name="2-4 allégation santé FR" dataDxfId="19">
      <calculatedColumnFormula>IF(MID($V2,251,1)=" ",IF(MID($V2,500,1)=" ",MID($V2,250,249),IF(MID($V2,499,1)=" ",MID($V2,250,248),MID($V2,250,250))),IF(MID($V2,250,1)=" ",IF(MID($V2,499,1)=" ",MID($V2,249,249),IF(MID($V2,498,1)=" ",MID($V2,249,248),MID($V2,249,250))),IF(MID($V2,501,1)=" ",MID($V2,251,249),IF(MID($V2,500,1)=" ",MID($V2,251,248),MID($V2,251,250)))))</calculatedColumnFormula>
    </tableColumn>
    <tableColumn id="89" xr3:uid="{F3527C71-92A6-414C-BC4B-C26D2E34AD79}" name="3-4 allégation santé FR" dataDxfId="18">
      <calculatedColumnFormula>IF(MID($V2,251,1)=" ",IF(MID($V2,500,1)=" ",IF(MID($V2,749,1)=" ",MID($V2,499,249),IF(MID($V2,748,1)=" ",MID($V2,499,248),MID($V2,499,250))),IF(MID($V2,499,1)=" ",IF(MID($V2,748,1)=" ",MID($V2,498,249),IF(MID($V2,747,1)=" ",MID($V2,498,248),MID($V2,498,250))),IF(MID($V2,750,1)=" ",MID($V2,500,249),IF(MID($V2,749,1)=" ",MID($V2,500,248),MID($V2,500,250))))),IF(MID($V2,250,1)=" ",IF(MID($V2,499,1)=" ",IF(MID($V2,746,1)=" ",MID($V2,498,247),IF(MID($V2,745,1)=" ",MID($V2,498,246),MID($V2,498,248))),IF(MID($V2,498,1)=" ",IF(MID($V2,745,1)=" ",MID($V2,497,247),IF(MID($V2,744,1)=" ",MID($V2,497,246),MID($V2,497,248))),IF(MID($V2,749,1)=" ",MID($V2,499,249),IF(MID($V2,748,1)=" ",MID($V2,499,248),MID($V2,499,250))))),IF(MID($V2,501,1)=" ",IF(MID($V2,750,1)=" ",MID($V2,500,249),IF(MID($V2,749,1)=" ",MID($V2,500,248),MID($V2,500,250))),IF(MID($V2,500,1)=" ",IF(MID($V2,749,1)=" ",MID($V2,499,249),IF(MID($V2,750,1)=" ",MID($V2,499,249),MID($V2,499,250))),IF(MID($V2,751,1)=" ",MID($V2,501,249),IF(MID($V2,750,1)=" ",MID($V2,501,248),MID($V2,501,250)))))))</calculatedColumnFormula>
    </tableColumn>
    <tableColumn id="90" xr3:uid="{0DA0CDE4-FDB6-414D-AB1C-FD1F5A328962}" name="4-4 allégation santé FR" dataDxfId="17">
      <calculatedColumnFormula>IF(MID($V2,251,1)=" ",IF(MID($V2,500,1)=" ",IF(MID($V2,749,1)=" ",MID($V2,748,250),IF(MID($V2,748,1)=" ",MID($V2,747,250),MID($V2,749,250))),IF(MID($V2,499,1)=" ",IF(MID($V2,748,1)=" ",MID($V2,747,250),IF(MID($V2,747,1)=" ",MID($V2,746,250),MID($V2,748,250))),IF(MID($V2,750,1)=" ",MID($V2,749,250),IF(MID($V2,749,1)=" ",MID($V2,748,250),MID($V2,750,250))))),IF(MID($V2,250,1)=" ",IF(MID($V2,499,1)=" ",IF(MID($V2,746,1)=" ",MID($V2,745,250),IF(MID($V2,745,1)=" ",MID($V2,744,250),MID($V2,746,250))),IF(MID($V2,498,1)=" ",IF(MID($V2,745,1)=" ",MID($V2,744,250),IF(MID($V2,744,1)=" ",MID($V2,743,250),MID($V2,745,250))),IF(MID($V2,749,1)=" ",MID($V2,748,250),IF(MID($V2,748,1)=" ",MID($V2,747,250),MID($V2,749,250))))),IF(MID($V2,501,1)=" ",IF(MID($V2,750,1)=" ",MID($V2,749,250),IF(MID($V2,749,1)=" ",MID($V2,748,250),MID($V2,750,250))),IF(MID($V2,500,1)=" ",IF(MID($V2,749,1)=" ",MID($V2,748,250),IF(MID($V2,750,1)=" ",MID($V2,749,250),MID($V2,750,250))),IF(MID($V2,751,1)=" ",MID($V2,750,250),IF(MID($V2,750,1)=" ",MID($V2,749,250),MID($V2,751,250)))))))</calculatedColumnFormula>
    </tableColumn>
    <tableColumn id="91" xr3:uid="{2B4D0224-1A5D-40B5-B9AA-C97CDD34591A}" name="1-4 Phrase WFTO FR" dataDxfId="16">
      <calculatedColumnFormula>IF(MID($W2,251,1)=" ",MID($W2,1,249),IF(MID($W2,250,1)=" ",MID($W2,1,248),MID($W2,1,250)))</calculatedColumnFormula>
    </tableColumn>
    <tableColumn id="92" xr3:uid="{34AAA973-3705-4CF0-A91E-2146AFF56AE8}" name="2-4 Phrase WFTO FR" dataDxfId="15">
      <calculatedColumnFormula>IF(MID($W2,251,1)=" ",IF(MID($W2,500,1)=" ",MID($W2,250,249),IF(MID($W2,499,1)=" ",MID($W2,250,248),MID($W2,250,250))),IF(MID($W2,250,1)=" ",IF(MID($W2,499,1)=" ",MID($W2,249,249),IF(MID($W2,498,1)=" ",MID($W2,249,248),MID($W2,249,250))),IF(MID($W2,501,1)=" ",MID($W2,251,249),IF(MID($W2,500,1)=" ",MID($W2,251,248),MID($W2,251,250)))))</calculatedColumnFormula>
    </tableColumn>
    <tableColumn id="93" xr3:uid="{6B317150-A5FD-4E08-B0D0-42516059EDA4}" name="3-4 Phrase WFTO FR" dataDxfId="14">
      <calculatedColumnFormula>IF(MID($W2,251,1)=" ",IF(MID($W2,500,1)=" ",IF(MID($W2,749,1)=" ",MID($W2,499,249),IF(MID($W2,748,1)=" ",MID($W2,499,248),MID($W2,499,250))),IF(MID($W2,499,1)=" ",IF(MID($W2,748,1)=" ",MID($W2,498,249),IF(MID($W2,747,1)=" ",MID($W2,498,248),MID($W2,498,250))),IF(MID($W2,750,1)=" ",MID($W2,500,249),IF(MID($W2,749,1)=" ",MID($W2,500,248),MID($W2,500,250))))),IF(MID($W2,250,1)=" ",IF(MID($W2,499,1)=" ",IF(MID($W2,746,1)=" ",MID($W2,498,247),IF(MID($W2,745,1)=" ",MID($W2,498,246),MID($W2,498,248))),IF(MID($W2,498,1)=" ",IF(MID($W2,745,1)=" ",MID($W2,497,247),IF(MID($W2,744,1)=" ",MID($W2,497,246),MID($W2,497,248))),IF(MID($W2,749,1)=" ",MID($W2,499,249),IF(MID($W2,748,1)=" ",MID($W2,499,248),MID($W2,499,250))))),IF(MID($W2,501,1)=" ",IF(MID($W2,750,1)=" ",MID($W2,500,249),IF(MID($W2,749,1)=" ",MID($W2,500,248),MID($W2,500,250))),IF(MID($W2,500,1)=" ",IF(MID($W2,749,1)=" ",MID($W2,499,249),IF(MID($W2,750,1)=" ",MID($W2,499,249),MID($W2,499,250))),IF(MID($W2,751,1)=" ",MID($W2,501,249),IF(MID($W2,750,1)=" ",MID($W2,501,248),MID($W2,501,250)))))))</calculatedColumnFormula>
    </tableColumn>
    <tableColumn id="94" xr3:uid="{978A8EBE-3868-4997-9902-AE9ADD697D2E}" name="4-4 Phrase WFTO FR" dataDxfId="13">
      <calculatedColumnFormula>IF(MID($W2,251,1)=" ",IF(MID($W2,500,1)=" ",IF(MID($W2,749,1)=" ",MID($W2,748,250),IF(MID($W2,748,1)=" ",MID($W2,747,250),MID($W2,749,250))),IF(MID($W2,499,1)=" ",IF(MID($W2,748,1)=" ",MID($W2,747,250),IF(MID($W2,747,1)=" ",MID($W2,746,250),MID($W2,748,250))),IF(MID($W2,750,1)=" ",MID($W2,749,250),IF(MID($W2,749,1)=" ",MID($W2,748,250),MID($W2,750,250))))),IF(MID($W2,250,1)=" ",IF(MID($W2,499,1)=" ",IF(MID($W2,746,1)=" ",MID($W2,745,250),IF(MID($W2,745,1)=" ",MID($W2,744,250),MID($W2,746,250))),IF(MID($W2,498,1)=" ",IF(MID($W2,745,1)=" ",MID($W2,744,250),IF(MID($W2,744,1)=" ",MID($W2,743,250),MID($W2,745,250))),IF(MID($W2,749,1)=" ",MID($W2,748,250),IF(MID($W2,748,1)=" ",MID($W2,747,250),MID($W2,749,250))))),IF(MID($W2,501,1)=" ",IF(MID($W2,750,1)=" ",MID($W2,749,250),IF(MID($W2,749,1)=" ",MID($W2,748,250),MID($W2,750,250))),IF(MID($W2,500,1)=" ",IF(MID($W2,749,1)=" ",MID($W2,748,250),IF(MID($W2,750,1)=" ",MID($W2,749,250),MID($W2,750,250))),IF(MID($W2,751,1)=" ",MID($W2,750,250),IF(MID($W2,750,1)=" ",MID($W2,749,250),MID($W2,751,250)))))))</calculatedColumnFormula>
    </tableColumn>
    <tableColumn id="95" xr3:uid="{22DD39A0-99DB-4E4D-BD34-312213A5C1B9}" name="1-4 Nouveau texte commercial EN" dataDxfId="12">
      <calculatedColumnFormula>IF(MID($AU2,251,1)=" ",MID($AU2,1,249),IF(MID($AU2,250,1)=" ",MID($AU2,1,248),MID($AU2,1,250)))</calculatedColumnFormula>
    </tableColumn>
    <tableColumn id="96" xr3:uid="{0916E9C7-8490-4D3E-8316-3C743C53DD55}" name="2-4 Nouveau texte commercial EN" dataDxfId="11">
      <calculatedColumnFormula>IF(MID($AU2,251,1)=" ",IF(MID($AU2,500,1)=" ",MID($AU2,250,249),IF(MID($AU2,499,1)=" ",MID($AU2,250,248),MID($AU2,250,250))),IF(MID($AU2,250,1)=" ",IF(MID($AU2,499,1)=" ",MID($AU2,249,249),IF(MID($AU2,498,1)=" ",MID($AU2,249,248),MID($AU2,249,250))),IF(MID($AU2,501,1)=" ",MID($AU2,251,249),IF(MID($AU2,500,1)=" ",MID($AU2,251,248),MID($AU2,251,250)))))</calculatedColumnFormula>
    </tableColumn>
    <tableColumn id="97" xr3:uid="{F84597B3-241D-4882-BE16-E06FC32F73BC}" name="3-4 Nouveau texte commercial EN" dataDxfId="10">
      <calculatedColumnFormula>IF(MID($AU2,251,1)=" ",IF(MID($AU2,500,1)=" ",IF(MID($AU2,749,1)=" ",MID($AU2,499,249),IF(MID($AU2,748,1)=" ",MID($AU2,499,248),MID($AU2,499,250))),IF(MID($AU2,499,1)=" ",IF(MID($AU2,748,1)=" ",MID($AU2,498,249),IF(MID($AU2,747,1)=" ",MID($AU2,498,248),MID($AU2,498,250))),IF(MID($AU2,750,1)=" ",MID($AU2,500,249),IF(MID($AU2,749,1)=" ",MID($AU2,500,248),MID($AU2,500,250))))),IF(MID($AU2,250,1)=" ",IF(MID($AU2,499,1)=" ",IF(MID($AU2,746,1)=" ",MID($AU2,498,247),IF(MID($AU2,745,1)=" ",MID($AU2,498,246),MID($AU2,498,248))),IF(MID($AU2,498,1)=" ",IF(MID($AU2,745,1)=" ",MID($AU2,497,247),IF(MID($AU2,744,1)=" ",MID($AU2,497,246),MID($AU2,497,248))),IF(MID($AU2,749,1)=" ",MID($AU2,499,249),IF(MID($AU2,748,1)=" ",MID($AU2,499,248),MID($AU2,499,250))))),IF(MID($AU2,501,1)=" ",IF(MID($AU2,750,1)=" ",MID($AU2,500,249),IF(MID($AU2,749,1)=" ",MID($AU2,500,248),MID($AU2,500,250))),IF(MID($AU2,500,1)=" ",IF(MID($AU2,749,1)=" ",MID($AU2,499,249),IF(MID($AU2,750,1)=" ",MID($AU2,499,249),MID($AU2,499,250))),IF(MID($AU2,751,1)=" ",MID($AU2,501,249),IF(MID($AU2,750,1)=" ",MID($AU2,501,248),MID($AU2,501,250)))))))</calculatedColumnFormula>
    </tableColumn>
    <tableColumn id="98" xr3:uid="{E2AB2CE7-4FDE-4EB4-B35C-1C31397D38EE}" name="4-4 Nouveau texte commercial EN" dataDxfId="9">
      <calculatedColumnFormula>IF(MID($AU2,251,1)=" ",IF(MID($AU2,500,1)=" ",IF(MID($AU2,749,1)=" ",MID($AU2,748,250),IF(MID($AU2,748,1)=" ",MID($AU2,747,250),MID($AU2,749,250))),IF(MID($AU2,499,1)=" ",IF(MID($AU2,748,1)=" ",MID($AU2,747,250),IF(MID($AU2,747,1)=" ",MID($AU2,746,250),MID($AU2,748,250))),IF(MID($AU2,750,1)=" ",MID($AU2,749,250),IF(MID($AU2,749,1)=" ",MID($AU2,748,250),MID($AU2,750,250))))),IF(MID($AU2,250,1)=" ",IF(MID($AU2,499,1)=" ",IF(MID($AU2,746,1)=" ",MID($AU2,745,250),IF(MID($AU2,745,1)=" ",MID($AU2,744,250),MID($AU2,746,250))),IF(MID($AU2,498,1)=" ",IF(MID($AU2,745,1)=" ",MID($AU2,744,250),IF(MID($AU2,744,1)=" ",MID($AU2,743,250),MID($AU2,745,250))),IF(MID($AU2,749,1)=" ",MID($AU2,748,250),IF(MID($AU2,748,1)=" ",MID($AU2,747,250),MID($AU2,749,250))))),IF(MID($AU2,501,1)=" ",IF(MID($AU2,750,1)=" ",MID($AU2,749,250),IF(MID($AU2,749,1)=" ",MID($AU2,748,250),MID($AU2,750,250))),IF(MID($AU2,500,1)=" ",IF(MID($AU2,749,1)=" ",MID($AU2,748,250),IF(MID($AU2,750,1)=" ",MID($AU2,749,250),MID($AU2,750,250))),IF(MID($AU2,751,1)=" ",MID($AU2,750,250),IF(MID($AU2,750,1)=" ",MID($AU2,749,250),MID($AU2,751,250)))))))</calculatedColumnFormula>
    </tableColumn>
    <tableColumn id="99" xr3:uid="{8BC7264A-9A3F-43F6-8F43-B21F8611EC2F}" name="1-4 liste d'ingrédients EN" dataDxfId="8">
      <calculatedColumnFormula>IF(MID($AV2,251,1)=" ",MID($AV2,1,249),IF(MID($AV2,250,1)=" ",MID($AV2,1,248),MID($AV2,1,250)))</calculatedColumnFormula>
    </tableColumn>
    <tableColumn id="100" xr3:uid="{4E12D318-6C8C-42F5-AE97-7EAB3F34ED9C}" name="2-4 liste d'ingrédients EN" dataDxfId="7">
      <calculatedColumnFormula>IF(MID($AV2,251,1)=" ",IF(MID($AV2,500,1)=" ",MID($AV2,250,249),IF(MID($AV2,499,1)=" ",MID($AV2,250,248),MID($AV2,250,250))),IF(MID($AV2,250,1)=" ",IF(MID($AV2,499,1)=" ",MID($AV2,249,249),IF(MID($AV2,498,1)=" ",MID($AV2,249,248),MID($AV2,249,250))),IF(MID($AV2,501,1)=" ",MID($AV2,251,249),IF(MID($AV2,500,1)=" ",MID($AV2,251,248),MID($AV2,251,250)))))</calculatedColumnFormula>
    </tableColumn>
    <tableColumn id="101" xr3:uid="{B35E627F-AE33-4866-A90A-C631A098603D}" name="3-4 liste d'ingrédients EN" dataDxfId="6">
      <calculatedColumnFormula>IF(MID($AV2,251,1)=" ",IF(MID($AV2,500,1)=" ",IF(MID($AV2,749,1)=" ",MID($AV2,499,249),IF(MID($AV2,748,1)=" ",MID($AV2,499,248),MID($AV2,499,250))),IF(MID($AV2,499,1)=" ",IF(MID($AV2,748,1)=" ",MID($AV2,498,249),IF(MID($AV2,747,1)=" ",MID($AV2,498,248),MID($AV2,498,250))),IF(MID($AV2,750,1)=" ",MID($AV2,500,249),IF(MID($AV2,749,1)=" ",MID($AV2,500,248),MID($AV2,500,250))))),IF(MID($AV2,250,1)=" ",IF(MID($AV2,499,1)=" ",IF(MID($AV2,746,1)=" ",MID($AV2,498,247),IF(MID($AV2,745,1)=" ",MID($AV2,498,246),MID($AV2,498,248))),IF(MID($AV2,498,1)=" ",IF(MID($AV2,745,1)=" ",MID($AV2,497,247),IF(MID($AV2,744,1)=" ",MID($AV2,497,246),MID($AV2,497,248))),IF(MID($AV2,749,1)=" ",MID($AV2,499,249),IF(MID($AV2,748,1)=" ",MID($AV2,499,248),MID($AV2,499,250))))),IF(MID($AV2,501,1)=" ",IF(MID($AV2,750,1)=" ",MID($AV2,500,249),IF(MID($AV2,749,1)=" ",MID($AV2,500,248),MID($AV2,500,250))),IF(MID($AV2,500,1)=" ",IF(MID($AV2,749,1)=" ",MID($AV2,499,249),IF(MID($AV2,750,1)=" ",MID($AV2,499,249),MID($AV2,499,250))),IF(MID($AV2,751,1)=" ",MID($AV2,501,249),IF(MID($AV2,750,1)=" ",MID($AV2,501,248),MID($AV2,501,250)))))))</calculatedColumnFormula>
    </tableColumn>
    <tableColumn id="102" xr3:uid="{747E4D9E-A7F0-4B0B-9CD7-44F2C0D93D30}" name="4-4 liste d'ingrédients EN" dataDxfId="5">
      <calculatedColumnFormula>IF(MID($AV2,251,1)=" ",IF(MID($AV2,500,1)=" ",IF(MID($AV2,749,1)=" ",MID($AV2,748,250),IF(MID($AV2,748,1)=" ",MID($AV2,747,250),MID($AV2,749,250))),IF(MID($AV2,499,1)=" ",IF(MID($AV2,748,1)=" ",MID($AV2,747,250),IF(MID($AV2,747,1)=" ",MID($AV2,746,250),MID($AV2,748,250))),IF(MID($AV2,750,1)=" ",MID($AV2,749,250),IF(MID($AV2,749,1)=" ",MID($AV2,748,250),MID($AV2,750,250))))),IF(MID($AV2,250,1)=" ",IF(MID($AV2,499,1)=" ",IF(MID($AV2,746,1)=" ",MID($AV2,745,250),IF(MID($AV2,745,1)=" ",MID($AV2,744,250),MID($AV2,746,250))),IF(MID($AV2,498,1)=" ",IF(MID($AV2,745,1)=" ",MID($AV2,744,250),IF(MID($AV2,744,1)=" ",MID($AV2,743,250),MID($AV2,745,250))),IF(MID($AV2,749,1)=" ",MID($AV2,748,250),IF(MID($AV2,748,1)=" ",MID($AV2,747,250),MID($AV2,749,250))))),IF(MID($AV2,501,1)=" ",IF(MID($AV2,750,1)=" ",MID($AV2,749,250),IF(MID($AV2,749,1)=" ",MID($AV2,748,250),MID($AV2,750,250))),IF(MID($AV2,500,1)=" ",IF(MID($AV2,749,1)=" ",MID($AV2,748,250),IF(MID($AV2,750,1)=" ",MID($AV2,749,250),MID($AV2,750,250))),IF(MID($AV2,751,1)=" ",MID($AV2,750,250),IF(MID($AV2,750,1)=" ",MID($AV2,749,250),MID($AV2,751,250)))))))</calculatedColumnFormula>
    </tableColumn>
    <tableColumn id="103" xr3:uid="{12239DE4-F990-4D2F-BA5F-4C861F7E0FF4}" name="1-4 allégation santé EN" dataDxfId="4">
      <calculatedColumnFormula>IF(MID($AX2,251,1)=" ",MID($AX2,1,249),IF(MID($AX2,250,1)=" ",MID($AX2,1,248),MID($AX2,1,250)))</calculatedColumnFormula>
    </tableColumn>
    <tableColumn id="104" xr3:uid="{C5384B57-AE49-400A-ACEE-9D5CA463B724}" name="2-4 allégation santé EN" dataDxfId="3">
      <calculatedColumnFormula>IF(MID($AX2,251,1)=" ",IF(MID($AX2,500,1)=" ",MID($AX2,250,249),IF(MID($AX2,499,1)=" ",MID($AX2,250,248),MID($AX2,250,250))),IF(MID($AX2,250,1)=" ",IF(MID($AX2,499,1)=" ",MID($AX2,249,249),IF(MID($AX2,498,1)=" ",MID($AX2,249,248),MID($AX2,249,250))),IF(MID($AX2,501,1)=" ",MID($AX2,251,249),IF(MID($AX2,500,1)=" ",MID($AX2,251,248),MID($AX2,251,250)))))</calculatedColumnFormula>
    </tableColumn>
    <tableColumn id="105" xr3:uid="{136C52DB-FC66-48AE-8E47-793C7DCEA185}" name="3-4 allégation santé EN" dataDxfId="2">
      <calculatedColumnFormula>IF(MID($AX2,251,1)=" ",IF(MID($AX2,500,1)=" ",IF(MID($AX2,749,1)=" ",MID($AX2,499,249),IF(MID($AX2,748,1)=" ",MID($AX2,499,248),MID($AX2,499,250))),IF(MID($AX2,499,1)=" ",IF(MID($AX2,748,1)=" ",MID($AX2,498,249),IF(MID($AX2,747,1)=" ",MID($AX2,498,248),MID($AX2,498,250))),IF(MID($AX2,750,1)=" ",MID($AX2,500,249),IF(MID($AX2,749,1)=" ",MID($AX2,500,248),MID($AX2,500,250))))),IF(MID($AX2,250,1)=" ",IF(MID($AX2,499,1)=" ",IF(MID($AX2,746,1)=" ",MID($AX2,498,247),IF(MID($AX2,745,1)=" ",MID($AX2,498,246),MID($AX2,498,248))),IF(MID($AX2,498,1)=" ",IF(MID($AX2,745,1)=" ",MID($AX2,497,247),IF(MID($AX2,744,1)=" ",MID($AX2,497,246),MID($AX2,497,248))),IF(MID($AX2,749,1)=" ",MID($AX2,499,249),IF(MID($AX2,748,1)=" ",MID($AX2,499,248),MID($AX2,499,250))))),IF(MID($AX2,501,1)=" ",IF(MID($AX2,750,1)=" ",MID($AX2,500,249),IF(MID($AX2,749,1)=" ",MID($AX2,500,248),MID($AX2,500,250))),IF(MID($AX2,500,1)=" ",IF(MID($AX2,749,1)=" ",MID($AX2,499,249),IF(MID($AX2,750,1)=" ",MID($AX2,499,249),MID($AX2,499,250))),IF(MID($AX2,751,1)=" ",MID($AX2,501,249),IF(MID($AX2,750,1)=" ",MID($AX2,501,248),MID($AX2,501,250)))))))</calculatedColumnFormula>
    </tableColumn>
    <tableColumn id="106" xr3:uid="{F442C5A7-50E6-4210-A9FE-7DF7FF48E994}" name="4-4 allégation santé EN" dataDxfId="1">
      <calculatedColumnFormula>IF(MID($AX2,251,1)=" ",IF(MID($AX2,500,1)=" ",IF(MID($AX2,749,1)=" ",MID($AX2,748,250),IF(MID($AX2,748,1)=" ",MID($AX2,747,250),MID($AX2,749,250))),IF(MID($AX2,499,1)=" ",IF(MID($AX2,748,1)=" ",MID($AX2,747,250),IF(MID($AX2,747,1)=" ",MID($AX2,746,250),MID($AX2,748,250))),IF(MID($AX2,750,1)=" ",MID($AX2,749,250),IF(MID($AX2,749,1)=" ",MID($AX2,748,250),MID($AX2,750,250))))),IF(MID($AX2,250,1)=" ",IF(MID($AX2,499,1)=" ",IF(MID($AX2,746,1)=" ",MID($AX2,745,250),IF(MID($AX2,745,1)=" ",MID($AX2,744,250),MID($AX2,746,250))),IF(MID($AX2,498,1)=" ",IF(MID($AX2,745,1)=" ",MID($AX2,744,250),IF(MID($AX2,744,1)=" ",MID($AX2,743,250),MID($AX2,745,250))),IF(MID($AX2,749,1)=" ",MID($AX2,748,250),IF(MID($AX2,748,1)=" ",MID($AX2,747,250),MID($AX2,749,250))))),IF(MID($AX2,501,1)=" ",IF(MID($AX2,750,1)=" ",MID($AX2,749,250),IF(MID($AX2,749,1)=" ",MID($AX2,748,250),MID($AX2,750,250))),IF(MID($AX2,500,1)=" ",IF(MID($AX2,749,1)=" ",MID($AX2,748,250),IF(MID($AX2,750,1)=" ",MID($AX2,749,250),MID($AX2,750,250))),IF(MID($AX2,751,1)=" ",MID($AX2,750,250),IF(MID($AX2,750,1)=" ",MID($AX2,749,250),MID($AX2,751,250)))))))</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A111" dT="2024-11-05T10:39:31.26" personId="{2E4CA100-09F5-456C-9AB6-BE0A3FFCA18E}" id="{4F1C3B3A-BEC8-4119-8AAF-BE2D552F2414}">
    <text>Est-ce qu’il faut ajouter les noms en latin?</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3A040-545B-4C6C-8DF0-79C6C80EC3BD}">
  <dimension ref="A1:EQ802"/>
  <sheetViews>
    <sheetView tabSelected="1" zoomScale="70" zoomScaleNormal="70" workbookViewId="0">
      <pane xSplit="4" ySplit="1" topLeftCell="E53" activePane="bottomRight" state="frozen"/>
      <selection pane="topRight" activeCell="K1" sqref="K1"/>
      <selection pane="bottomLeft" activeCell="A2" sqref="A2"/>
      <selection pane="bottomRight" activeCell="AT2" sqref="AT2:AV4"/>
    </sheetView>
  </sheetViews>
  <sheetFormatPr baseColWidth="10" defaultColWidth="12.109375" defaultRowHeight="14.4"/>
  <cols>
    <col min="1" max="1" width="14.6640625" style="7" bestFit="1" customWidth="1"/>
    <col min="2" max="2" width="17.33203125" style="7" customWidth="1"/>
    <col min="3" max="3" width="15.6640625" style="7" customWidth="1"/>
    <col min="4" max="4" width="25.33203125" style="7" bestFit="1" customWidth="1"/>
    <col min="5" max="5" width="16.109375" style="7" customWidth="1"/>
    <col min="6" max="6" width="16.6640625" style="7" customWidth="1"/>
    <col min="7" max="7" width="17.88671875" style="7" customWidth="1"/>
    <col min="8" max="8" width="6.44140625" style="7" customWidth="1"/>
    <col min="9" max="9" width="8.33203125" style="7" customWidth="1"/>
    <col min="10" max="13" width="6.44140625" style="7" customWidth="1"/>
    <col min="14" max="14" width="13.44140625" style="7" customWidth="1"/>
    <col min="15" max="15" width="9.44140625" style="7" customWidth="1"/>
    <col min="16" max="16" width="56.44140625" style="7" hidden="1" customWidth="1"/>
    <col min="17" max="17" width="55.6640625" style="10" customWidth="1"/>
    <col min="18" max="18" width="55.6640625" style="7" customWidth="1"/>
    <col min="19" max="20" width="56.44140625" style="7" customWidth="1"/>
    <col min="21" max="21" width="12.5546875" style="7" customWidth="1"/>
    <col min="22" max="22" width="73.44140625" style="7" customWidth="1"/>
    <col min="23" max="23" width="45.44140625" style="7" customWidth="1"/>
    <col min="24" max="24" width="8.88671875" style="7" customWidth="1"/>
    <col min="25" max="25" width="11.6640625" style="41" customWidth="1"/>
    <col min="26" max="26" width="10.109375" style="41" customWidth="1"/>
    <col min="27" max="27" width="11.109375" style="7" customWidth="1"/>
    <col min="28" max="28" width="10.6640625" style="7" customWidth="1"/>
    <col min="29" max="29" width="17.88671875" style="42" customWidth="1"/>
    <col min="30" max="30" width="14.109375" style="7" customWidth="1"/>
    <col min="31" max="31" width="17.44140625" style="7" customWidth="1"/>
    <col min="32" max="32" width="18.109375" style="7" customWidth="1"/>
    <col min="33" max="33" width="18.6640625" style="7" customWidth="1"/>
    <col min="34" max="34" width="20.33203125" style="7" customWidth="1"/>
    <col min="35" max="35" width="16.6640625" style="7" customWidth="1"/>
    <col min="36" max="36" width="15.5546875" style="7" customWidth="1"/>
    <col min="37" max="37" width="15.6640625" style="7" customWidth="1"/>
    <col min="38" max="38" width="10.44140625" style="7" customWidth="1"/>
    <col min="39" max="39" width="12.5546875" style="7" customWidth="1"/>
    <col min="40" max="40" width="11.109375" style="7" customWidth="1"/>
    <col min="41" max="41" width="12.109375" style="7" customWidth="1"/>
    <col min="42" max="42" width="16.6640625" style="7" customWidth="1"/>
    <col min="43" max="43" width="20.6640625" style="90" customWidth="1"/>
    <col min="44" max="44" width="15" style="79" customWidth="1"/>
    <col min="45" max="45" width="17.109375" style="79" customWidth="1"/>
    <col min="46" max="46" width="13.6640625" style="79" customWidth="1"/>
    <col min="47" max="47" width="46.33203125" style="79" customWidth="1"/>
    <col min="48" max="48" width="38.6640625" style="80" customWidth="1"/>
    <col min="49" max="49" width="30.88671875" style="80" customWidth="1"/>
    <col min="50" max="50" width="48.44140625" style="117" customWidth="1"/>
    <col min="51" max="51" width="18" style="7" customWidth="1"/>
    <col min="52" max="52" width="17.33203125" style="7" customWidth="1"/>
    <col min="53" max="53" width="33.6640625" style="7" customWidth="1"/>
    <col min="54" max="54" width="36.44140625" style="7" customWidth="1"/>
    <col min="55" max="55" width="14.6640625" style="7" customWidth="1"/>
    <col min="56" max="56" width="24" style="7" customWidth="1"/>
    <col min="57" max="57" width="20.88671875" style="7" customWidth="1"/>
    <col min="58" max="58" width="22.44140625" style="7" customWidth="1"/>
    <col min="59" max="59" width="31.6640625" style="7" customWidth="1"/>
    <col min="60" max="60" width="17.6640625" style="7" customWidth="1"/>
    <col min="61" max="61" width="27" style="7" customWidth="1"/>
    <col min="62" max="62" width="15.109375" style="7" customWidth="1"/>
    <col min="63" max="63" width="26" style="7" customWidth="1"/>
    <col min="64" max="64" width="17.44140625" style="7" customWidth="1"/>
    <col min="65" max="65" width="12.109375" style="7"/>
    <col min="66" max="66" width="12.33203125" style="7" hidden="1" customWidth="1"/>
    <col min="67" max="67" width="34.109375" style="10" customWidth="1"/>
    <col min="68" max="68" width="35.6640625" style="7" customWidth="1"/>
    <col min="69" max="69" width="19" style="7" customWidth="1"/>
    <col min="70" max="73" width="12.109375" style="7"/>
    <col min="74" max="101" width="100.6640625" style="7" customWidth="1"/>
    <col min="102" max="16384" width="12.109375" style="7"/>
  </cols>
  <sheetData>
    <row r="1" spans="1:101" s="6" customFormat="1" ht="50.1" customHeight="1">
      <c r="A1" s="127" t="s">
        <v>0</v>
      </c>
      <c r="B1" s="3" t="s">
        <v>759</v>
      </c>
      <c r="C1" s="3" t="s">
        <v>760</v>
      </c>
      <c r="D1" s="2" t="s">
        <v>1</v>
      </c>
      <c r="E1" s="2" t="s">
        <v>2</v>
      </c>
      <c r="F1" s="2" t="s">
        <v>3</v>
      </c>
      <c r="G1" s="2" t="s">
        <v>4</v>
      </c>
      <c r="H1" s="2" t="s">
        <v>5</v>
      </c>
      <c r="I1" s="2" t="s">
        <v>6</v>
      </c>
      <c r="J1" s="2" t="s">
        <v>7</v>
      </c>
      <c r="K1" s="2" t="s">
        <v>8</v>
      </c>
      <c r="L1" s="2" t="s">
        <v>9</v>
      </c>
      <c r="M1" s="2" t="s">
        <v>10</v>
      </c>
      <c r="N1" s="2" t="s">
        <v>11</v>
      </c>
      <c r="O1" s="2" t="s">
        <v>761</v>
      </c>
      <c r="P1" s="2" t="s">
        <v>762</v>
      </c>
      <c r="Q1" s="2" t="s">
        <v>763</v>
      </c>
      <c r="R1" s="2" t="s">
        <v>1656</v>
      </c>
      <c r="S1" s="2" t="s">
        <v>764</v>
      </c>
      <c r="T1" s="2" t="s">
        <v>12</v>
      </c>
      <c r="U1" s="2" t="s">
        <v>1925</v>
      </c>
      <c r="V1" s="2" t="s">
        <v>13</v>
      </c>
      <c r="W1" s="2" t="s">
        <v>14</v>
      </c>
      <c r="X1" s="2" t="s">
        <v>15</v>
      </c>
      <c r="Y1" s="4" t="s">
        <v>16</v>
      </c>
      <c r="Z1" s="4" t="s">
        <v>17</v>
      </c>
      <c r="AA1" s="2" t="s">
        <v>18</v>
      </c>
      <c r="AB1" s="2" t="s">
        <v>19</v>
      </c>
      <c r="AC1" s="5" t="s">
        <v>20</v>
      </c>
      <c r="AD1" s="2" t="s">
        <v>21</v>
      </c>
      <c r="AE1" s="2" t="s">
        <v>22</v>
      </c>
      <c r="AF1" s="2" t="s">
        <v>765</v>
      </c>
      <c r="AG1" s="2" t="s">
        <v>766</v>
      </c>
      <c r="AH1" s="1" t="s">
        <v>23</v>
      </c>
      <c r="AI1" s="2" t="s">
        <v>767</v>
      </c>
      <c r="AJ1" s="2" t="s">
        <v>768</v>
      </c>
      <c r="AK1" s="2" t="s">
        <v>769</v>
      </c>
      <c r="AL1" s="2" t="s">
        <v>1809</v>
      </c>
      <c r="AM1" s="2" t="s">
        <v>770</v>
      </c>
      <c r="AN1" s="104" t="s">
        <v>1657</v>
      </c>
      <c r="AO1" s="47" t="s">
        <v>1289</v>
      </c>
      <c r="AP1" s="48" t="s">
        <v>1288</v>
      </c>
      <c r="AQ1" s="48" t="s">
        <v>772</v>
      </c>
      <c r="AR1" s="48" t="s">
        <v>24</v>
      </c>
      <c r="AS1" s="48" t="s">
        <v>1230</v>
      </c>
      <c r="AT1" s="48" t="s">
        <v>1613</v>
      </c>
      <c r="AU1" s="48" t="s">
        <v>771</v>
      </c>
      <c r="AV1" s="48" t="s">
        <v>773</v>
      </c>
      <c r="AW1" s="48" t="s">
        <v>1637</v>
      </c>
      <c r="AX1" s="115" t="s">
        <v>25</v>
      </c>
      <c r="AY1" s="48" t="s">
        <v>1232</v>
      </c>
      <c r="AZ1" s="48" t="s">
        <v>1233</v>
      </c>
      <c r="BA1" s="48" t="s">
        <v>1231</v>
      </c>
      <c r="BB1" s="48" t="s">
        <v>1239</v>
      </c>
      <c r="BC1" s="48" t="s">
        <v>1565</v>
      </c>
      <c r="BD1" s="48" t="s">
        <v>1577</v>
      </c>
      <c r="BE1" s="48" t="s">
        <v>1296</v>
      </c>
      <c r="BF1" s="91" t="s">
        <v>1290</v>
      </c>
      <c r="BG1" s="91" t="s">
        <v>1291</v>
      </c>
      <c r="BH1" s="91" t="s">
        <v>1292</v>
      </c>
      <c r="BI1" s="91" t="s">
        <v>1293</v>
      </c>
      <c r="BJ1" s="91" t="s">
        <v>1294</v>
      </c>
      <c r="BK1" s="91" t="s">
        <v>1295</v>
      </c>
      <c r="BL1" s="91" t="s">
        <v>1576</v>
      </c>
      <c r="BM1" s="6" t="s">
        <v>1603</v>
      </c>
      <c r="BN1" s="6" t="s">
        <v>1643</v>
      </c>
      <c r="BO1" s="14" t="s">
        <v>1646</v>
      </c>
      <c r="BP1" s="6" t="s">
        <v>1804</v>
      </c>
      <c r="BQ1" s="6" t="s">
        <v>1920</v>
      </c>
      <c r="BR1" s="6" t="s">
        <v>1921</v>
      </c>
      <c r="BS1" s="6" t="s">
        <v>1922</v>
      </c>
      <c r="BT1" s="6" t="s">
        <v>1923</v>
      </c>
      <c r="BU1" s="6" t="s">
        <v>1924</v>
      </c>
      <c r="BV1" s="2" t="s">
        <v>1841</v>
      </c>
      <c r="BW1" s="2" t="s">
        <v>1842</v>
      </c>
      <c r="BX1" s="2" t="s">
        <v>1843</v>
      </c>
      <c r="BY1" s="2" t="s">
        <v>1840</v>
      </c>
      <c r="BZ1" s="2" t="s">
        <v>1847</v>
      </c>
      <c r="CA1" s="2" t="s">
        <v>1846</v>
      </c>
      <c r="CB1" s="2" t="s">
        <v>1845</v>
      </c>
      <c r="CC1" s="2" t="s">
        <v>1844</v>
      </c>
      <c r="CD1" s="2" t="s">
        <v>1848</v>
      </c>
      <c r="CE1" s="2" t="s">
        <v>1849</v>
      </c>
      <c r="CF1" s="2" t="s">
        <v>1850</v>
      </c>
      <c r="CG1" s="2" t="s">
        <v>1851</v>
      </c>
      <c r="CH1" s="2" t="s">
        <v>1852</v>
      </c>
      <c r="CI1" s="2" t="s">
        <v>1853</v>
      </c>
      <c r="CJ1" s="2" t="s">
        <v>1854</v>
      </c>
      <c r="CK1" s="2" t="s">
        <v>1855</v>
      </c>
      <c r="CL1" s="2" t="s">
        <v>1856</v>
      </c>
      <c r="CM1" s="2" t="s">
        <v>1857</v>
      </c>
      <c r="CN1" s="2" t="s">
        <v>1858</v>
      </c>
      <c r="CO1" s="2" t="s">
        <v>1859</v>
      </c>
      <c r="CP1" s="2" t="s">
        <v>1860</v>
      </c>
      <c r="CQ1" s="2" t="s">
        <v>1861</v>
      </c>
      <c r="CR1" s="2" t="s">
        <v>1862</v>
      </c>
      <c r="CS1" s="2" t="s">
        <v>1863</v>
      </c>
      <c r="CT1" s="2" t="s">
        <v>1864</v>
      </c>
      <c r="CU1" s="2" t="s">
        <v>1865</v>
      </c>
      <c r="CV1" s="2" t="s">
        <v>1866</v>
      </c>
      <c r="CW1" s="2" t="s">
        <v>1867</v>
      </c>
    </row>
    <row r="2" spans="1:101" ht="93.6">
      <c r="A2" s="129" t="s">
        <v>1998</v>
      </c>
      <c r="B2" s="9" t="s">
        <v>26</v>
      </c>
      <c r="C2" s="9"/>
      <c r="D2" s="8" t="s">
        <v>2001</v>
      </c>
      <c r="E2" s="9" t="s">
        <v>2002</v>
      </c>
      <c r="F2" s="9" t="s">
        <v>1987</v>
      </c>
      <c r="G2" s="9" t="s">
        <v>67</v>
      </c>
      <c r="H2" s="10" t="s">
        <v>5</v>
      </c>
      <c r="I2" s="10" t="s">
        <v>6</v>
      </c>
      <c r="J2" s="10" t="s">
        <v>29</v>
      </c>
      <c r="K2" s="10" t="s">
        <v>8</v>
      </c>
      <c r="L2" s="10" t="s">
        <v>29</v>
      </c>
      <c r="M2" s="10" t="s">
        <v>29</v>
      </c>
      <c r="N2" s="10" t="s">
        <v>68</v>
      </c>
      <c r="O2" s="9"/>
      <c r="P2" s="9"/>
      <c r="Q2" s="154" t="s">
        <v>2003</v>
      </c>
      <c r="R2" s="9"/>
      <c r="S2" s="9"/>
      <c r="T2" s="9" t="s">
        <v>48</v>
      </c>
      <c r="U2"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2" s="9" t="s">
        <v>29</v>
      </c>
      <c r="W2" s="9" t="s">
        <v>31</v>
      </c>
      <c r="X2" s="10">
        <v>1.5</v>
      </c>
      <c r="Y2" s="19" t="s">
        <v>78</v>
      </c>
      <c r="Z2" s="19">
        <v>85</v>
      </c>
      <c r="AA2" s="10">
        <v>2</v>
      </c>
      <c r="AB2" s="10">
        <v>750</v>
      </c>
      <c r="AC2" s="12">
        <v>3582810640418</v>
      </c>
      <c r="AD2" s="10" t="s">
        <v>29</v>
      </c>
      <c r="AE2" s="10" t="s">
        <v>33</v>
      </c>
      <c r="AF2" s="10" t="s">
        <v>33</v>
      </c>
      <c r="AG2" s="10" t="s">
        <v>29</v>
      </c>
      <c r="AH2" s="20" t="s">
        <v>70</v>
      </c>
      <c r="AI2" s="54" t="s">
        <v>776</v>
      </c>
      <c r="AJ2" s="55">
        <v>45708</v>
      </c>
      <c r="AK2" s="10"/>
      <c r="AL2" s="50" t="s">
        <v>775</v>
      </c>
      <c r="AM2" s="10"/>
      <c r="AN2" s="155"/>
      <c r="AO2" s="155"/>
      <c r="AP2" s="155"/>
      <c r="AQ2" s="51" t="s">
        <v>2001</v>
      </c>
      <c r="AR2" s="51" t="s">
        <v>2008</v>
      </c>
      <c r="AS2" s="82" t="s">
        <v>2009</v>
      </c>
      <c r="AT2" s="9" t="s">
        <v>67</v>
      </c>
      <c r="AU2" s="140" t="s">
        <v>2010</v>
      </c>
      <c r="AV2" s="82" t="s">
        <v>1993</v>
      </c>
      <c r="AW2" s="52"/>
      <c r="AX2" s="51"/>
      <c r="AY2" s="51"/>
      <c r="AZ2" s="51"/>
      <c r="BA2" s="51"/>
      <c r="BB2" s="51"/>
      <c r="BC2" s="51"/>
      <c r="BD2" s="51"/>
      <c r="BE2" s="51"/>
      <c r="BF2" s="92"/>
      <c r="BG2" s="92"/>
      <c r="BH2" s="92"/>
      <c r="BI2" s="92"/>
      <c r="BJ2" s="92"/>
      <c r="BK2" s="92"/>
      <c r="BL2" s="92"/>
      <c r="BN2" s="7" t="str">
        <f>IF(IFERROR(FIND("romatis",$F2),0)=0,"","aromatisé")</f>
        <v/>
      </c>
      <c r="BV2" s="10" t="str">
        <f>IF(MID($Q2,251,1)=" ",MID($Q2,1,249),IF(MID($Q2,250,1)=" ",MID($Q2,1,248),MID($Q2,1,250)))</f>
        <v>Les bourgeons et deux premières feuilles de ce thé blanc issu de théiers anciens du Vietnam ont été travaillés à la manière d’un Bai Mu Dan. Son infusion aux parfums de prairie sauvage et aux saveurs délicatement fruitées est à la fois légère et fraî</v>
      </c>
      <c r="BW2" s="10" t="str">
        <f>IF(MID($Q2,251,1)=" ",IF(MID($Q2,500,1)=" ",MID($Q2,250,249),IF(MID($Q2,499,1)=" ",MID($Q2,250,248),MID($Q2,250,250))),IF(MID($Q2,250,1)=" ",IF(MID($Q2,499,1)=" ",MID($Q2,249,249),IF(MID($Q2,498,1)=" ",MID($Q2,249,248),MID($Q2,249,250))),IF(MID($Q2,501,1)=" ",MID($Q2,251,249),IF(MID($Q2,500,1)=" ",MID($Q2,251,248),MID($Q2,251,250)))))</f>
        <v>che. Une boisson idéale pour les beaux jours.</v>
      </c>
      <c r="BX2" s="10" t="str">
        <f>IF(MID($Q2,251,1)=" ",IF(MID($Q2,500,1)=" ",IF(MID($Q2,749,1)=" ",MID($Q2,499,249),IF(MID($Q2,748,1)=" ",MID($Q2,499,248),MID($Q2,499,250))),IF(MID($Q2,499,1)=" ",IF(MID($Q2,748,1)=" ",MID($Q2,498,249),IF(MID($Q2,747,1)=" ",MID($Q2,498,248),MID($Q2,498,250))),IF(MID($Q2,750,1)=" ",MID($Q2,500,249),IF(MID($Q2,749,1)=" ",MID($Q2,500,248),MID($Q2,500,250))))),IF(MID($Q2,250,1)=" ",IF(MID($Q2,499,1)=" ",IF(MID($Q2,746,1)=" ",MID($Q2,498,247),IF(MID($Q2,745,1)=" ",MID($Q2,498,246),MID($Q2,498,248))),IF(MID($Q2,498,1)=" ",IF(MID($Q2,745,1)=" ",MID($Q2,497,247),IF(MID($Q2,744,1)=" ",MID($Q2,497,246),MID($Q2,497,248))),IF(MID($Q2,749,1)=" ",MID($Q2,499,249),IF(MID($Q2,748,1)=" ",MID($Q2,499,248),MID($Q2,499,250))))),IF(MID($Q2,501,1)=" ",IF(MID($Q2,750,1)=" ",MID($Q2,500,249),IF(MID($Q2,749,1)=" ",MID($Q2,500,248),MID($Q2,500,250))),IF(MID($Q2,500,1)=" ",IF(MID($Q2,749,1)=" ",MID($Q2,499,249),IF(MID($Q2,750,1)=" ",MID($Q2,499,249),MID($Q2,499,250))),IF(MID($Q2,751,1)=" ",MID($Q2,501,249),IF(MID($Q2,750,1)=" ",MID($Q2,501,248),MID($Q2,501,250)))))))</f>
        <v/>
      </c>
      <c r="BY2" s="10" t="str">
        <f>IF(MID($Q2,251,1)=" ",IF(MID($Q2,500,1)=" ",IF(MID($Q2,749,1)=" ",MID($Q2,748,250),IF(MID($Q2,748,1)=" ",MID($Q2,747,250),MID($Q2,749,250))),IF(MID($Q2,499,1)=" ",IF(MID($Q2,748,1)=" ",MID($Q2,747,250),IF(MID($Q2,747,1)=" ",MID($Q2,746,250),MID($Q2,748,250))),IF(MID($Q2,750,1)=" ",MID($Q2,749,250),IF(MID($Q2,749,1)=" ",MID($Q2,748,250),MID($Q2,750,250))))),IF(MID($Q2,250,1)=" ",IF(MID($Q2,499,1)=" ",IF(MID($Q2,746,1)=" ",MID($Q2,745,250),IF(MID($Q2,745,1)=" ",MID($Q2,744,250),MID($Q2,746,250))),IF(MID($Q2,498,1)=" ",IF(MID($Q2,745,1)=" ",MID($Q2,744,250),IF(MID($Q2,744,1)=" ",MID($Q2,743,250),MID($Q2,745,250))),IF(MID($Q2,749,1)=" ",MID($Q2,748,250),IF(MID($Q2,748,1)=" ",MID($Q2,747,250),MID($Q2,749,250))))),IF(MID($Q2,501,1)=" ",IF(MID($Q2,750,1)=" ",MID($Q2,749,250),IF(MID($Q2,749,1)=" ",MID($Q2,748,250),MID($Q2,750,250))),IF(MID($Q2,500,1)=" ",IF(MID($Q2,749,1)=" ",MID($Q2,748,250),IF(MID($Q2,750,1)=" ",MID($Q2,749,250),MID($Q2,750,250))),IF(MID($Q2,751,1)=" ",MID($Q2,750,250),IF(MID($Q2,750,1)=" ",MID($Q2,749,250),MID($Q2,751,250)))))))</f>
        <v/>
      </c>
      <c r="BZ2" s="10" t="str">
        <f>IF(MID($T2,251,1)=" ",MID($T2,1,249),IF(MID($T2,250,1)=" ",MID($T2,1,248),MID($T2,1,250)))</f>
        <v xml:space="preserve">Ingrédient : thé blanc*. *Issu de l'agriculture biologique. </v>
      </c>
      <c r="CA2" s="10" t="str">
        <f>IF(MID($T2,251,1)=" ",IF(MID($T2,500,1)=" ",MID($T2,250,249),IF(MID($T2,499,1)=" ",MID($T2,250,248),MID($T2,250,250))),IF(MID($T2,250,1)=" ",IF(MID($T2,499,1)=" ",MID($T2,249,249),IF(MID($T2,498,1)=" ",MID($T2,249,248),MID($T2,249,250))),IF(MID($T2,501,1)=" ",MID($T2,251,249),IF(MID($T2,500,1)=" ",MID($T2,251,248),MID($T2,251,250)))))</f>
        <v/>
      </c>
      <c r="CB2" s="10" t="str">
        <f>IF(MID($T2,251,1)=" ",IF(MID($T2,500,1)=" ",IF(MID($T2,749,1)=" ",MID($T2,499,249),IF(MID($T2,748,1)=" ",MID($T2,499,248),MID($T2,499,250))),IF(MID($T2,499,1)=" ",IF(MID($T2,748,1)=" ",MID($T2,498,249),IF(MID($T2,747,1)=" ",MID($T2,498,248),MID($T2,498,250))),IF(MID($T2,750,1)=" ",MID($T2,500,249),IF(MID($T2,749,1)=" ",MID($T2,500,248),MID($T2,500,250))))),IF(MID($T2,250,1)=" ",IF(MID($T2,499,1)=" ",IF(MID($T2,746,1)=" ",MID($T2,498,247),IF(MID($T2,745,1)=" ",MID($T2,498,246),MID($T2,498,248))),IF(MID($T2,498,1)=" ",IF(MID($T2,745,1)=" ",MID($T2,497,247),IF(MID($T2,744,1)=" ",MID($T2,497,246),MID($T2,497,248))),IF(MID($T2,749,1)=" ",MID($T2,499,249),IF(MID($T2,748,1)=" ",MID($T2,499,248),MID($T2,499,250))))),IF(MID($T2,501,1)=" ",IF(MID($T2,750,1)=" ",MID($T2,500,249),IF(MID($T2,749,1)=" ",MID($T2,500,248),MID($T2,500,250))),IF(MID($T2,500,1)=" ",IF(MID($T2,749,1)=" ",MID($T2,499,249),IF(MID($T2,750,1)=" ",MID($T2,499,249),MID($T2,499,250))),IF(MID($T2,751,1)=" ",MID($T2,501,249),IF(MID($T2,750,1)=" ",MID($T2,501,248),MID($T2,501,250)))))))</f>
        <v/>
      </c>
      <c r="CC2" s="10" t="str">
        <f>IF(MID($T2,251,1)=" ",IF(MID($T2,500,1)=" ",IF(MID($T2,749,1)=" ",MID($T2,748,250),IF(MID($T2,748,1)=" ",MID($T2,747,250),MID($T2,749,250))),IF(MID($T2,499,1)=" ",IF(MID($T2,748,1)=" ",MID($T2,747,250),IF(MID($T2,747,1)=" ",MID($T2,746,250),MID($T2,748,250))),IF(MID($T2,750,1)=" ",MID($T2,749,250),IF(MID($T2,749,1)=" ",MID($T2,748,250),MID($T2,750,250))))),IF(MID($T2,250,1)=" ",IF(MID($T2,499,1)=" ",IF(MID($T2,746,1)=" ",MID($T2,745,250),IF(MID($T2,745,1)=" ",MID($T2,744,250),MID($T2,746,250))),IF(MID($T2,498,1)=" ",IF(MID($T2,745,1)=" ",MID($T2,744,250),IF(MID($T2,744,1)=" ",MID($T2,743,250),MID($T2,745,250))),IF(MID($T2,749,1)=" ",MID($T2,748,250),IF(MID($T2,748,1)=" ",MID($T2,747,250),MID($T2,749,250))))),IF(MID($T2,501,1)=" ",IF(MID($T2,750,1)=" ",MID($T2,749,250),IF(MID($T2,749,1)=" ",MID($T2,748,250),MID($T2,750,250))),IF(MID($T2,500,1)=" ",IF(MID($T2,749,1)=" ",MID($T2,748,250),IF(MID($T2,750,1)=" ",MID($T2,749,250),MID($T2,750,250))),IF(MID($T2,751,1)=" ",MID($T2,750,250),IF(MID($T2,750,1)=" ",MID($T2,749,250),MID($T2,751,250)))))))</f>
        <v/>
      </c>
      <c r="CD2" s="10" t="str">
        <f>IF(MID($V2,251,1)=" ",MID($V2,1,249),IF(MID($V2,250,1)=" ",MID($V2,1,248),MID($V2,1,250)))</f>
        <v>/</v>
      </c>
      <c r="CE2" s="10" t="str">
        <f>IF(MID($V2,251,1)=" ",IF(MID($V2,500,1)=" ",MID($V2,250,249),IF(MID($V2,499,1)=" ",MID($V2,250,248),MID($V2,250,250))),IF(MID($V2,250,1)=" ",IF(MID($V2,499,1)=" ",MID($V2,249,249),IF(MID($V2,498,1)=" ",MID($V2,249,248),MID($V2,249,250))),IF(MID($V2,501,1)=" ",MID($V2,251,249),IF(MID($V2,500,1)=" ",MID($V2,251,248),MID($V2,251,250)))))</f>
        <v/>
      </c>
      <c r="CF2" s="10" t="str">
        <f>IF(MID($V2,251,1)=" ",IF(MID($V2,500,1)=" ",IF(MID($V2,749,1)=" ",MID($V2,499,249),IF(MID($V2,748,1)=" ",MID($V2,499,248),MID($V2,499,250))),IF(MID($V2,499,1)=" ",IF(MID($V2,748,1)=" ",MID($V2,498,249),IF(MID($V2,747,1)=" ",MID($V2,498,248),MID($V2,498,250))),IF(MID($V2,750,1)=" ",MID($V2,500,249),IF(MID($V2,749,1)=" ",MID($V2,500,248),MID($V2,500,250))))),IF(MID($V2,250,1)=" ",IF(MID($V2,499,1)=" ",IF(MID($V2,746,1)=" ",MID($V2,498,247),IF(MID($V2,745,1)=" ",MID($V2,498,246),MID($V2,498,248))),IF(MID($V2,498,1)=" ",IF(MID($V2,745,1)=" ",MID($V2,497,247),IF(MID($V2,744,1)=" ",MID($V2,497,246),MID($V2,497,248))),IF(MID($V2,749,1)=" ",MID($V2,499,249),IF(MID($V2,748,1)=" ",MID($V2,499,248),MID($V2,499,250))))),IF(MID($V2,501,1)=" ",IF(MID($V2,750,1)=" ",MID($V2,500,249),IF(MID($V2,749,1)=" ",MID($V2,500,248),MID($V2,500,250))),IF(MID($V2,500,1)=" ",IF(MID($V2,749,1)=" ",MID($V2,499,249),IF(MID($V2,750,1)=" ",MID($V2,499,249),MID($V2,499,250))),IF(MID($V2,751,1)=" ",MID($V2,501,249),IF(MID($V2,750,1)=" ",MID($V2,501,248),MID($V2,501,250)))))))</f>
        <v/>
      </c>
      <c r="CG2" s="10" t="str">
        <f>IF(MID($V2,251,1)=" ",IF(MID($V2,500,1)=" ",IF(MID($V2,749,1)=" ",MID($V2,748,250),IF(MID($V2,748,1)=" ",MID($V2,747,250),MID($V2,749,250))),IF(MID($V2,499,1)=" ",IF(MID($V2,748,1)=" ",MID($V2,747,250),IF(MID($V2,747,1)=" ",MID($V2,746,250),MID($V2,748,250))),IF(MID($V2,750,1)=" ",MID($V2,749,250),IF(MID($V2,749,1)=" ",MID($V2,748,250),MID($V2,750,250))))),IF(MID($V2,250,1)=" ",IF(MID($V2,499,1)=" ",IF(MID($V2,746,1)=" ",MID($V2,745,250),IF(MID($V2,745,1)=" ",MID($V2,744,250),MID($V2,746,250))),IF(MID($V2,498,1)=" ",IF(MID($V2,745,1)=" ",MID($V2,744,250),IF(MID($V2,744,1)=" ",MID($V2,743,250),MID($V2,745,250))),IF(MID($V2,749,1)=" ",MID($V2,748,250),IF(MID($V2,748,1)=" ",MID($V2,747,250),MID($V2,749,250))))),IF(MID($V2,501,1)=" ",IF(MID($V2,750,1)=" ",MID($V2,749,250),IF(MID($V2,749,1)=" ",MID($V2,748,250),MID($V2,750,250))),IF(MID($V2,500,1)=" ",IF(MID($V2,749,1)=" ",MID($V2,748,250),IF(MID($V2,750,1)=" ",MID($V2,749,250),MID($V2,750,250))),IF(MID($V2,751,1)=" ",MID($V2,750,250),IF(MID($V2,750,1)=" ",MID($V2,749,250),MID($V2,751,250)))))))</f>
        <v/>
      </c>
      <c r="CH2" s="10" t="str">
        <f>IF(MID($W2,251,1)=" ",MID($W2,1,249),IF(MID($W2,250,1)=" ",MID($W2,1,248),MID($W2,1,250)))</f>
        <v>Membre certifié World Fair Trade Organization, Les Jardins de Gaïa s’engagent pour un commerce plus juste et répondent aux exigences du commerce équitable. Pour en savoir plus : www.wfto.com.</v>
      </c>
      <c r="CI2" s="10" t="str">
        <f>IF(MID($W2,251,1)=" ",IF(MID($W2,500,1)=" ",MID($W2,250,249),IF(MID($W2,499,1)=" ",MID($W2,250,248),MID($W2,250,250))),IF(MID($W2,250,1)=" ",IF(MID($W2,499,1)=" ",MID($W2,249,249),IF(MID($W2,498,1)=" ",MID($W2,249,248),MID($W2,249,250))),IF(MID($W2,501,1)=" ",MID($W2,251,249),IF(MID($W2,500,1)=" ",MID($W2,251,248),MID($W2,251,250)))))</f>
        <v/>
      </c>
      <c r="CJ2" s="10" t="str">
        <f>IF(MID($W2,251,1)=" ",IF(MID($W2,500,1)=" ",IF(MID($W2,749,1)=" ",MID($W2,499,249),IF(MID($W2,748,1)=" ",MID($W2,499,248),MID($W2,499,250))),IF(MID($W2,499,1)=" ",IF(MID($W2,748,1)=" ",MID($W2,498,249),IF(MID($W2,747,1)=" ",MID($W2,498,248),MID($W2,498,250))),IF(MID($W2,750,1)=" ",MID($W2,500,249),IF(MID($W2,749,1)=" ",MID($W2,500,248),MID($W2,500,250))))),IF(MID($W2,250,1)=" ",IF(MID($W2,499,1)=" ",IF(MID($W2,746,1)=" ",MID($W2,498,247),IF(MID($W2,745,1)=" ",MID($W2,498,246),MID($W2,498,248))),IF(MID($W2,498,1)=" ",IF(MID($W2,745,1)=" ",MID($W2,497,247),IF(MID($W2,744,1)=" ",MID($W2,497,246),MID($W2,497,248))),IF(MID($W2,749,1)=" ",MID($W2,499,249),IF(MID($W2,748,1)=" ",MID($W2,499,248),MID($W2,499,250))))),IF(MID($W2,501,1)=" ",IF(MID($W2,750,1)=" ",MID($W2,500,249),IF(MID($W2,749,1)=" ",MID($W2,500,248),MID($W2,500,250))),IF(MID($W2,500,1)=" ",IF(MID($W2,749,1)=" ",MID($W2,499,249),IF(MID($W2,750,1)=" ",MID($W2,499,249),MID($W2,499,250))),IF(MID($W2,751,1)=" ",MID($W2,501,249),IF(MID($W2,750,1)=" ",MID($W2,501,248),MID($W2,501,250)))))))</f>
        <v/>
      </c>
      <c r="CK2" s="10" t="str">
        <f>IF(MID($W2,251,1)=" ",IF(MID($W2,500,1)=" ",IF(MID($W2,749,1)=" ",MID($W2,748,250),IF(MID($W2,748,1)=" ",MID($W2,747,250),MID($W2,749,250))),IF(MID($W2,499,1)=" ",IF(MID($W2,748,1)=" ",MID($W2,747,250),IF(MID($W2,747,1)=" ",MID($W2,746,250),MID($W2,748,250))),IF(MID($W2,750,1)=" ",MID($W2,749,250),IF(MID($W2,749,1)=" ",MID($W2,748,250),MID($W2,750,250))))),IF(MID($W2,250,1)=" ",IF(MID($W2,499,1)=" ",IF(MID($W2,746,1)=" ",MID($W2,745,250),IF(MID($W2,745,1)=" ",MID($W2,744,250),MID($W2,746,250))),IF(MID($W2,498,1)=" ",IF(MID($W2,745,1)=" ",MID($W2,744,250),IF(MID($W2,744,1)=" ",MID($W2,743,250),MID($W2,745,250))),IF(MID($W2,749,1)=" ",MID($W2,748,250),IF(MID($W2,748,1)=" ",MID($W2,747,250),MID($W2,749,250))))),IF(MID($W2,501,1)=" ",IF(MID($W2,750,1)=" ",MID($W2,749,250),IF(MID($W2,749,1)=" ",MID($W2,748,250),MID($W2,750,250))),IF(MID($W2,500,1)=" ",IF(MID($W2,749,1)=" ",MID($W2,748,250),IF(MID($W2,750,1)=" ",MID($W2,749,250),MID($W2,750,250))),IF(MID($W2,751,1)=" ",MID($W2,750,250),IF(MID($W2,750,1)=" ",MID($W2,749,250),MID($W2,751,250)))))))</f>
        <v/>
      </c>
      <c r="CL2" s="10" t="str">
        <f>IF(MID($AU2,251,1)=" ",MID($AU2,1,249),IF(MID($AU2,250,1)=" ",MID($AU2,1,248),MID($AU2,1,250)))</f>
        <v>The buds and first two leaves of this white tea from ancient Vietnamese tea bushes have been processed in the manner of a Bai Mu Dan. Its infusion, with its wild meadow fragrance and delicately fruity flavours, is both light and fresh. An ideal drin</v>
      </c>
      <c r="CM2" s="10" t="str">
        <f>IF(MID($AU2,251,1)=" ",IF(MID($AU2,500,1)=" ",MID($AU2,250,249),IF(MID($AU2,499,1)=" ",MID($AU2,250,248),MID($AU2,250,250))),IF(MID($AU2,250,1)=" ",IF(MID($AU2,499,1)=" ",MID($AU2,249,249),IF(MID($AU2,498,1)=" ",MID($AU2,249,248),MID($AU2,249,250))),IF(MID($AU2,501,1)=" ",MID($AU2,251,249),IF(MID($AU2,500,1)=" ",MID($AU2,251,248),MID($AU2,251,250)))))</f>
        <v>k for sunny days.</v>
      </c>
      <c r="CN2" s="10" t="str">
        <f>IF(MID($AU2,251,1)=" ",IF(MID($AU2,500,1)=" ",IF(MID($AU2,749,1)=" ",MID($AU2,499,249),IF(MID($AU2,748,1)=" ",MID($AU2,499,248),MID($AU2,499,250))),IF(MID($AU2,499,1)=" ",IF(MID($AU2,748,1)=" ",MID($AU2,498,249),IF(MID($AU2,747,1)=" ",MID($AU2,498,248),MID($AU2,498,250))),IF(MID($AU2,750,1)=" ",MID($AU2,500,249),IF(MID($AU2,749,1)=" ",MID($AU2,500,248),MID($AU2,500,250))))),IF(MID($AU2,250,1)=" ",IF(MID($AU2,499,1)=" ",IF(MID($AU2,746,1)=" ",MID($AU2,498,247),IF(MID($AU2,745,1)=" ",MID($AU2,498,246),MID($AU2,498,248))),IF(MID($AU2,498,1)=" ",IF(MID($AU2,745,1)=" ",MID($AU2,497,247),IF(MID($AU2,744,1)=" ",MID($AU2,497,246),MID($AU2,497,248))),IF(MID($AU2,749,1)=" ",MID($AU2,499,249),IF(MID($AU2,748,1)=" ",MID($AU2,499,248),MID($AU2,499,250))))),IF(MID($AU2,501,1)=" ",IF(MID($AU2,750,1)=" ",MID($AU2,500,249),IF(MID($AU2,749,1)=" ",MID($AU2,500,248),MID($AU2,500,250))),IF(MID($AU2,500,1)=" ",IF(MID($AU2,749,1)=" ",MID($AU2,499,249),IF(MID($AU2,750,1)=" ",MID($AU2,499,249),MID($AU2,499,250))),IF(MID($AU2,751,1)=" ",MID($AU2,501,249),IF(MID($AU2,750,1)=" ",MID($AU2,501,248),MID($AU2,501,250)))))))</f>
        <v/>
      </c>
      <c r="CO2" s="10" t="str">
        <f>IF(MID($AU2,251,1)=" ",IF(MID($AU2,500,1)=" ",IF(MID($AU2,749,1)=" ",MID($AU2,748,250),IF(MID($AU2,748,1)=" ",MID($AU2,747,250),MID($AU2,749,250))),IF(MID($AU2,499,1)=" ",IF(MID($AU2,748,1)=" ",MID($AU2,747,250),IF(MID($AU2,747,1)=" ",MID($AU2,746,250),MID($AU2,748,250))),IF(MID($AU2,750,1)=" ",MID($AU2,749,250),IF(MID($AU2,749,1)=" ",MID($AU2,748,250),MID($AU2,750,250))))),IF(MID($AU2,250,1)=" ",IF(MID($AU2,499,1)=" ",IF(MID($AU2,746,1)=" ",MID($AU2,745,250),IF(MID($AU2,745,1)=" ",MID($AU2,744,250),MID($AU2,746,250))),IF(MID($AU2,498,1)=" ",IF(MID($AU2,745,1)=" ",MID($AU2,744,250),IF(MID($AU2,744,1)=" ",MID($AU2,743,250),MID($AU2,745,250))),IF(MID($AU2,749,1)=" ",MID($AU2,748,250),IF(MID($AU2,748,1)=" ",MID($AU2,747,250),MID($AU2,749,250))))),IF(MID($AU2,501,1)=" ",IF(MID($AU2,750,1)=" ",MID($AU2,749,250),IF(MID($AU2,749,1)=" ",MID($AU2,748,250),MID($AU2,750,250))),IF(MID($AU2,500,1)=" ",IF(MID($AU2,749,1)=" ",MID($AU2,748,250),IF(MID($AU2,750,1)=" ",MID($AU2,749,250),MID($AU2,750,250))),IF(MID($AU2,751,1)=" ",MID($AU2,750,250),IF(MID($AU2,750,1)=" ",MID($AU2,749,250),MID($AU2,751,250)))))))</f>
        <v/>
      </c>
      <c r="CP2" s="10" t="str">
        <f>IF(MID($AV2,251,1)=" ",MID($AV2,1,249),IF(MID($AV2,250,1)=" ",MID($AV2,1,248),MID($AV2,1,250)))</f>
        <v xml:space="preserve">Ingredient: white tea*. *From organic farming. </v>
      </c>
      <c r="CQ2" s="10" t="str">
        <f>IF(MID($AV2,251,1)=" ",IF(MID($AV2,500,1)=" ",MID($AV2,250,249),IF(MID($AV2,499,1)=" ",MID($AV2,250,248),MID($AV2,250,250))),IF(MID($AV2,250,1)=" ",IF(MID($AV2,499,1)=" ",MID($AV2,249,249),IF(MID($AV2,498,1)=" ",MID($AV2,249,248),MID($AV2,249,250))),IF(MID($AV2,501,1)=" ",MID($AV2,251,249),IF(MID($AV2,500,1)=" ",MID($AV2,251,248),MID($AV2,251,250)))))</f>
        <v/>
      </c>
      <c r="CR2" s="10" t="str">
        <f>IF(MID($AV2,251,1)=" ",IF(MID($AV2,500,1)=" ",IF(MID($AV2,749,1)=" ",MID($AV2,499,249),IF(MID($AV2,748,1)=" ",MID($AV2,499,248),MID($AV2,499,250))),IF(MID($AV2,499,1)=" ",IF(MID($AV2,748,1)=" ",MID($AV2,498,249),IF(MID($AV2,747,1)=" ",MID($AV2,498,248),MID($AV2,498,250))),IF(MID($AV2,750,1)=" ",MID($AV2,500,249),IF(MID($AV2,749,1)=" ",MID($AV2,500,248),MID($AV2,500,250))))),IF(MID($AV2,250,1)=" ",IF(MID($AV2,499,1)=" ",IF(MID($AV2,746,1)=" ",MID($AV2,498,247),IF(MID($AV2,745,1)=" ",MID($AV2,498,246),MID($AV2,498,248))),IF(MID($AV2,498,1)=" ",IF(MID($AV2,745,1)=" ",MID($AV2,497,247),IF(MID($AV2,744,1)=" ",MID($AV2,497,246),MID($AV2,497,248))),IF(MID($AV2,749,1)=" ",MID($AV2,499,249),IF(MID($AV2,748,1)=" ",MID($AV2,499,248),MID($AV2,499,250))))),IF(MID($AV2,501,1)=" ",IF(MID($AV2,750,1)=" ",MID($AV2,500,249),IF(MID($AV2,749,1)=" ",MID($AV2,500,248),MID($AV2,500,250))),IF(MID($AV2,500,1)=" ",IF(MID($AV2,749,1)=" ",MID($AV2,499,249),IF(MID($AV2,750,1)=" ",MID($AV2,499,249),MID($AV2,499,250))),IF(MID($AV2,751,1)=" ",MID($AV2,501,249),IF(MID($AV2,750,1)=" ",MID($AV2,501,248),MID($AV2,501,250)))))))</f>
        <v/>
      </c>
      <c r="CS2" s="10" t="str">
        <f>IF(MID($AV2,251,1)=" ",IF(MID($AV2,500,1)=" ",IF(MID($AV2,749,1)=" ",MID($AV2,748,250),IF(MID($AV2,748,1)=" ",MID($AV2,747,250),MID($AV2,749,250))),IF(MID($AV2,499,1)=" ",IF(MID($AV2,748,1)=" ",MID($AV2,747,250),IF(MID($AV2,747,1)=" ",MID($AV2,746,250),MID($AV2,748,250))),IF(MID($AV2,750,1)=" ",MID($AV2,749,250),IF(MID($AV2,749,1)=" ",MID($AV2,748,250),MID($AV2,750,250))))),IF(MID($AV2,250,1)=" ",IF(MID($AV2,499,1)=" ",IF(MID($AV2,746,1)=" ",MID($AV2,745,250),IF(MID($AV2,745,1)=" ",MID($AV2,744,250),MID($AV2,746,250))),IF(MID($AV2,498,1)=" ",IF(MID($AV2,745,1)=" ",MID($AV2,744,250),IF(MID($AV2,744,1)=" ",MID($AV2,743,250),MID($AV2,745,250))),IF(MID($AV2,749,1)=" ",MID($AV2,748,250),IF(MID($AV2,748,1)=" ",MID($AV2,747,250),MID($AV2,749,250))))),IF(MID($AV2,501,1)=" ",IF(MID($AV2,750,1)=" ",MID($AV2,749,250),IF(MID($AV2,749,1)=" ",MID($AV2,748,250),MID($AV2,750,250))),IF(MID($AV2,500,1)=" ",IF(MID($AV2,749,1)=" ",MID($AV2,748,250),IF(MID($AV2,750,1)=" ",MID($AV2,749,250),MID($AV2,750,250))),IF(MID($AV2,751,1)=" ",MID($AV2,750,250),IF(MID($AV2,750,1)=" ",MID($AV2,749,250),MID($AV2,751,250)))))))</f>
        <v/>
      </c>
      <c r="CT2" s="10" t="str">
        <f>IF(MID($AX2,251,1)=" ",MID($AX2,1,249),IF(MID($AX2,250,1)=" ",MID($AX2,1,248),MID($AX2,1,250)))</f>
        <v/>
      </c>
      <c r="CU2" s="10" t="str">
        <f>IF(MID($AX2,251,1)=" ",IF(MID($AX2,500,1)=" ",MID($AX2,250,249),IF(MID($AX2,499,1)=" ",MID($AX2,250,248),MID($AX2,250,250))),IF(MID($AX2,250,1)=" ",IF(MID($AX2,499,1)=" ",MID($AX2,249,249),IF(MID($AX2,498,1)=" ",MID($AX2,249,248),MID($AX2,249,250))),IF(MID($AX2,501,1)=" ",MID($AX2,251,249),IF(MID($AX2,500,1)=" ",MID($AX2,251,248),MID($AX2,251,250)))))</f>
        <v/>
      </c>
      <c r="CV2" s="10" t="str">
        <f>IF(MID($AX2,251,1)=" ",IF(MID($AX2,500,1)=" ",IF(MID($AX2,749,1)=" ",MID($AX2,499,249),IF(MID($AX2,748,1)=" ",MID($AX2,499,248),MID($AX2,499,250))),IF(MID($AX2,499,1)=" ",IF(MID($AX2,748,1)=" ",MID($AX2,498,249),IF(MID($AX2,747,1)=" ",MID($AX2,498,248),MID($AX2,498,250))),IF(MID($AX2,750,1)=" ",MID($AX2,500,249),IF(MID($AX2,749,1)=" ",MID($AX2,500,248),MID($AX2,500,250))))),IF(MID($AX2,250,1)=" ",IF(MID($AX2,499,1)=" ",IF(MID($AX2,746,1)=" ",MID($AX2,498,247),IF(MID($AX2,745,1)=" ",MID($AX2,498,246),MID($AX2,498,248))),IF(MID($AX2,498,1)=" ",IF(MID($AX2,745,1)=" ",MID($AX2,497,247),IF(MID($AX2,744,1)=" ",MID($AX2,497,246),MID($AX2,497,248))),IF(MID($AX2,749,1)=" ",MID($AX2,499,249),IF(MID($AX2,748,1)=" ",MID($AX2,499,248),MID($AX2,499,250))))),IF(MID($AX2,501,1)=" ",IF(MID($AX2,750,1)=" ",MID($AX2,500,249),IF(MID($AX2,749,1)=" ",MID($AX2,500,248),MID($AX2,500,250))),IF(MID($AX2,500,1)=" ",IF(MID($AX2,749,1)=" ",MID($AX2,499,249),IF(MID($AX2,750,1)=" ",MID($AX2,499,249),MID($AX2,499,250))),IF(MID($AX2,751,1)=" ",MID($AX2,501,249),IF(MID($AX2,750,1)=" ",MID($AX2,501,248),MID($AX2,501,250)))))))</f>
        <v/>
      </c>
      <c r="CW2" s="10" t="str">
        <f>IF(MID($AX2,251,1)=" ",IF(MID($AX2,500,1)=" ",IF(MID($AX2,749,1)=" ",MID($AX2,748,250),IF(MID($AX2,748,1)=" ",MID($AX2,747,250),MID($AX2,749,250))),IF(MID($AX2,499,1)=" ",IF(MID($AX2,748,1)=" ",MID($AX2,747,250),IF(MID($AX2,747,1)=" ",MID($AX2,746,250),MID($AX2,748,250))),IF(MID($AX2,750,1)=" ",MID($AX2,749,250),IF(MID($AX2,749,1)=" ",MID($AX2,748,250),MID($AX2,750,250))))),IF(MID($AX2,250,1)=" ",IF(MID($AX2,499,1)=" ",IF(MID($AX2,746,1)=" ",MID($AX2,745,250),IF(MID($AX2,745,1)=" ",MID($AX2,744,250),MID($AX2,746,250))),IF(MID($AX2,498,1)=" ",IF(MID($AX2,745,1)=" ",MID($AX2,744,250),IF(MID($AX2,744,1)=" ",MID($AX2,743,250),MID($AX2,745,250))),IF(MID($AX2,749,1)=" ",MID($AX2,748,250),IF(MID($AX2,748,1)=" ",MID($AX2,747,250),MID($AX2,749,250))))),IF(MID($AX2,501,1)=" ",IF(MID($AX2,750,1)=" ",MID($AX2,749,250),IF(MID($AX2,749,1)=" ",MID($AX2,748,250),MID($AX2,750,250))),IF(MID($AX2,500,1)=" ",IF(MID($AX2,749,1)=" ",MID($AX2,748,250),IF(MID($AX2,750,1)=" ",MID($AX2,749,250),MID($AX2,750,250))),IF(MID($AX2,751,1)=" ",MID($AX2,750,250),IF(MID($AX2,750,1)=" ",MID($AX2,749,250),MID($AX2,751,250)))))))</f>
        <v/>
      </c>
    </row>
    <row r="3" spans="1:101" ht="93.6">
      <c r="A3" s="130" t="s">
        <v>1999</v>
      </c>
      <c r="B3" s="9" t="s">
        <v>26</v>
      </c>
      <c r="C3" s="9"/>
      <c r="D3" s="8" t="s">
        <v>2001</v>
      </c>
      <c r="E3" s="9" t="s">
        <v>2002</v>
      </c>
      <c r="F3" s="9" t="s">
        <v>1987</v>
      </c>
      <c r="G3" s="9" t="s">
        <v>67</v>
      </c>
      <c r="H3" s="10" t="s">
        <v>5</v>
      </c>
      <c r="I3" s="10" t="s">
        <v>6</v>
      </c>
      <c r="J3" s="10" t="s">
        <v>29</v>
      </c>
      <c r="K3" s="10" t="s">
        <v>8</v>
      </c>
      <c r="L3" s="10" t="s">
        <v>29</v>
      </c>
      <c r="M3" s="10" t="s">
        <v>29</v>
      </c>
      <c r="N3" s="10" t="s">
        <v>68</v>
      </c>
      <c r="O3" s="9"/>
      <c r="P3" s="9"/>
      <c r="Q3" s="154" t="s">
        <v>2003</v>
      </c>
      <c r="R3" s="9"/>
      <c r="S3" s="9"/>
      <c r="T3" s="9" t="s">
        <v>48</v>
      </c>
      <c r="U3"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3" s="9" t="s">
        <v>29</v>
      </c>
      <c r="W3" s="9" t="s">
        <v>31</v>
      </c>
      <c r="X3" s="10">
        <v>100</v>
      </c>
      <c r="Y3" s="19" t="s">
        <v>78</v>
      </c>
      <c r="Z3" s="19">
        <v>85</v>
      </c>
      <c r="AA3" s="10">
        <v>2</v>
      </c>
      <c r="AB3" s="10">
        <v>50</v>
      </c>
      <c r="AC3" s="12">
        <v>3582810640425</v>
      </c>
      <c r="AD3" s="10" t="s">
        <v>29</v>
      </c>
      <c r="AE3" s="10" t="s">
        <v>33</v>
      </c>
      <c r="AF3" s="10" t="s">
        <v>2004</v>
      </c>
      <c r="AG3" s="10" t="s">
        <v>2005</v>
      </c>
      <c r="AH3" s="20" t="s">
        <v>70</v>
      </c>
      <c r="AI3" s="54" t="s">
        <v>776</v>
      </c>
      <c r="AJ3" s="55">
        <v>45708</v>
      </c>
      <c r="AK3" s="10"/>
      <c r="AL3" s="10"/>
      <c r="AM3" s="10"/>
      <c r="AN3" s="10"/>
      <c r="AO3" s="10"/>
      <c r="AP3" s="10"/>
      <c r="AQ3" s="51" t="s">
        <v>2001</v>
      </c>
      <c r="AR3" s="51" t="s">
        <v>2008</v>
      </c>
      <c r="AS3" s="82" t="s">
        <v>2009</v>
      </c>
      <c r="AT3" s="9" t="s">
        <v>67</v>
      </c>
      <c r="AU3" s="96" t="s">
        <v>2010</v>
      </c>
      <c r="AV3" s="82" t="s">
        <v>1993</v>
      </c>
      <c r="AW3" s="52"/>
      <c r="AX3" s="51"/>
      <c r="AY3" s="51"/>
      <c r="AZ3" s="51"/>
      <c r="BA3" s="51"/>
      <c r="BB3" s="51"/>
      <c r="BC3" s="51"/>
      <c r="BD3" s="51"/>
      <c r="BE3" s="51"/>
      <c r="BF3" s="92"/>
      <c r="BG3" s="92"/>
      <c r="BH3" s="92"/>
      <c r="BI3" s="92"/>
      <c r="BJ3" s="92"/>
      <c r="BK3" s="92"/>
      <c r="BL3" s="92"/>
      <c r="BN3" s="7" t="str">
        <f>IF(IFERROR(FIND("romatis",$F3),0)=0,"","aromatisé")</f>
        <v/>
      </c>
      <c r="BV3" s="10" t="str">
        <f>IF(MID($Q3,251,1)=" ",MID($Q3,1,249),IF(MID($Q3,250,1)=" ",MID($Q3,1,248),MID($Q3,1,250)))</f>
        <v>Les bourgeons et deux premières feuilles de ce thé blanc issu de théiers anciens du Vietnam ont été travaillés à la manière d’un Bai Mu Dan. Son infusion aux parfums de prairie sauvage et aux saveurs délicatement fruitées est à la fois légère et fraî</v>
      </c>
      <c r="BW3" s="10" t="str">
        <f>IF(MID($Q3,251,1)=" ",IF(MID($Q3,500,1)=" ",MID($Q3,250,249),IF(MID($Q3,499,1)=" ",MID($Q3,250,248),MID($Q3,250,250))),IF(MID($Q3,250,1)=" ",IF(MID($Q3,499,1)=" ",MID($Q3,249,249),IF(MID($Q3,498,1)=" ",MID($Q3,249,248),MID($Q3,249,250))),IF(MID($Q3,501,1)=" ",MID($Q3,251,249),IF(MID($Q3,500,1)=" ",MID($Q3,251,248),MID($Q3,251,250)))))</f>
        <v>che. Une boisson idéale pour les beaux jours.</v>
      </c>
      <c r="BX3" s="10" t="str">
        <f>IF(MID($Q3,251,1)=" ",IF(MID($Q3,500,1)=" ",IF(MID($Q3,749,1)=" ",MID($Q3,499,249),IF(MID($Q3,748,1)=" ",MID($Q3,499,248),MID($Q3,499,250))),IF(MID($Q3,499,1)=" ",IF(MID($Q3,748,1)=" ",MID($Q3,498,249),IF(MID($Q3,747,1)=" ",MID($Q3,498,248),MID($Q3,498,250))),IF(MID($Q3,750,1)=" ",MID($Q3,500,249),IF(MID($Q3,749,1)=" ",MID($Q3,500,248),MID($Q3,500,250))))),IF(MID($Q3,250,1)=" ",IF(MID($Q3,499,1)=" ",IF(MID($Q3,746,1)=" ",MID($Q3,498,247),IF(MID($Q3,745,1)=" ",MID($Q3,498,246),MID($Q3,498,248))),IF(MID($Q3,498,1)=" ",IF(MID($Q3,745,1)=" ",MID($Q3,497,247),IF(MID($Q3,744,1)=" ",MID($Q3,497,246),MID($Q3,497,248))),IF(MID($Q3,749,1)=" ",MID($Q3,499,249),IF(MID($Q3,748,1)=" ",MID($Q3,499,248),MID($Q3,499,250))))),IF(MID($Q3,501,1)=" ",IF(MID($Q3,750,1)=" ",MID($Q3,500,249),IF(MID($Q3,749,1)=" ",MID($Q3,500,248),MID($Q3,500,250))),IF(MID($Q3,500,1)=" ",IF(MID($Q3,749,1)=" ",MID($Q3,499,249),IF(MID($Q3,750,1)=" ",MID($Q3,499,249),MID($Q3,499,250))),IF(MID($Q3,751,1)=" ",MID($Q3,501,249),IF(MID($Q3,750,1)=" ",MID($Q3,501,248),MID($Q3,501,250)))))))</f>
        <v/>
      </c>
      <c r="BY3" s="10" t="str">
        <f>IF(MID($Q3,251,1)=" ",IF(MID($Q3,500,1)=" ",IF(MID($Q3,749,1)=" ",MID($Q3,748,250),IF(MID($Q3,748,1)=" ",MID($Q3,747,250),MID($Q3,749,250))),IF(MID($Q3,499,1)=" ",IF(MID($Q3,748,1)=" ",MID($Q3,747,250),IF(MID($Q3,747,1)=" ",MID($Q3,746,250),MID($Q3,748,250))),IF(MID($Q3,750,1)=" ",MID($Q3,749,250),IF(MID($Q3,749,1)=" ",MID($Q3,748,250),MID($Q3,750,250))))),IF(MID($Q3,250,1)=" ",IF(MID($Q3,499,1)=" ",IF(MID($Q3,746,1)=" ",MID($Q3,745,250),IF(MID($Q3,745,1)=" ",MID($Q3,744,250),MID($Q3,746,250))),IF(MID($Q3,498,1)=" ",IF(MID($Q3,745,1)=" ",MID($Q3,744,250),IF(MID($Q3,744,1)=" ",MID($Q3,743,250),MID($Q3,745,250))),IF(MID($Q3,749,1)=" ",MID($Q3,748,250),IF(MID($Q3,748,1)=" ",MID($Q3,747,250),MID($Q3,749,250))))),IF(MID($Q3,501,1)=" ",IF(MID($Q3,750,1)=" ",MID($Q3,749,250),IF(MID($Q3,749,1)=" ",MID($Q3,748,250),MID($Q3,750,250))),IF(MID($Q3,500,1)=" ",IF(MID($Q3,749,1)=" ",MID($Q3,748,250),IF(MID($Q3,750,1)=" ",MID($Q3,749,250),MID($Q3,750,250))),IF(MID($Q3,751,1)=" ",MID($Q3,750,250),IF(MID($Q3,750,1)=" ",MID($Q3,749,250),MID($Q3,751,250)))))))</f>
        <v/>
      </c>
      <c r="BZ3" s="10" t="str">
        <f>IF(MID($T3,251,1)=" ",MID($T3,1,249),IF(MID($T3,250,1)=" ",MID($T3,1,248),MID($T3,1,250)))</f>
        <v xml:space="preserve">Ingrédient : thé blanc*. *Issu de l'agriculture biologique. </v>
      </c>
      <c r="CA3" s="10" t="str">
        <f>IF(MID($T3,251,1)=" ",IF(MID($T3,500,1)=" ",MID($T3,250,249),IF(MID($T3,499,1)=" ",MID($T3,250,248),MID($T3,250,250))),IF(MID($T3,250,1)=" ",IF(MID($T3,499,1)=" ",MID($T3,249,249),IF(MID($T3,498,1)=" ",MID($T3,249,248),MID($T3,249,250))),IF(MID($T3,501,1)=" ",MID($T3,251,249),IF(MID($T3,500,1)=" ",MID($T3,251,248),MID($T3,251,250)))))</f>
        <v/>
      </c>
      <c r="CB3" s="10" t="str">
        <f>IF(MID($T3,251,1)=" ",IF(MID($T3,500,1)=" ",IF(MID($T3,749,1)=" ",MID($T3,499,249),IF(MID($T3,748,1)=" ",MID($T3,499,248),MID($T3,499,250))),IF(MID($T3,499,1)=" ",IF(MID($T3,748,1)=" ",MID($T3,498,249),IF(MID($T3,747,1)=" ",MID($T3,498,248),MID($T3,498,250))),IF(MID($T3,750,1)=" ",MID($T3,500,249),IF(MID($T3,749,1)=" ",MID($T3,500,248),MID($T3,500,250))))),IF(MID($T3,250,1)=" ",IF(MID($T3,499,1)=" ",IF(MID($T3,746,1)=" ",MID($T3,498,247),IF(MID($T3,745,1)=" ",MID($T3,498,246),MID($T3,498,248))),IF(MID($T3,498,1)=" ",IF(MID($T3,745,1)=" ",MID($T3,497,247),IF(MID($T3,744,1)=" ",MID($T3,497,246),MID($T3,497,248))),IF(MID($T3,749,1)=" ",MID($T3,499,249),IF(MID($T3,748,1)=" ",MID($T3,499,248),MID($T3,499,250))))),IF(MID($T3,501,1)=" ",IF(MID($T3,750,1)=" ",MID($T3,500,249),IF(MID($T3,749,1)=" ",MID($T3,500,248),MID($T3,500,250))),IF(MID($T3,500,1)=" ",IF(MID($T3,749,1)=" ",MID($T3,499,249),IF(MID($T3,750,1)=" ",MID($T3,499,249),MID($T3,499,250))),IF(MID($T3,751,1)=" ",MID($T3,501,249),IF(MID($T3,750,1)=" ",MID($T3,501,248),MID($T3,501,250)))))))</f>
        <v/>
      </c>
      <c r="CC3" s="10" t="str">
        <f>IF(MID($T3,251,1)=" ",IF(MID($T3,500,1)=" ",IF(MID($T3,749,1)=" ",MID($T3,748,250),IF(MID($T3,748,1)=" ",MID($T3,747,250),MID($T3,749,250))),IF(MID($T3,499,1)=" ",IF(MID($T3,748,1)=" ",MID($T3,747,250),IF(MID($T3,747,1)=" ",MID($T3,746,250),MID($T3,748,250))),IF(MID($T3,750,1)=" ",MID($T3,749,250),IF(MID($T3,749,1)=" ",MID($T3,748,250),MID($T3,750,250))))),IF(MID($T3,250,1)=" ",IF(MID($T3,499,1)=" ",IF(MID($T3,746,1)=" ",MID($T3,745,250),IF(MID($T3,745,1)=" ",MID($T3,744,250),MID($T3,746,250))),IF(MID($T3,498,1)=" ",IF(MID($T3,745,1)=" ",MID($T3,744,250),IF(MID($T3,744,1)=" ",MID($T3,743,250),MID($T3,745,250))),IF(MID($T3,749,1)=" ",MID($T3,748,250),IF(MID($T3,748,1)=" ",MID($T3,747,250),MID($T3,749,250))))),IF(MID($T3,501,1)=" ",IF(MID($T3,750,1)=" ",MID($T3,749,250),IF(MID($T3,749,1)=" ",MID($T3,748,250),MID($T3,750,250))),IF(MID($T3,500,1)=" ",IF(MID($T3,749,1)=" ",MID($T3,748,250),IF(MID($T3,750,1)=" ",MID($T3,749,250),MID($T3,750,250))),IF(MID($T3,751,1)=" ",MID($T3,750,250),IF(MID($T3,750,1)=" ",MID($T3,749,250),MID($T3,751,250)))))))</f>
        <v/>
      </c>
      <c r="CD3" s="10" t="str">
        <f>IF(MID($V3,251,1)=" ",MID($V3,1,249),IF(MID($V3,250,1)=" ",MID($V3,1,248),MID($V3,1,250)))</f>
        <v>/</v>
      </c>
      <c r="CE3" s="10" t="str">
        <f>IF(MID($V3,251,1)=" ",IF(MID($V3,500,1)=" ",MID($V3,250,249),IF(MID($V3,499,1)=" ",MID($V3,250,248),MID($V3,250,250))),IF(MID($V3,250,1)=" ",IF(MID($V3,499,1)=" ",MID($V3,249,249),IF(MID($V3,498,1)=" ",MID($V3,249,248),MID($V3,249,250))),IF(MID($V3,501,1)=" ",MID($V3,251,249),IF(MID($V3,500,1)=" ",MID($V3,251,248),MID($V3,251,250)))))</f>
        <v/>
      </c>
      <c r="CF3" s="10" t="str">
        <f>IF(MID($V3,251,1)=" ",IF(MID($V3,500,1)=" ",IF(MID($V3,749,1)=" ",MID($V3,499,249),IF(MID($V3,748,1)=" ",MID($V3,499,248),MID($V3,499,250))),IF(MID($V3,499,1)=" ",IF(MID($V3,748,1)=" ",MID($V3,498,249),IF(MID($V3,747,1)=" ",MID($V3,498,248),MID($V3,498,250))),IF(MID($V3,750,1)=" ",MID($V3,500,249),IF(MID($V3,749,1)=" ",MID($V3,500,248),MID($V3,500,250))))),IF(MID($V3,250,1)=" ",IF(MID($V3,499,1)=" ",IF(MID($V3,746,1)=" ",MID($V3,498,247),IF(MID($V3,745,1)=" ",MID($V3,498,246),MID($V3,498,248))),IF(MID($V3,498,1)=" ",IF(MID($V3,745,1)=" ",MID($V3,497,247),IF(MID($V3,744,1)=" ",MID($V3,497,246),MID($V3,497,248))),IF(MID($V3,749,1)=" ",MID($V3,499,249),IF(MID($V3,748,1)=" ",MID($V3,499,248),MID($V3,499,250))))),IF(MID($V3,501,1)=" ",IF(MID($V3,750,1)=" ",MID($V3,500,249),IF(MID($V3,749,1)=" ",MID($V3,500,248),MID($V3,500,250))),IF(MID($V3,500,1)=" ",IF(MID($V3,749,1)=" ",MID($V3,499,249),IF(MID($V3,750,1)=" ",MID($V3,499,249),MID($V3,499,250))),IF(MID($V3,751,1)=" ",MID($V3,501,249),IF(MID($V3,750,1)=" ",MID($V3,501,248),MID($V3,501,250)))))))</f>
        <v/>
      </c>
      <c r="CG3" s="10" t="str">
        <f>IF(MID($V3,251,1)=" ",IF(MID($V3,500,1)=" ",IF(MID($V3,749,1)=" ",MID($V3,748,250),IF(MID($V3,748,1)=" ",MID($V3,747,250),MID($V3,749,250))),IF(MID($V3,499,1)=" ",IF(MID($V3,748,1)=" ",MID($V3,747,250),IF(MID($V3,747,1)=" ",MID($V3,746,250),MID($V3,748,250))),IF(MID($V3,750,1)=" ",MID($V3,749,250),IF(MID($V3,749,1)=" ",MID($V3,748,250),MID($V3,750,250))))),IF(MID($V3,250,1)=" ",IF(MID($V3,499,1)=" ",IF(MID($V3,746,1)=" ",MID($V3,745,250),IF(MID($V3,745,1)=" ",MID($V3,744,250),MID($V3,746,250))),IF(MID($V3,498,1)=" ",IF(MID($V3,745,1)=" ",MID($V3,744,250),IF(MID($V3,744,1)=" ",MID($V3,743,250),MID($V3,745,250))),IF(MID($V3,749,1)=" ",MID($V3,748,250),IF(MID($V3,748,1)=" ",MID($V3,747,250),MID($V3,749,250))))),IF(MID($V3,501,1)=" ",IF(MID($V3,750,1)=" ",MID($V3,749,250),IF(MID($V3,749,1)=" ",MID($V3,748,250),MID($V3,750,250))),IF(MID($V3,500,1)=" ",IF(MID($V3,749,1)=" ",MID($V3,748,250),IF(MID($V3,750,1)=" ",MID($V3,749,250),MID($V3,750,250))),IF(MID($V3,751,1)=" ",MID($V3,750,250),IF(MID($V3,750,1)=" ",MID($V3,749,250),MID($V3,751,250)))))))</f>
        <v/>
      </c>
      <c r="CH3" s="10" t="str">
        <f>IF(MID($W3,251,1)=" ",MID($W3,1,249),IF(MID($W3,250,1)=" ",MID($W3,1,248),MID($W3,1,250)))</f>
        <v>Membre certifié World Fair Trade Organization, Les Jardins de Gaïa s’engagent pour un commerce plus juste et répondent aux exigences du commerce équitable. Pour en savoir plus : www.wfto.com.</v>
      </c>
      <c r="CI3" s="10" t="str">
        <f>IF(MID($W3,251,1)=" ",IF(MID($W3,500,1)=" ",MID($W3,250,249),IF(MID($W3,499,1)=" ",MID($W3,250,248),MID($W3,250,250))),IF(MID($W3,250,1)=" ",IF(MID($W3,499,1)=" ",MID($W3,249,249),IF(MID($W3,498,1)=" ",MID($W3,249,248),MID($W3,249,250))),IF(MID($W3,501,1)=" ",MID($W3,251,249),IF(MID($W3,500,1)=" ",MID($W3,251,248),MID($W3,251,250)))))</f>
        <v/>
      </c>
      <c r="CJ3" s="10" t="str">
        <f>IF(MID($W3,251,1)=" ",IF(MID($W3,500,1)=" ",IF(MID($W3,749,1)=" ",MID($W3,499,249),IF(MID($W3,748,1)=" ",MID($W3,499,248),MID($W3,499,250))),IF(MID($W3,499,1)=" ",IF(MID($W3,748,1)=" ",MID($W3,498,249),IF(MID($W3,747,1)=" ",MID($W3,498,248),MID($W3,498,250))),IF(MID($W3,750,1)=" ",MID($W3,500,249),IF(MID($W3,749,1)=" ",MID($W3,500,248),MID($W3,500,250))))),IF(MID($W3,250,1)=" ",IF(MID($W3,499,1)=" ",IF(MID($W3,746,1)=" ",MID($W3,498,247),IF(MID($W3,745,1)=" ",MID($W3,498,246),MID($W3,498,248))),IF(MID($W3,498,1)=" ",IF(MID($W3,745,1)=" ",MID($W3,497,247),IF(MID($W3,744,1)=" ",MID($W3,497,246),MID($W3,497,248))),IF(MID($W3,749,1)=" ",MID($W3,499,249),IF(MID($W3,748,1)=" ",MID($W3,499,248),MID($W3,499,250))))),IF(MID($W3,501,1)=" ",IF(MID($W3,750,1)=" ",MID($W3,500,249),IF(MID($W3,749,1)=" ",MID($W3,500,248),MID($W3,500,250))),IF(MID($W3,500,1)=" ",IF(MID($W3,749,1)=" ",MID($W3,499,249),IF(MID($W3,750,1)=" ",MID($W3,499,249),MID($W3,499,250))),IF(MID($W3,751,1)=" ",MID($W3,501,249),IF(MID($W3,750,1)=" ",MID($W3,501,248),MID($W3,501,250)))))))</f>
        <v/>
      </c>
      <c r="CK3" s="10" t="str">
        <f>IF(MID($W3,251,1)=" ",IF(MID($W3,500,1)=" ",IF(MID($W3,749,1)=" ",MID($W3,748,250),IF(MID($W3,748,1)=" ",MID($W3,747,250),MID($W3,749,250))),IF(MID($W3,499,1)=" ",IF(MID($W3,748,1)=" ",MID($W3,747,250),IF(MID($W3,747,1)=" ",MID($W3,746,250),MID($W3,748,250))),IF(MID($W3,750,1)=" ",MID($W3,749,250),IF(MID($W3,749,1)=" ",MID($W3,748,250),MID($W3,750,250))))),IF(MID($W3,250,1)=" ",IF(MID($W3,499,1)=" ",IF(MID($W3,746,1)=" ",MID($W3,745,250),IF(MID($W3,745,1)=" ",MID($W3,744,250),MID($W3,746,250))),IF(MID($W3,498,1)=" ",IF(MID($W3,745,1)=" ",MID($W3,744,250),IF(MID($W3,744,1)=" ",MID($W3,743,250),MID($W3,745,250))),IF(MID($W3,749,1)=" ",MID($W3,748,250),IF(MID($W3,748,1)=" ",MID($W3,747,250),MID($W3,749,250))))),IF(MID($W3,501,1)=" ",IF(MID($W3,750,1)=" ",MID($W3,749,250),IF(MID($W3,749,1)=" ",MID($W3,748,250),MID($W3,750,250))),IF(MID($W3,500,1)=" ",IF(MID($W3,749,1)=" ",MID($W3,748,250),IF(MID($W3,750,1)=" ",MID($W3,749,250),MID($W3,750,250))),IF(MID($W3,751,1)=" ",MID($W3,750,250),IF(MID($W3,750,1)=" ",MID($W3,749,250),MID($W3,751,250)))))))</f>
        <v/>
      </c>
      <c r="CL3" s="10" t="str">
        <f>IF(MID($AU3,251,1)=" ",MID($AU3,1,249),IF(MID($AU3,250,1)=" ",MID($AU3,1,248),MID($AU3,1,250)))</f>
        <v>The buds and first two leaves of this white tea from ancient Vietnamese tea bushes have been processed in the manner of a Bai Mu Dan. Its infusion, with its wild meadow fragrance and delicately fruity flavours, is both light and fresh. An ideal drin</v>
      </c>
      <c r="CM3" s="10" t="str">
        <f>IF(MID($AU3,251,1)=" ",IF(MID($AU3,500,1)=" ",MID($AU3,250,249),IF(MID($AU3,499,1)=" ",MID($AU3,250,248),MID($AU3,250,250))),IF(MID($AU3,250,1)=" ",IF(MID($AU3,499,1)=" ",MID($AU3,249,249),IF(MID($AU3,498,1)=" ",MID($AU3,249,248),MID($AU3,249,250))),IF(MID($AU3,501,1)=" ",MID($AU3,251,249),IF(MID($AU3,500,1)=" ",MID($AU3,251,248),MID($AU3,251,250)))))</f>
        <v>k for sunny days.</v>
      </c>
      <c r="CN3" s="10" t="str">
        <f>IF(MID($AU3,251,1)=" ",IF(MID($AU3,500,1)=" ",IF(MID($AU3,749,1)=" ",MID($AU3,499,249),IF(MID($AU3,748,1)=" ",MID($AU3,499,248),MID($AU3,499,250))),IF(MID($AU3,499,1)=" ",IF(MID($AU3,748,1)=" ",MID($AU3,498,249),IF(MID($AU3,747,1)=" ",MID($AU3,498,248),MID($AU3,498,250))),IF(MID($AU3,750,1)=" ",MID($AU3,500,249),IF(MID($AU3,749,1)=" ",MID($AU3,500,248),MID($AU3,500,250))))),IF(MID($AU3,250,1)=" ",IF(MID($AU3,499,1)=" ",IF(MID($AU3,746,1)=" ",MID($AU3,498,247),IF(MID($AU3,745,1)=" ",MID($AU3,498,246),MID($AU3,498,248))),IF(MID($AU3,498,1)=" ",IF(MID($AU3,745,1)=" ",MID($AU3,497,247),IF(MID($AU3,744,1)=" ",MID($AU3,497,246),MID($AU3,497,248))),IF(MID($AU3,749,1)=" ",MID($AU3,499,249),IF(MID($AU3,748,1)=" ",MID($AU3,499,248),MID($AU3,499,250))))),IF(MID($AU3,501,1)=" ",IF(MID($AU3,750,1)=" ",MID($AU3,500,249),IF(MID($AU3,749,1)=" ",MID($AU3,500,248),MID($AU3,500,250))),IF(MID($AU3,500,1)=" ",IF(MID($AU3,749,1)=" ",MID($AU3,499,249),IF(MID($AU3,750,1)=" ",MID($AU3,499,249),MID($AU3,499,250))),IF(MID($AU3,751,1)=" ",MID($AU3,501,249),IF(MID($AU3,750,1)=" ",MID($AU3,501,248),MID($AU3,501,250)))))))</f>
        <v/>
      </c>
      <c r="CO3" s="10" t="str">
        <f>IF(MID($AU3,251,1)=" ",IF(MID($AU3,500,1)=" ",IF(MID($AU3,749,1)=" ",MID($AU3,748,250),IF(MID($AU3,748,1)=" ",MID($AU3,747,250),MID($AU3,749,250))),IF(MID($AU3,499,1)=" ",IF(MID($AU3,748,1)=" ",MID($AU3,747,250),IF(MID($AU3,747,1)=" ",MID($AU3,746,250),MID($AU3,748,250))),IF(MID($AU3,750,1)=" ",MID($AU3,749,250),IF(MID($AU3,749,1)=" ",MID($AU3,748,250),MID($AU3,750,250))))),IF(MID($AU3,250,1)=" ",IF(MID($AU3,499,1)=" ",IF(MID($AU3,746,1)=" ",MID($AU3,745,250),IF(MID($AU3,745,1)=" ",MID($AU3,744,250),MID($AU3,746,250))),IF(MID($AU3,498,1)=" ",IF(MID($AU3,745,1)=" ",MID($AU3,744,250),IF(MID($AU3,744,1)=" ",MID($AU3,743,250),MID($AU3,745,250))),IF(MID($AU3,749,1)=" ",MID($AU3,748,250),IF(MID($AU3,748,1)=" ",MID($AU3,747,250),MID($AU3,749,250))))),IF(MID($AU3,501,1)=" ",IF(MID($AU3,750,1)=" ",MID($AU3,749,250),IF(MID($AU3,749,1)=" ",MID($AU3,748,250),MID($AU3,750,250))),IF(MID($AU3,500,1)=" ",IF(MID($AU3,749,1)=" ",MID($AU3,748,250),IF(MID($AU3,750,1)=" ",MID($AU3,749,250),MID($AU3,750,250))),IF(MID($AU3,751,1)=" ",MID($AU3,750,250),IF(MID($AU3,750,1)=" ",MID($AU3,749,250),MID($AU3,751,250)))))))</f>
        <v/>
      </c>
      <c r="CP3" s="10" t="str">
        <f>IF(MID($AV3,251,1)=" ",MID($AV3,1,249),IF(MID($AV3,250,1)=" ",MID($AV3,1,248),MID($AV3,1,250)))</f>
        <v xml:space="preserve">Ingredient: white tea*. *From organic farming. </v>
      </c>
      <c r="CQ3" s="10" t="str">
        <f>IF(MID($AV3,251,1)=" ",IF(MID($AV3,500,1)=" ",MID($AV3,250,249),IF(MID($AV3,499,1)=" ",MID($AV3,250,248),MID($AV3,250,250))),IF(MID($AV3,250,1)=" ",IF(MID($AV3,499,1)=" ",MID($AV3,249,249),IF(MID($AV3,498,1)=" ",MID($AV3,249,248),MID($AV3,249,250))),IF(MID($AV3,501,1)=" ",MID($AV3,251,249),IF(MID($AV3,500,1)=" ",MID($AV3,251,248),MID($AV3,251,250)))))</f>
        <v/>
      </c>
      <c r="CR3" s="10" t="str">
        <f>IF(MID($AV3,251,1)=" ",IF(MID($AV3,500,1)=" ",IF(MID($AV3,749,1)=" ",MID($AV3,499,249),IF(MID($AV3,748,1)=" ",MID($AV3,499,248),MID($AV3,499,250))),IF(MID($AV3,499,1)=" ",IF(MID($AV3,748,1)=" ",MID($AV3,498,249),IF(MID($AV3,747,1)=" ",MID($AV3,498,248),MID($AV3,498,250))),IF(MID($AV3,750,1)=" ",MID($AV3,500,249),IF(MID($AV3,749,1)=" ",MID($AV3,500,248),MID($AV3,500,250))))),IF(MID($AV3,250,1)=" ",IF(MID($AV3,499,1)=" ",IF(MID($AV3,746,1)=" ",MID($AV3,498,247),IF(MID($AV3,745,1)=" ",MID($AV3,498,246),MID($AV3,498,248))),IF(MID($AV3,498,1)=" ",IF(MID($AV3,745,1)=" ",MID($AV3,497,247),IF(MID($AV3,744,1)=" ",MID($AV3,497,246),MID($AV3,497,248))),IF(MID($AV3,749,1)=" ",MID($AV3,499,249),IF(MID($AV3,748,1)=" ",MID($AV3,499,248),MID($AV3,499,250))))),IF(MID($AV3,501,1)=" ",IF(MID($AV3,750,1)=" ",MID($AV3,500,249),IF(MID($AV3,749,1)=" ",MID($AV3,500,248),MID($AV3,500,250))),IF(MID($AV3,500,1)=" ",IF(MID($AV3,749,1)=" ",MID($AV3,499,249),IF(MID($AV3,750,1)=" ",MID($AV3,499,249),MID($AV3,499,250))),IF(MID($AV3,751,1)=" ",MID($AV3,501,249),IF(MID($AV3,750,1)=" ",MID($AV3,501,248),MID($AV3,501,250)))))))</f>
        <v/>
      </c>
      <c r="CS3" s="10" t="str">
        <f>IF(MID($AV3,251,1)=" ",IF(MID($AV3,500,1)=" ",IF(MID($AV3,749,1)=" ",MID($AV3,748,250),IF(MID($AV3,748,1)=" ",MID($AV3,747,250),MID($AV3,749,250))),IF(MID($AV3,499,1)=" ",IF(MID($AV3,748,1)=" ",MID($AV3,747,250),IF(MID($AV3,747,1)=" ",MID($AV3,746,250),MID($AV3,748,250))),IF(MID($AV3,750,1)=" ",MID($AV3,749,250),IF(MID($AV3,749,1)=" ",MID($AV3,748,250),MID($AV3,750,250))))),IF(MID($AV3,250,1)=" ",IF(MID($AV3,499,1)=" ",IF(MID($AV3,746,1)=" ",MID($AV3,745,250),IF(MID($AV3,745,1)=" ",MID($AV3,744,250),MID($AV3,746,250))),IF(MID($AV3,498,1)=" ",IF(MID($AV3,745,1)=" ",MID($AV3,744,250),IF(MID($AV3,744,1)=" ",MID($AV3,743,250),MID($AV3,745,250))),IF(MID($AV3,749,1)=" ",MID($AV3,748,250),IF(MID($AV3,748,1)=" ",MID($AV3,747,250),MID($AV3,749,250))))),IF(MID($AV3,501,1)=" ",IF(MID($AV3,750,1)=" ",MID($AV3,749,250),IF(MID($AV3,749,1)=" ",MID($AV3,748,250),MID($AV3,750,250))),IF(MID($AV3,500,1)=" ",IF(MID($AV3,749,1)=" ",MID($AV3,748,250),IF(MID($AV3,750,1)=" ",MID($AV3,749,250),MID($AV3,750,250))),IF(MID($AV3,751,1)=" ",MID($AV3,750,250),IF(MID($AV3,750,1)=" ",MID($AV3,749,250),MID($AV3,751,250)))))))</f>
        <v/>
      </c>
      <c r="CT3" s="10" t="str">
        <f>IF(MID($AX3,251,1)=" ",MID($AX3,1,249),IF(MID($AX3,250,1)=" ",MID($AX3,1,248),MID($AX3,1,250)))</f>
        <v/>
      </c>
      <c r="CU3" s="10" t="str">
        <f>IF(MID($AX3,251,1)=" ",IF(MID($AX3,500,1)=" ",MID($AX3,250,249),IF(MID($AX3,499,1)=" ",MID($AX3,250,248),MID($AX3,250,250))),IF(MID($AX3,250,1)=" ",IF(MID($AX3,499,1)=" ",MID($AX3,249,249),IF(MID($AX3,498,1)=" ",MID($AX3,249,248),MID($AX3,249,250))),IF(MID($AX3,501,1)=" ",MID($AX3,251,249),IF(MID($AX3,500,1)=" ",MID($AX3,251,248),MID($AX3,251,250)))))</f>
        <v/>
      </c>
      <c r="CV3" s="10" t="str">
        <f>IF(MID($AX3,251,1)=" ",IF(MID($AX3,500,1)=" ",IF(MID($AX3,749,1)=" ",MID($AX3,499,249),IF(MID($AX3,748,1)=" ",MID($AX3,499,248),MID($AX3,499,250))),IF(MID($AX3,499,1)=" ",IF(MID($AX3,748,1)=" ",MID($AX3,498,249),IF(MID($AX3,747,1)=" ",MID($AX3,498,248),MID($AX3,498,250))),IF(MID($AX3,750,1)=" ",MID($AX3,500,249),IF(MID($AX3,749,1)=" ",MID($AX3,500,248),MID($AX3,500,250))))),IF(MID($AX3,250,1)=" ",IF(MID($AX3,499,1)=" ",IF(MID($AX3,746,1)=" ",MID($AX3,498,247),IF(MID($AX3,745,1)=" ",MID($AX3,498,246),MID($AX3,498,248))),IF(MID($AX3,498,1)=" ",IF(MID($AX3,745,1)=" ",MID($AX3,497,247),IF(MID($AX3,744,1)=" ",MID($AX3,497,246),MID($AX3,497,248))),IF(MID($AX3,749,1)=" ",MID($AX3,499,249),IF(MID($AX3,748,1)=" ",MID($AX3,499,248),MID($AX3,499,250))))),IF(MID($AX3,501,1)=" ",IF(MID($AX3,750,1)=" ",MID($AX3,500,249),IF(MID($AX3,749,1)=" ",MID($AX3,500,248),MID($AX3,500,250))),IF(MID($AX3,500,1)=" ",IF(MID($AX3,749,1)=" ",MID($AX3,499,249),IF(MID($AX3,750,1)=" ",MID($AX3,499,249),MID($AX3,499,250))),IF(MID($AX3,751,1)=" ",MID($AX3,501,249),IF(MID($AX3,750,1)=" ",MID($AX3,501,248),MID($AX3,501,250)))))))</f>
        <v/>
      </c>
      <c r="CW3" s="10" t="str">
        <f>IF(MID($AX3,251,1)=" ",IF(MID($AX3,500,1)=" ",IF(MID($AX3,749,1)=" ",MID($AX3,748,250),IF(MID($AX3,748,1)=" ",MID($AX3,747,250),MID($AX3,749,250))),IF(MID($AX3,499,1)=" ",IF(MID($AX3,748,1)=" ",MID($AX3,747,250),IF(MID($AX3,747,1)=" ",MID($AX3,746,250),MID($AX3,748,250))),IF(MID($AX3,750,1)=" ",MID($AX3,749,250),IF(MID($AX3,749,1)=" ",MID($AX3,748,250),MID($AX3,750,250))))),IF(MID($AX3,250,1)=" ",IF(MID($AX3,499,1)=" ",IF(MID($AX3,746,1)=" ",MID($AX3,745,250),IF(MID($AX3,745,1)=" ",MID($AX3,744,250),MID($AX3,746,250))),IF(MID($AX3,498,1)=" ",IF(MID($AX3,745,1)=" ",MID($AX3,744,250),IF(MID($AX3,744,1)=" ",MID($AX3,743,250),MID($AX3,745,250))),IF(MID($AX3,749,1)=" ",MID($AX3,748,250),IF(MID($AX3,748,1)=" ",MID($AX3,747,250),MID($AX3,749,250))))),IF(MID($AX3,501,1)=" ",IF(MID($AX3,750,1)=" ",MID($AX3,749,250),IF(MID($AX3,749,1)=" ",MID($AX3,748,250),MID($AX3,750,250))),IF(MID($AX3,500,1)=" ",IF(MID($AX3,749,1)=" ",MID($AX3,748,250),IF(MID($AX3,750,1)=" ",MID($AX3,749,250),MID($AX3,750,250))),IF(MID($AX3,751,1)=" ",MID($AX3,750,250),IF(MID($AX3,750,1)=" ",MID($AX3,749,250),MID($AX3,751,250)))))))</f>
        <v/>
      </c>
    </row>
    <row r="4" spans="1:101" ht="93.6">
      <c r="A4" s="130" t="s">
        <v>2000</v>
      </c>
      <c r="B4" s="9" t="s">
        <v>26</v>
      </c>
      <c r="C4" s="9"/>
      <c r="D4" s="8" t="s">
        <v>2001</v>
      </c>
      <c r="E4" s="9" t="s">
        <v>2002</v>
      </c>
      <c r="F4" s="9" t="s">
        <v>1987</v>
      </c>
      <c r="G4" s="9" t="s">
        <v>67</v>
      </c>
      <c r="H4" s="10" t="s">
        <v>5</v>
      </c>
      <c r="I4" s="10" t="s">
        <v>6</v>
      </c>
      <c r="J4" s="10" t="s">
        <v>29</v>
      </c>
      <c r="K4" s="10" t="s">
        <v>8</v>
      </c>
      <c r="L4" s="10" t="s">
        <v>29</v>
      </c>
      <c r="M4" s="10" t="s">
        <v>29</v>
      </c>
      <c r="N4" s="10" t="s">
        <v>68</v>
      </c>
      <c r="O4" s="9"/>
      <c r="P4" s="9"/>
      <c r="Q4" s="154" t="s">
        <v>2003</v>
      </c>
      <c r="R4" s="9"/>
      <c r="S4" s="9"/>
      <c r="T4" s="9" t="s">
        <v>48</v>
      </c>
      <c r="U4"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Amande</v>
      </c>
      <c r="V4" s="9" t="s">
        <v>29</v>
      </c>
      <c r="W4" s="9" t="s">
        <v>31</v>
      </c>
      <c r="X4" s="10">
        <v>50</v>
      </c>
      <c r="Y4" s="19" t="s">
        <v>78</v>
      </c>
      <c r="Z4" s="19">
        <v>85</v>
      </c>
      <c r="AA4" s="10">
        <v>2</v>
      </c>
      <c r="AB4" s="10">
        <v>25</v>
      </c>
      <c r="AC4" s="12">
        <v>3582810640463</v>
      </c>
      <c r="AD4" s="10" t="s">
        <v>29</v>
      </c>
      <c r="AE4" s="10" t="s">
        <v>33</v>
      </c>
      <c r="AF4" s="10" t="s">
        <v>2006</v>
      </c>
      <c r="AG4" s="10" t="s">
        <v>2007</v>
      </c>
      <c r="AH4" s="20" t="s">
        <v>70</v>
      </c>
      <c r="AI4" s="54" t="s">
        <v>776</v>
      </c>
      <c r="AJ4" s="55">
        <v>45708</v>
      </c>
      <c r="AK4" s="10"/>
      <c r="AL4" s="10"/>
      <c r="AM4" s="10"/>
      <c r="AN4" s="10"/>
      <c r="AO4" s="10"/>
      <c r="AP4" s="10"/>
      <c r="AQ4" s="51" t="s">
        <v>2001</v>
      </c>
      <c r="AR4" s="51" t="s">
        <v>2008</v>
      </c>
      <c r="AS4" s="82" t="s">
        <v>2009</v>
      </c>
      <c r="AT4" s="9" t="s">
        <v>67</v>
      </c>
      <c r="AU4" s="96" t="s">
        <v>2010</v>
      </c>
      <c r="AV4" s="82" t="s">
        <v>1993</v>
      </c>
      <c r="AW4" s="52"/>
      <c r="AX4" s="51"/>
      <c r="AY4" s="51"/>
      <c r="AZ4" s="51"/>
      <c r="BA4" s="51"/>
      <c r="BB4" s="51"/>
      <c r="BC4" s="51"/>
      <c r="BD4" s="51"/>
      <c r="BE4" s="51"/>
      <c r="BF4" s="92"/>
      <c r="BG4" s="92"/>
      <c r="BH4" s="92"/>
      <c r="BI4" s="92"/>
      <c r="BJ4" s="92"/>
      <c r="BK4" s="92"/>
      <c r="BL4" s="92"/>
      <c r="BN4" s="7" t="str">
        <f>IF(IFERROR(FIND("romatis",$F4),0)=0,"","aromatisé")</f>
        <v/>
      </c>
      <c r="BV4" s="10" t="str">
        <f>IF(MID($Q4,251,1)=" ",MID($Q4,1,249),IF(MID($Q4,250,1)=" ",MID($Q4,1,248),MID($Q4,1,250)))</f>
        <v>Les bourgeons et deux premières feuilles de ce thé blanc issu de théiers anciens du Vietnam ont été travaillés à la manière d’un Bai Mu Dan. Son infusion aux parfums de prairie sauvage et aux saveurs délicatement fruitées est à la fois légère et fraî</v>
      </c>
      <c r="BW4" s="10" t="str">
        <f>IF(MID($Q4,251,1)=" ",IF(MID($Q4,500,1)=" ",MID($Q4,250,249),IF(MID($Q4,499,1)=" ",MID($Q4,250,248),MID($Q4,250,250))),IF(MID($Q4,250,1)=" ",IF(MID($Q4,499,1)=" ",MID($Q4,249,249),IF(MID($Q4,498,1)=" ",MID($Q4,249,248),MID($Q4,249,250))),IF(MID($Q4,501,1)=" ",MID($Q4,251,249),IF(MID($Q4,500,1)=" ",MID($Q4,251,248),MID($Q4,251,250)))))</f>
        <v>che. Une boisson idéale pour les beaux jours.</v>
      </c>
      <c r="BX4" s="10" t="str">
        <f>IF(MID($Q4,251,1)=" ",IF(MID($Q4,500,1)=" ",IF(MID($Q4,749,1)=" ",MID($Q4,499,249),IF(MID($Q4,748,1)=" ",MID($Q4,499,248),MID($Q4,499,250))),IF(MID($Q4,499,1)=" ",IF(MID($Q4,748,1)=" ",MID($Q4,498,249),IF(MID($Q4,747,1)=" ",MID($Q4,498,248),MID($Q4,498,250))),IF(MID($Q4,750,1)=" ",MID($Q4,500,249),IF(MID($Q4,749,1)=" ",MID($Q4,500,248),MID($Q4,500,250))))),IF(MID($Q4,250,1)=" ",IF(MID($Q4,499,1)=" ",IF(MID($Q4,746,1)=" ",MID($Q4,498,247),IF(MID($Q4,745,1)=" ",MID($Q4,498,246),MID($Q4,498,248))),IF(MID($Q4,498,1)=" ",IF(MID($Q4,745,1)=" ",MID($Q4,497,247),IF(MID($Q4,744,1)=" ",MID($Q4,497,246),MID($Q4,497,248))),IF(MID($Q4,749,1)=" ",MID($Q4,499,249),IF(MID($Q4,748,1)=" ",MID($Q4,499,248),MID($Q4,499,250))))),IF(MID($Q4,501,1)=" ",IF(MID($Q4,750,1)=" ",MID($Q4,500,249),IF(MID($Q4,749,1)=" ",MID($Q4,500,248),MID($Q4,500,250))),IF(MID($Q4,500,1)=" ",IF(MID($Q4,749,1)=" ",MID($Q4,499,249),IF(MID($Q4,750,1)=" ",MID($Q4,499,249),MID($Q4,499,250))),IF(MID($Q4,751,1)=" ",MID($Q4,501,249),IF(MID($Q4,750,1)=" ",MID($Q4,501,248),MID($Q4,501,250)))))))</f>
        <v/>
      </c>
      <c r="BY4" s="10" t="str">
        <f>IF(MID($Q4,251,1)=" ",IF(MID($Q4,500,1)=" ",IF(MID($Q4,749,1)=" ",MID($Q4,748,250),IF(MID($Q4,748,1)=" ",MID($Q4,747,250),MID($Q4,749,250))),IF(MID($Q4,499,1)=" ",IF(MID($Q4,748,1)=" ",MID($Q4,747,250),IF(MID($Q4,747,1)=" ",MID($Q4,746,250),MID($Q4,748,250))),IF(MID($Q4,750,1)=" ",MID($Q4,749,250),IF(MID($Q4,749,1)=" ",MID($Q4,748,250),MID($Q4,750,250))))),IF(MID($Q4,250,1)=" ",IF(MID($Q4,499,1)=" ",IF(MID($Q4,746,1)=" ",MID($Q4,745,250),IF(MID($Q4,745,1)=" ",MID($Q4,744,250),MID($Q4,746,250))),IF(MID($Q4,498,1)=" ",IF(MID($Q4,745,1)=" ",MID($Q4,744,250),IF(MID($Q4,744,1)=" ",MID($Q4,743,250),MID($Q4,745,250))),IF(MID($Q4,749,1)=" ",MID($Q4,748,250),IF(MID($Q4,748,1)=" ",MID($Q4,747,250),MID($Q4,749,250))))),IF(MID($Q4,501,1)=" ",IF(MID($Q4,750,1)=" ",MID($Q4,749,250),IF(MID($Q4,749,1)=" ",MID($Q4,748,250),MID($Q4,750,250))),IF(MID($Q4,500,1)=" ",IF(MID($Q4,749,1)=" ",MID($Q4,748,250),IF(MID($Q4,750,1)=" ",MID($Q4,749,250),MID($Q4,750,250))),IF(MID($Q4,751,1)=" ",MID($Q4,750,250),IF(MID($Q4,750,1)=" ",MID($Q4,749,250),MID($Q4,751,250)))))))</f>
        <v/>
      </c>
      <c r="BZ4" s="10" t="str">
        <f>IF(MID($T4,251,1)=" ",MID($T4,1,249),IF(MID($T4,250,1)=" ",MID($T4,1,248),MID($T4,1,250)))</f>
        <v xml:space="preserve">Ingrédient : thé blanc*. *Issu de l'agriculture biologique. </v>
      </c>
      <c r="CA4" s="10" t="str">
        <f>IF(MID($T4,251,1)=" ",IF(MID($T4,500,1)=" ",MID($T4,250,249),IF(MID($T4,499,1)=" ",MID($T4,250,248),MID($T4,250,250))),IF(MID($T4,250,1)=" ",IF(MID($T4,499,1)=" ",MID($T4,249,249),IF(MID($T4,498,1)=" ",MID($T4,249,248),MID($T4,249,250))),IF(MID($T4,501,1)=" ",MID($T4,251,249),IF(MID($T4,500,1)=" ",MID($T4,251,248),MID($T4,251,250)))))</f>
        <v/>
      </c>
      <c r="CB4" s="10" t="str">
        <f>IF(MID($T4,251,1)=" ",IF(MID($T4,500,1)=" ",IF(MID($T4,749,1)=" ",MID($T4,499,249),IF(MID($T4,748,1)=" ",MID($T4,499,248),MID($T4,499,250))),IF(MID($T4,499,1)=" ",IF(MID($T4,748,1)=" ",MID($T4,498,249),IF(MID($T4,747,1)=" ",MID($T4,498,248),MID($T4,498,250))),IF(MID($T4,750,1)=" ",MID($T4,500,249),IF(MID($T4,749,1)=" ",MID($T4,500,248),MID($T4,500,250))))),IF(MID($T4,250,1)=" ",IF(MID($T4,499,1)=" ",IF(MID($T4,746,1)=" ",MID($T4,498,247),IF(MID($T4,745,1)=" ",MID($T4,498,246),MID($T4,498,248))),IF(MID($T4,498,1)=" ",IF(MID($T4,745,1)=" ",MID($T4,497,247),IF(MID($T4,744,1)=" ",MID($T4,497,246),MID($T4,497,248))),IF(MID($T4,749,1)=" ",MID($T4,499,249),IF(MID($T4,748,1)=" ",MID($T4,499,248),MID($T4,499,250))))),IF(MID($T4,501,1)=" ",IF(MID($T4,750,1)=" ",MID($T4,500,249),IF(MID($T4,749,1)=" ",MID($T4,500,248),MID($T4,500,250))),IF(MID($T4,500,1)=" ",IF(MID($T4,749,1)=" ",MID($T4,499,249),IF(MID($T4,750,1)=" ",MID($T4,499,249),MID($T4,499,250))),IF(MID($T4,751,1)=" ",MID($T4,501,249),IF(MID($T4,750,1)=" ",MID($T4,501,248),MID($T4,501,250)))))))</f>
        <v/>
      </c>
      <c r="CC4" s="10" t="str">
        <f>IF(MID($T4,251,1)=" ",IF(MID($T4,500,1)=" ",IF(MID($T4,749,1)=" ",MID($T4,748,250),IF(MID($T4,748,1)=" ",MID($T4,747,250),MID($T4,749,250))),IF(MID($T4,499,1)=" ",IF(MID($T4,748,1)=" ",MID($T4,747,250),IF(MID($T4,747,1)=" ",MID($T4,746,250),MID($T4,748,250))),IF(MID($T4,750,1)=" ",MID($T4,749,250),IF(MID($T4,749,1)=" ",MID($T4,748,250),MID($T4,750,250))))),IF(MID($T4,250,1)=" ",IF(MID($T4,499,1)=" ",IF(MID($T4,746,1)=" ",MID($T4,745,250),IF(MID($T4,745,1)=" ",MID($T4,744,250),MID($T4,746,250))),IF(MID($T4,498,1)=" ",IF(MID($T4,745,1)=" ",MID($T4,744,250),IF(MID($T4,744,1)=" ",MID($T4,743,250),MID($T4,745,250))),IF(MID($T4,749,1)=" ",MID($T4,748,250),IF(MID($T4,748,1)=" ",MID($T4,747,250),MID($T4,749,250))))),IF(MID($T4,501,1)=" ",IF(MID($T4,750,1)=" ",MID($T4,749,250),IF(MID($T4,749,1)=" ",MID($T4,748,250),MID($T4,750,250))),IF(MID($T4,500,1)=" ",IF(MID($T4,749,1)=" ",MID($T4,748,250),IF(MID($T4,750,1)=" ",MID($T4,749,250),MID($T4,750,250))),IF(MID($T4,751,1)=" ",MID($T4,750,250),IF(MID($T4,750,1)=" ",MID($T4,749,250),MID($T4,751,250)))))))</f>
        <v/>
      </c>
      <c r="CD4" s="10" t="str">
        <f>IF(MID($V4,251,1)=" ",MID($V4,1,249),IF(MID($V4,250,1)=" ",MID($V4,1,248),MID($V4,1,250)))</f>
        <v>/</v>
      </c>
      <c r="CE4" s="10" t="str">
        <f>IF(MID($V4,251,1)=" ",IF(MID($V4,500,1)=" ",MID($V4,250,249),IF(MID($V4,499,1)=" ",MID($V4,250,248),MID($V4,250,250))),IF(MID($V4,250,1)=" ",IF(MID($V4,499,1)=" ",MID($V4,249,249),IF(MID($V4,498,1)=" ",MID($V4,249,248),MID($V4,249,250))),IF(MID($V4,501,1)=" ",MID($V4,251,249),IF(MID($V4,500,1)=" ",MID($V4,251,248),MID($V4,251,250)))))</f>
        <v/>
      </c>
      <c r="CF4" s="10" t="str">
        <f>IF(MID($V4,251,1)=" ",IF(MID($V4,500,1)=" ",IF(MID($V4,749,1)=" ",MID($V4,499,249),IF(MID($V4,748,1)=" ",MID($V4,499,248),MID($V4,499,250))),IF(MID($V4,499,1)=" ",IF(MID($V4,748,1)=" ",MID($V4,498,249),IF(MID($V4,747,1)=" ",MID($V4,498,248),MID($V4,498,250))),IF(MID($V4,750,1)=" ",MID($V4,500,249),IF(MID($V4,749,1)=" ",MID($V4,500,248),MID($V4,500,250))))),IF(MID($V4,250,1)=" ",IF(MID($V4,499,1)=" ",IF(MID($V4,746,1)=" ",MID($V4,498,247),IF(MID($V4,745,1)=" ",MID($V4,498,246),MID($V4,498,248))),IF(MID($V4,498,1)=" ",IF(MID($V4,745,1)=" ",MID($V4,497,247),IF(MID($V4,744,1)=" ",MID($V4,497,246),MID($V4,497,248))),IF(MID($V4,749,1)=" ",MID($V4,499,249),IF(MID($V4,748,1)=" ",MID($V4,499,248),MID($V4,499,250))))),IF(MID($V4,501,1)=" ",IF(MID($V4,750,1)=" ",MID($V4,500,249),IF(MID($V4,749,1)=" ",MID($V4,500,248),MID($V4,500,250))),IF(MID($V4,500,1)=" ",IF(MID($V4,749,1)=" ",MID($V4,499,249),IF(MID($V4,750,1)=" ",MID($V4,499,249),MID($V4,499,250))),IF(MID($V4,751,1)=" ",MID($V4,501,249),IF(MID($V4,750,1)=" ",MID($V4,501,248),MID($V4,501,250)))))))</f>
        <v/>
      </c>
      <c r="CG4" s="10" t="str">
        <f>IF(MID($V4,251,1)=" ",IF(MID($V4,500,1)=" ",IF(MID($V4,749,1)=" ",MID($V4,748,250),IF(MID($V4,748,1)=" ",MID($V4,747,250),MID($V4,749,250))),IF(MID($V4,499,1)=" ",IF(MID($V4,748,1)=" ",MID($V4,747,250),IF(MID($V4,747,1)=" ",MID($V4,746,250),MID($V4,748,250))),IF(MID($V4,750,1)=" ",MID($V4,749,250),IF(MID($V4,749,1)=" ",MID($V4,748,250),MID($V4,750,250))))),IF(MID($V4,250,1)=" ",IF(MID($V4,499,1)=" ",IF(MID($V4,746,1)=" ",MID($V4,745,250),IF(MID($V4,745,1)=" ",MID($V4,744,250),MID($V4,746,250))),IF(MID($V4,498,1)=" ",IF(MID($V4,745,1)=" ",MID($V4,744,250),IF(MID($V4,744,1)=" ",MID($V4,743,250),MID($V4,745,250))),IF(MID($V4,749,1)=" ",MID($V4,748,250),IF(MID($V4,748,1)=" ",MID($V4,747,250),MID($V4,749,250))))),IF(MID($V4,501,1)=" ",IF(MID($V4,750,1)=" ",MID($V4,749,250),IF(MID($V4,749,1)=" ",MID($V4,748,250),MID($V4,750,250))),IF(MID($V4,500,1)=" ",IF(MID($V4,749,1)=" ",MID($V4,748,250),IF(MID($V4,750,1)=" ",MID($V4,749,250),MID($V4,750,250))),IF(MID($V4,751,1)=" ",MID($V4,750,250),IF(MID($V4,750,1)=" ",MID($V4,749,250),MID($V4,751,250)))))))</f>
        <v/>
      </c>
      <c r="CH4" s="10" t="str">
        <f>IF(MID($W4,251,1)=" ",MID($W4,1,249),IF(MID($W4,250,1)=" ",MID($W4,1,248),MID($W4,1,250)))</f>
        <v>Membre certifié World Fair Trade Organization, Les Jardins de Gaïa s’engagent pour un commerce plus juste et répondent aux exigences du commerce équitable. Pour en savoir plus : www.wfto.com.</v>
      </c>
      <c r="CI4" s="10" t="str">
        <f>IF(MID($W4,251,1)=" ",IF(MID($W4,500,1)=" ",MID($W4,250,249),IF(MID($W4,499,1)=" ",MID($W4,250,248),MID($W4,250,250))),IF(MID($W4,250,1)=" ",IF(MID($W4,499,1)=" ",MID($W4,249,249),IF(MID($W4,498,1)=" ",MID($W4,249,248),MID($W4,249,250))),IF(MID($W4,501,1)=" ",MID($W4,251,249),IF(MID($W4,500,1)=" ",MID($W4,251,248),MID($W4,251,250)))))</f>
        <v/>
      </c>
      <c r="CJ4" s="10" t="str">
        <f>IF(MID($W4,251,1)=" ",IF(MID($W4,500,1)=" ",IF(MID($W4,749,1)=" ",MID($W4,499,249),IF(MID($W4,748,1)=" ",MID($W4,499,248),MID($W4,499,250))),IF(MID($W4,499,1)=" ",IF(MID($W4,748,1)=" ",MID($W4,498,249),IF(MID($W4,747,1)=" ",MID($W4,498,248),MID($W4,498,250))),IF(MID($W4,750,1)=" ",MID($W4,500,249),IF(MID($W4,749,1)=" ",MID($W4,500,248),MID($W4,500,250))))),IF(MID($W4,250,1)=" ",IF(MID($W4,499,1)=" ",IF(MID($W4,746,1)=" ",MID($W4,498,247),IF(MID($W4,745,1)=" ",MID($W4,498,246),MID($W4,498,248))),IF(MID($W4,498,1)=" ",IF(MID($W4,745,1)=" ",MID($W4,497,247),IF(MID($W4,744,1)=" ",MID($W4,497,246),MID($W4,497,248))),IF(MID($W4,749,1)=" ",MID($W4,499,249),IF(MID($W4,748,1)=" ",MID($W4,499,248),MID($W4,499,250))))),IF(MID($W4,501,1)=" ",IF(MID($W4,750,1)=" ",MID($W4,500,249),IF(MID($W4,749,1)=" ",MID($W4,500,248),MID($W4,500,250))),IF(MID($W4,500,1)=" ",IF(MID($W4,749,1)=" ",MID($W4,499,249),IF(MID($W4,750,1)=" ",MID($W4,499,249),MID($W4,499,250))),IF(MID($W4,751,1)=" ",MID($W4,501,249),IF(MID($W4,750,1)=" ",MID($W4,501,248),MID($W4,501,250)))))))</f>
        <v/>
      </c>
      <c r="CK4" s="10" t="str">
        <f>IF(MID($W4,251,1)=" ",IF(MID($W4,500,1)=" ",IF(MID($W4,749,1)=" ",MID($W4,748,250),IF(MID($W4,748,1)=" ",MID($W4,747,250),MID($W4,749,250))),IF(MID($W4,499,1)=" ",IF(MID($W4,748,1)=" ",MID($W4,747,250),IF(MID($W4,747,1)=" ",MID($W4,746,250),MID($W4,748,250))),IF(MID($W4,750,1)=" ",MID($W4,749,250),IF(MID($W4,749,1)=" ",MID($W4,748,250),MID($W4,750,250))))),IF(MID($W4,250,1)=" ",IF(MID($W4,499,1)=" ",IF(MID($W4,746,1)=" ",MID($W4,745,250),IF(MID($W4,745,1)=" ",MID($W4,744,250),MID($W4,746,250))),IF(MID($W4,498,1)=" ",IF(MID($W4,745,1)=" ",MID($W4,744,250),IF(MID($W4,744,1)=" ",MID($W4,743,250),MID($W4,745,250))),IF(MID($W4,749,1)=" ",MID($W4,748,250),IF(MID($W4,748,1)=" ",MID($W4,747,250),MID($W4,749,250))))),IF(MID($W4,501,1)=" ",IF(MID($W4,750,1)=" ",MID($W4,749,250),IF(MID($W4,749,1)=" ",MID($W4,748,250),MID($W4,750,250))),IF(MID($W4,500,1)=" ",IF(MID($W4,749,1)=" ",MID($W4,748,250),IF(MID($W4,750,1)=" ",MID($W4,749,250),MID($W4,750,250))),IF(MID($W4,751,1)=" ",MID($W4,750,250),IF(MID($W4,750,1)=" ",MID($W4,749,250),MID($W4,751,250)))))))</f>
        <v/>
      </c>
      <c r="CL4" s="10" t="str">
        <f>IF(MID($AU4,251,1)=" ",MID($AU4,1,249),IF(MID($AU4,250,1)=" ",MID($AU4,1,248),MID($AU4,1,250)))</f>
        <v>The buds and first two leaves of this white tea from ancient Vietnamese tea bushes have been processed in the manner of a Bai Mu Dan. Its infusion, with its wild meadow fragrance and delicately fruity flavours, is both light and fresh. An ideal drin</v>
      </c>
      <c r="CM4" s="10" t="str">
        <f>IF(MID($AU4,251,1)=" ",IF(MID($AU4,500,1)=" ",MID($AU4,250,249),IF(MID($AU4,499,1)=" ",MID($AU4,250,248),MID($AU4,250,250))),IF(MID($AU4,250,1)=" ",IF(MID($AU4,499,1)=" ",MID($AU4,249,249),IF(MID($AU4,498,1)=" ",MID($AU4,249,248),MID($AU4,249,250))),IF(MID($AU4,501,1)=" ",MID($AU4,251,249),IF(MID($AU4,500,1)=" ",MID($AU4,251,248),MID($AU4,251,250)))))</f>
        <v>k for sunny days.</v>
      </c>
      <c r="CN4" s="10" t="str">
        <f>IF(MID($AU4,251,1)=" ",IF(MID($AU4,500,1)=" ",IF(MID($AU4,749,1)=" ",MID($AU4,499,249),IF(MID($AU4,748,1)=" ",MID($AU4,499,248),MID($AU4,499,250))),IF(MID($AU4,499,1)=" ",IF(MID($AU4,748,1)=" ",MID($AU4,498,249),IF(MID($AU4,747,1)=" ",MID($AU4,498,248),MID($AU4,498,250))),IF(MID($AU4,750,1)=" ",MID($AU4,500,249),IF(MID($AU4,749,1)=" ",MID($AU4,500,248),MID($AU4,500,250))))),IF(MID($AU4,250,1)=" ",IF(MID($AU4,499,1)=" ",IF(MID($AU4,746,1)=" ",MID($AU4,498,247),IF(MID($AU4,745,1)=" ",MID($AU4,498,246),MID($AU4,498,248))),IF(MID($AU4,498,1)=" ",IF(MID($AU4,745,1)=" ",MID($AU4,497,247),IF(MID($AU4,744,1)=" ",MID($AU4,497,246),MID($AU4,497,248))),IF(MID($AU4,749,1)=" ",MID($AU4,499,249),IF(MID($AU4,748,1)=" ",MID($AU4,499,248),MID($AU4,499,250))))),IF(MID($AU4,501,1)=" ",IF(MID($AU4,750,1)=" ",MID($AU4,500,249),IF(MID($AU4,749,1)=" ",MID($AU4,500,248),MID($AU4,500,250))),IF(MID($AU4,500,1)=" ",IF(MID($AU4,749,1)=" ",MID($AU4,499,249),IF(MID($AU4,750,1)=" ",MID($AU4,499,249),MID($AU4,499,250))),IF(MID($AU4,751,1)=" ",MID($AU4,501,249),IF(MID($AU4,750,1)=" ",MID($AU4,501,248),MID($AU4,501,250)))))))</f>
        <v/>
      </c>
      <c r="CO4" s="10" t="str">
        <f>IF(MID($AU4,251,1)=" ",IF(MID($AU4,500,1)=" ",IF(MID($AU4,749,1)=" ",MID($AU4,748,250),IF(MID($AU4,748,1)=" ",MID($AU4,747,250),MID($AU4,749,250))),IF(MID($AU4,499,1)=" ",IF(MID($AU4,748,1)=" ",MID($AU4,747,250),IF(MID($AU4,747,1)=" ",MID($AU4,746,250),MID($AU4,748,250))),IF(MID($AU4,750,1)=" ",MID($AU4,749,250),IF(MID($AU4,749,1)=" ",MID($AU4,748,250),MID($AU4,750,250))))),IF(MID($AU4,250,1)=" ",IF(MID($AU4,499,1)=" ",IF(MID($AU4,746,1)=" ",MID($AU4,745,250),IF(MID($AU4,745,1)=" ",MID($AU4,744,250),MID($AU4,746,250))),IF(MID($AU4,498,1)=" ",IF(MID($AU4,745,1)=" ",MID($AU4,744,250),IF(MID($AU4,744,1)=" ",MID($AU4,743,250),MID($AU4,745,250))),IF(MID($AU4,749,1)=" ",MID($AU4,748,250),IF(MID($AU4,748,1)=" ",MID($AU4,747,250),MID($AU4,749,250))))),IF(MID($AU4,501,1)=" ",IF(MID($AU4,750,1)=" ",MID($AU4,749,250),IF(MID($AU4,749,1)=" ",MID($AU4,748,250),MID($AU4,750,250))),IF(MID($AU4,500,1)=" ",IF(MID($AU4,749,1)=" ",MID($AU4,748,250),IF(MID($AU4,750,1)=" ",MID($AU4,749,250),MID($AU4,750,250))),IF(MID($AU4,751,1)=" ",MID($AU4,750,250),IF(MID($AU4,750,1)=" ",MID($AU4,749,250),MID($AU4,751,250)))))))</f>
        <v/>
      </c>
      <c r="CP4" s="10" t="str">
        <f>IF(MID($AV4,251,1)=" ",MID($AV4,1,249),IF(MID($AV4,250,1)=" ",MID($AV4,1,248),MID($AV4,1,250)))</f>
        <v xml:space="preserve">Ingredient: white tea*. *From organic farming. </v>
      </c>
      <c r="CQ4" s="10" t="str">
        <f>IF(MID($AV4,251,1)=" ",IF(MID($AV4,500,1)=" ",MID($AV4,250,249),IF(MID($AV4,499,1)=" ",MID($AV4,250,248),MID($AV4,250,250))),IF(MID($AV4,250,1)=" ",IF(MID($AV4,499,1)=" ",MID($AV4,249,249),IF(MID($AV4,498,1)=" ",MID($AV4,249,248),MID($AV4,249,250))),IF(MID($AV4,501,1)=" ",MID($AV4,251,249),IF(MID($AV4,500,1)=" ",MID($AV4,251,248),MID($AV4,251,250)))))</f>
        <v/>
      </c>
      <c r="CR4" s="10" t="str">
        <f>IF(MID($AV4,251,1)=" ",IF(MID($AV4,500,1)=" ",IF(MID($AV4,749,1)=" ",MID($AV4,499,249),IF(MID($AV4,748,1)=" ",MID($AV4,499,248),MID($AV4,499,250))),IF(MID($AV4,499,1)=" ",IF(MID($AV4,748,1)=" ",MID($AV4,498,249),IF(MID($AV4,747,1)=" ",MID($AV4,498,248),MID($AV4,498,250))),IF(MID($AV4,750,1)=" ",MID($AV4,500,249),IF(MID($AV4,749,1)=" ",MID($AV4,500,248),MID($AV4,500,250))))),IF(MID($AV4,250,1)=" ",IF(MID($AV4,499,1)=" ",IF(MID($AV4,746,1)=" ",MID($AV4,498,247),IF(MID($AV4,745,1)=" ",MID($AV4,498,246),MID($AV4,498,248))),IF(MID($AV4,498,1)=" ",IF(MID($AV4,745,1)=" ",MID($AV4,497,247),IF(MID($AV4,744,1)=" ",MID($AV4,497,246),MID($AV4,497,248))),IF(MID($AV4,749,1)=" ",MID($AV4,499,249),IF(MID($AV4,748,1)=" ",MID($AV4,499,248),MID($AV4,499,250))))),IF(MID($AV4,501,1)=" ",IF(MID($AV4,750,1)=" ",MID($AV4,500,249),IF(MID($AV4,749,1)=" ",MID($AV4,500,248),MID($AV4,500,250))),IF(MID($AV4,500,1)=" ",IF(MID($AV4,749,1)=" ",MID($AV4,499,249),IF(MID($AV4,750,1)=" ",MID($AV4,499,249),MID($AV4,499,250))),IF(MID($AV4,751,1)=" ",MID($AV4,501,249),IF(MID($AV4,750,1)=" ",MID($AV4,501,248),MID($AV4,501,250)))))))</f>
        <v/>
      </c>
      <c r="CS4" s="10" t="str">
        <f>IF(MID($AV4,251,1)=" ",IF(MID($AV4,500,1)=" ",IF(MID($AV4,749,1)=" ",MID($AV4,748,250),IF(MID($AV4,748,1)=" ",MID($AV4,747,250),MID($AV4,749,250))),IF(MID($AV4,499,1)=" ",IF(MID($AV4,748,1)=" ",MID($AV4,747,250),IF(MID($AV4,747,1)=" ",MID($AV4,746,250),MID($AV4,748,250))),IF(MID($AV4,750,1)=" ",MID($AV4,749,250),IF(MID($AV4,749,1)=" ",MID($AV4,748,250),MID($AV4,750,250))))),IF(MID($AV4,250,1)=" ",IF(MID($AV4,499,1)=" ",IF(MID($AV4,746,1)=" ",MID($AV4,745,250),IF(MID($AV4,745,1)=" ",MID($AV4,744,250),MID($AV4,746,250))),IF(MID($AV4,498,1)=" ",IF(MID($AV4,745,1)=" ",MID($AV4,744,250),IF(MID($AV4,744,1)=" ",MID($AV4,743,250),MID($AV4,745,250))),IF(MID($AV4,749,1)=" ",MID($AV4,748,250),IF(MID($AV4,748,1)=" ",MID($AV4,747,250),MID($AV4,749,250))))),IF(MID($AV4,501,1)=" ",IF(MID($AV4,750,1)=" ",MID($AV4,749,250),IF(MID($AV4,749,1)=" ",MID($AV4,748,250),MID($AV4,750,250))),IF(MID($AV4,500,1)=" ",IF(MID($AV4,749,1)=" ",MID($AV4,748,250),IF(MID($AV4,750,1)=" ",MID($AV4,749,250),MID($AV4,750,250))),IF(MID($AV4,751,1)=" ",MID($AV4,750,250),IF(MID($AV4,750,1)=" ",MID($AV4,749,250),MID($AV4,751,250)))))))</f>
        <v/>
      </c>
      <c r="CT4" s="10" t="str">
        <f>IF(MID($AX4,251,1)=" ",MID($AX4,1,249),IF(MID($AX4,250,1)=" ",MID($AX4,1,248),MID($AX4,1,250)))</f>
        <v/>
      </c>
      <c r="CU4" s="10" t="str">
        <f>IF(MID($AX4,251,1)=" ",IF(MID($AX4,500,1)=" ",MID($AX4,250,249),IF(MID($AX4,499,1)=" ",MID($AX4,250,248),MID($AX4,250,250))),IF(MID($AX4,250,1)=" ",IF(MID($AX4,499,1)=" ",MID($AX4,249,249),IF(MID($AX4,498,1)=" ",MID($AX4,249,248),MID($AX4,249,250))),IF(MID($AX4,501,1)=" ",MID($AX4,251,249),IF(MID($AX4,500,1)=" ",MID($AX4,251,248),MID($AX4,251,250)))))</f>
        <v/>
      </c>
      <c r="CV4" s="10" t="str">
        <f>IF(MID($AX4,251,1)=" ",IF(MID($AX4,500,1)=" ",IF(MID($AX4,749,1)=" ",MID($AX4,499,249),IF(MID($AX4,748,1)=" ",MID($AX4,499,248),MID($AX4,499,250))),IF(MID($AX4,499,1)=" ",IF(MID($AX4,748,1)=" ",MID($AX4,498,249),IF(MID($AX4,747,1)=" ",MID($AX4,498,248),MID($AX4,498,250))),IF(MID($AX4,750,1)=" ",MID($AX4,500,249),IF(MID($AX4,749,1)=" ",MID($AX4,500,248),MID($AX4,500,250))))),IF(MID($AX4,250,1)=" ",IF(MID($AX4,499,1)=" ",IF(MID($AX4,746,1)=" ",MID($AX4,498,247),IF(MID($AX4,745,1)=" ",MID($AX4,498,246),MID($AX4,498,248))),IF(MID($AX4,498,1)=" ",IF(MID($AX4,745,1)=" ",MID($AX4,497,247),IF(MID($AX4,744,1)=" ",MID($AX4,497,246),MID($AX4,497,248))),IF(MID($AX4,749,1)=" ",MID($AX4,499,249),IF(MID($AX4,748,1)=" ",MID($AX4,499,248),MID($AX4,499,250))))),IF(MID($AX4,501,1)=" ",IF(MID($AX4,750,1)=" ",MID($AX4,500,249),IF(MID($AX4,749,1)=" ",MID($AX4,500,248),MID($AX4,500,250))),IF(MID($AX4,500,1)=" ",IF(MID($AX4,749,1)=" ",MID($AX4,499,249),IF(MID($AX4,750,1)=" ",MID($AX4,499,249),MID($AX4,499,250))),IF(MID($AX4,751,1)=" ",MID($AX4,501,249),IF(MID($AX4,750,1)=" ",MID($AX4,501,248),MID($AX4,501,250)))))))</f>
        <v/>
      </c>
      <c r="CW4" s="10" t="str">
        <f>IF(MID($AX4,251,1)=" ",IF(MID($AX4,500,1)=" ",IF(MID($AX4,749,1)=" ",MID($AX4,748,250),IF(MID($AX4,748,1)=" ",MID($AX4,747,250),MID($AX4,749,250))),IF(MID($AX4,499,1)=" ",IF(MID($AX4,748,1)=" ",MID($AX4,747,250),IF(MID($AX4,747,1)=" ",MID($AX4,746,250),MID($AX4,748,250))),IF(MID($AX4,750,1)=" ",MID($AX4,749,250),IF(MID($AX4,749,1)=" ",MID($AX4,748,250),MID($AX4,750,250))))),IF(MID($AX4,250,1)=" ",IF(MID($AX4,499,1)=" ",IF(MID($AX4,746,1)=" ",MID($AX4,745,250),IF(MID($AX4,745,1)=" ",MID($AX4,744,250),MID($AX4,746,250))),IF(MID($AX4,498,1)=" ",IF(MID($AX4,745,1)=" ",MID($AX4,744,250),IF(MID($AX4,744,1)=" ",MID($AX4,743,250),MID($AX4,745,250))),IF(MID($AX4,749,1)=" ",MID($AX4,748,250),IF(MID($AX4,748,1)=" ",MID($AX4,747,250),MID($AX4,749,250))))),IF(MID($AX4,501,1)=" ",IF(MID($AX4,750,1)=" ",MID($AX4,749,250),IF(MID($AX4,749,1)=" ",MID($AX4,748,250),MID($AX4,750,250))),IF(MID($AX4,500,1)=" ",IF(MID($AX4,749,1)=" ",MID($AX4,748,250),IF(MID($AX4,750,1)=" ",MID($AX4,749,250),MID($AX4,750,250))),IF(MID($AX4,751,1)=" ",MID($AX4,750,250),IF(MID($AX4,750,1)=" ",MID($AX4,749,250),MID($AX4,751,250)))))))</f>
        <v/>
      </c>
    </row>
    <row r="5" spans="1:101" ht="93.6">
      <c r="A5" s="129" t="s">
        <v>133</v>
      </c>
      <c r="B5" s="9" t="s">
        <v>26</v>
      </c>
      <c r="C5" s="9"/>
      <c r="D5" s="8" t="s">
        <v>130</v>
      </c>
      <c r="E5" s="9" t="s">
        <v>131</v>
      </c>
      <c r="F5" s="9" t="s">
        <v>27</v>
      </c>
      <c r="G5" s="9" t="s">
        <v>106</v>
      </c>
      <c r="H5" s="10" t="s">
        <v>5</v>
      </c>
      <c r="I5" s="10" t="s">
        <v>29</v>
      </c>
      <c r="J5" s="10" t="s">
        <v>29</v>
      </c>
      <c r="K5" s="10" t="s">
        <v>29</v>
      </c>
      <c r="L5" s="10" t="s">
        <v>29</v>
      </c>
      <c r="M5" s="10" t="s">
        <v>29</v>
      </c>
      <c r="N5" s="10" t="s">
        <v>47</v>
      </c>
      <c r="O5" s="9"/>
      <c r="P5" s="9" t="s">
        <v>132</v>
      </c>
      <c r="Q5" s="9" t="s">
        <v>800</v>
      </c>
      <c r="R5" s="9"/>
      <c r="S5" s="9"/>
      <c r="T5" s="9" t="s">
        <v>69</v>
      </c>
      <c r="U5"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Amande</v>
      </c>
      <c r="V5" s="9" t="s">
        <v>29</v>
      </c>
      <c r="W5" s="9" t="s">
        <v>29</v>
      </c>
      <c r="X5" s="10">
        <v>50</v>
      </c>
      <c r="Y5" s="11" t="s">
        <v>32</v>
      </c>
      <c r="Z5" s="19">
        <v>95</v>
      </c>
      <c r="AA5" s="10">
        <v>2</v>
      </c>
      <c r="AB5" s="10">
        <v>25</v>
      </c>
      <c r="AC5" s="12">
        <v>3582810246764</v>
      </c>
      <c r="AD5" s="10" t="s">
        <v>29</v>
      </c>
      <c r="AE5" s="10" t="s">
        <v>801</v>
      </c>
      <c r="AF5" s="10" t="s">
        <v>801</v>
      </c>
      <c r="AG5" s="10" t="s">
        <v>802</v>
      </c>
      <c r="AH5" s="20" t="s">
        <v>107</v>
      </c>
      <c r="AI5" s="10"/>
      <c r="AJ5" s="54" t="s">
        <v>776</v>
      </c>
      <c r="AK5" s="55">
        <v>45740</v>
      </c>
      <c r="AL5" s="10"/>
      <c r="AM5" s="10"/>
      <c r="AN5" s="10"/>
      <c r="AO5" s="10"/>
      <c r="AP5" s="10"/>
      <c r="AQ5" s="51" t="s">
        <v>130</v>
      </c>
      <c r="AR5" s="51" t="s">
        <v>131</v>
      </c>
      <c r="AS5" s="82" t="s">
        <v>1562</v>
      </c>
      <c r="AT5" s="82" t="s">
        <v>1499</v>
      </c>
      <c r="AU5" s="96" t="s">
        <v>1500</v>
      </c>
      <c r="AV5" s="82" t="s">
        <v>1482</v>
      </c>
      <c r="AW5" s="52"/>
      <c r="AX5" s="51"/>
      <c r="AY5" s="51"/>
      <c r="AZ5" s="51"/>
      <c r="BA5" s="51"/>
      <c r="BB5" s="51"/>
      <c r="BC5" s="51"/>
      <c r="BD5" s="51"/>
      <c r="BE5" s="51"/>
      <c r="BF5" s="92"/>
      <c r="BG5" s="92"/>
      <c r="BH5" s="92"/>
      <c r="BI5" s="92"/>
      <c r="BJ5" s="92"/>
      <c r="BK5" s="92"/>
      <c r="BL5" s="92"/>
      <c r="BN5" s="7" t="str">
        <f>IF(IFERROR(FIND("romatis",TableauJDG[[#This Row],[TYPE DE THÉ FR]]),0)=0,"","aromatisé")</f>
        <v/>
      </c>
      <c r="BV5" s="10" t="str">
        <f t="shared" ref="BV5:BV33" si="0">IF(MID($Q5,251,1)=" ",MID($Q5,1,249),IF(MID($Q5,250,1)=" ",MID($Q5,1,248),MID($Q5,1,250)))</f>
        <v>Ce grand thé noir Qimen produit au sud-ouest de la fameuse Montagne jaune est un classique des grands crus chinois. Son infusion rouge à la texture onctueuse mêle des notes chocolatées et maltées typiques à des accents légèrement boisés et fruités. U</v>
      </c>
      <c r="BW5" s="10" t="str">
        <f t="shared" ref="BW5:BW33" si="1">IF(MID($Q5,251,1)=" ",IF(MID($Q5,500,1)=" ",MID($Q5,250,249),IF(MID($Q5,499,1)=" ",MID($Q5,250,248),MID($Q5,250,250))),IF(MID($Q5,250,1)=" ",IF(MID($Q5,499,1)=" ",MID($Q5,249,249),IF(MID($Q5,498,1)=" ",MID($Q5,249,248),MID($Q5,249,250))),IF(MID($Q5,501,1)=" ",MID($Q5,251,249),IF(MID($Q5,500,1)=" ",MID($Q5,251,248),MID($Q5,251,250)))))</f>
        <v>n thé gourmand et d'un parfait équilibre.</v>
      </c>
      <c r="BX5" s="10" t="str">
        <f t="shared" ref="BX5:BX33" si="2">IF(MID($Q5,251,1)=" ",IF(MID($Q5,500,1)=" ",IF(MID($Q5,749,1)=" ",MID($Q5,499,249),IF(MID($Q5,748,1)=" ",MID($Q5,499,248),MID($Q5,499,250))),IF(MID($Q5,499,1)=" ",IF(MID($Q5,748,1)=" ",MID($Q5,498,249),IF(MID($Q5,747,1)=" ",MID($Q5,498,248),MID($Q5,498,250))),IF(MID($Q5,750,1)=" ",MID($Q5,500,249),IF(MID($Q5,749,1)=" ",MID($Q5,500,248),MID($Q5,500,250))))),IF(MID($Q5,250,1)=" ",IF(MID($Q5,499,1)=" ",IF(MID($Q5,746,1)=" ",MID($Q5,498,247),IF(MID($Q5,745,1)=" ",MID($Q5,498,246),MID($Q5,498,248))),IF(MID($Q5,498,1)=" ",IF(MID($Q5,745,1)=" ",MID($Q5,497,247),IF(MID($Q5,744,1)=" ",MID($Q5,497,246),MID($Q5,497,248))),IF(MID($Q5,749,1)=" ",MID($Q5,499,249),IF(MID($Q5,748,1)=" ",MID($Q5,499,248),MID($Q5,499,250))))),IF(MID($Q5,501,1)=" ",IF(MID($Q5,750,1)=" ",MID($Q5,500,249),IF(MID($Q5,749,1)=" ",MID($Q5,500,248),MID($Q5,500,250))),IF(MID($Q5,500,1)=" ",IF(MID($Q5,749,1)=" ",MID($Q5,499,249),IF(MID($Q5,750,1)=" ",MID($Q5,499,249),MID($Q5,499,250))),IF(MID($Q5,751,1)=" ",MID($Q5,501,249),IF(MID($Q5,750,1)=" ",MID($Q5,501,248),MID($Q5,501,250)))))))</f>
        <v/>
      </c>
      <c r="BY5" s="10" t="str">
        <f t="shared" ref="BY5:BY33" si="3">IF(MID($Q5,251,1)=" ",IF(MID($Q5,500,1)=" ",IF(MID($Q5,749,1)=" ",MID($Q5,748,250),IF(MID($Q5,748,1)=" ",MID($Q5,747,250),MID($Q5,749,250))),IF(MID($Q5,499,1)=" ",IF(MID($Q5,748,1)=" ",MID($Q5,747,250),IF(MID($Q5,747,1)=" ",MID($Q5,746,250),MID($Q5,748,250))),IF(MID($Q5,750,1)=" ",MID($Q5,749,250),IF(MID($Q5,749,1)=" ",MID($Q5,748,250),MID($Q5,750,250))))),IF(MID($Q5,250,1)=" ",IF(MID($Q5,499,1)=" ",IF(MID($Q5,746,1)=" ",MID($Q5,745,250),IF(MID($Q5,745,1)=" ",MID($Q5,744,250),MID($Q5,746,250))),IF(MID($Q5,498,1)=" ",IF(MID($Q5,745,1)=" ",MID($Q5,744,250),IF(MID($Q5,744,1)=" ",MID($Q5,743,250),MID($Q5,745,250))),IF(MID($Q5,749,1)=" ",MID($Q5,748,250),IF(MID($Q5,748,1)=" ",MID($Q5,747,250),MID($Q5,749,250))))),IF(MID($Q5,501,1)=" ",IF(MID($Q5,750,1)=" ",MID($Q5,749,250),IF(MID($Q5,749,1)=" ",MID($Q5,748,250),MID($Q5,750,250))),IF(MID($Q5,500,1)=" ",IF(MID($Q5,749,1)=" ",MID($Q5,748,250),IF(MID($Q5,750,1)=" ",MID($Q5,749,250),MID($Q5,750,250))),IF(MID($Q5,751,1)=" ",MID($Q5,750,250),IF(MID($Q5,750,1)=" ",MID($Q5,749,250),MID($Q5,751,250)))))))</f>
        <v/>
      </c>
      <c r="BZ5" s="10" t="str">
        <f t="shared" ref="BZ5:BZ33" si="4">IF(MID($T5,251,1)=" ",MID($T5,1,249),IF(MID($T5,250,1)=" ",MID($T5,1,248),MID($T5,1,250)))</f>
        <v>Ingrédient : thé noir*. *Issu de l'agriculture biologique.</v>
      </c>
      <c r="CA5" s="10" t="str">
        <f t="shared" ref="CA5:CA33" si="5">IF(MID($T5,251,1)=" ",IF(MID($T5,500,1)=" ",MID($T5,250,249),IF(MID($T5,499,1)=" ",MID($T5,250,248),MID($T5,250,250))),IF(MID($T5,250,1)=" ",IF(MID($T5,499,1)=" ",MID($T5,249,249),IF(MID($T5,498,1)=" ",MID($T5,249,248),MID($T5,249,250))),IF(MID($T5,501,1)=" ",MID($T5,251,249),IF(MID($T5,500,1)=" ",MID($T5,251,248),MID($T5,251,250)))))</f>
        <v/>
      </c>
      <c r="CB5" s="10" t="str">
        <f t="shared" ref="CB5:CB33" si="6">IF(MID($T5,251,1)=" ",IF(MID($T5,500,1)=" ",IF(MID($T5,749,1)=" ",MID($T5,499,249),IF(MID($T5,748,1)=" ",MID($T5,499,248),MID($T5,499,250))),IF(MID($T5,499,1)=" ",IF(MID($T5,748,1)=" ",MID($T5,498,249),IF(MID($T5,747,1)=" ",MID($T5,498,248),MID($T5,498,250))),IF(MID($T5,750,1)=" ",MID($T5,500,249),IF(MID($T5,749,1)=" ",MID($T5,500,248),MID($T5,500,250))))),IF(MID($T5,250,1)=" ",IF(MID($T5,499,1)=" ",IF(MID($T5,746,1)=" ",MID($T5,498,247),IF(MID($T5,745,1)=" ",MID($T5,498,246),MID($T5,498,248))),IF(MID($T5,498,1)=" ",IF(MID($T5,745,1)=" ",MID($T5,497,247),IF(MID($T5,744,1)=" ",MID($T5,497,246),MID($T5,497,248))),IF(MID($T5,749,1)=" ",MID($T5,499,249),IF(MID($T5,748,1)=" ",MID($T5,499,248),MID($T5,499,250))))),IF(MID($T5,501,1)=" ",IF(MID($T5,750,1)=" ",MID($T5,500,249),IF(MID($T5,749,1)=" ",MID($T5,500,248),MID($T5,500,250))),IF(MID($T5,500,1)=" ",IF(MID($T5,749,1)=" ",MID($T5,499,249),IF(MID($T5,750,1)=" ",MID($T5,499,249),MID($T5,499,250))),IF(MID($T5,751,1)=" ",MID($T5,501,249),IF(MID($T5,750,1)=" ",MID($T5,501,248),MID($T5,501,250)))))))</f>
        <v/>
      </c>
      <c r="CC5" s="10" t="str">
        <f t="shared" ref="CC5:CC33" si="7">IF(MID($T5,251,1)=" ",IF(MID($T5,500,1)=" ",IF(MID($T5,749,1)=" ",MID($T5,748,250),IF(MID($T5,748,1)=" ",MID($T5,747,250),MID($T5,749,250))),IF(MID($T5,499,1)=" ",IF(MID($T5,748,1)=" ",MID($T5,747,250),IF(MID($T5,747,1)=" ",MID($T5,746,250),MID($T5,748,250))),IF(MID($T5,750,1)=" ",MID($T5,749,250),IF(MID($T5,749,1)=" ",MID($T5,748,250),MID($T5,750,250))))),IF(MID($T5,250,1)=" ",IF(MID($T5,499,1)=" ",IF(MID($T5,746,1)=" ",MID($T5,745,250),IF(MID($T5,745,1)=" ",MID($T5,744,250),MID($T5,746,250))),IF(MID($T5,498,1)=" ",IF(MID($T5,745,1)=" ",MID($T5,744,250),IF(MID($T5,744,1)=" ",MID($T5,743,250),MID($T5,745,250))),IF(MID($T5,749,1)=" ",MID($T5,748,250),IF(MID($T5,748,1)=" ",MID($T5,747,250),MID($T5,749,250))))),IF(MID($T5,501,1)=" ",IF(MID($T5,750,1)=" ",MID($T5,749,250),IF(MID($T5,749,1)=" ",MID($T5,748,250),MID($T5,750,250))),IF(MID($T5,500,1)=" ",IF(MID($T5,749,1)=" ",MID($T5,748,250),IF(MID($T5,750,1)=" ",MID($T5,749,250),MID($T5,750,250))),IF(MID($T5,751,1)=" ",MID($T5,750,250),IF(MID($T5,750,1)=" ",MID($T5,749,250),MID($T5,751,250)))))))</f>
        <v/>
      </c>
      <c r="CD5" s="10" t="str">
        <f t="shared" ref="CD5:CD33" si="8">IF(MID($V5,251,1)=" ",MID($V5,1,249),IF(MID($V5,250,1)=" ",MID($V5,1,248),MID($V5,1,250)))</f>
        <v>/</v>
      </c>
      <c r="CE5" s="10" t="str">
        <f t="shared" ref="CE5:CE33" si="9">IF(MID($V5,251,1)=" ",IF(MID($V5,500,1)=" ",MID($V5,250,249),IF(MID($V5,499,1)=" ",MID($V5,250,248),MID($V5,250,250))),IF(MID($V5,250,1)=" ",IF(MID($V5,499,1)=" ",MID($V5,249,249),IF(MID($V5,498,1)=" ",MID($V5,249,248),MID($V5,249,250))),IF(MID($V5,501,1)=" ",MID($V5,251,249),IF(MID($V5,500,1)=" ",MID($V5,251,248),MID($V5,251,250)))))</f>
        <v/>
      </c>
      <c r="CF5" s="10" t="str">
        <f t="shared" ref="CF5:CF33" si="10">IF(MID($V5,251,1)=" ",IF(MID($V5,500,1)=" ",IF(MID($V5,749,1)=" ",MID($V5,499,249),IF(MID($V5,748,1)=" ",MID($V5,499,248),MID($V5,499,250))),IF(MID($V5,499,1)=" ",IF(MID($V5,748,1)=" ",MID($V5,498,249),IF(MID($V5,747,1)=" ",MID($V5,498,248),MID($V5,498,250))),IF(MID($V5,750,1)=" ",MID($V5,500,249),IF(MID($V5,749,1)=" ",MID($V5,500,248),MID($V5,500,250))))),IF(MID($V5,250,1)=" ",IF(MID($V5,499,1)=" ",IF(MID($V5,746,1)=" ",MID($V5,498,247),IF(MID($V5,745,1)=" ",MID($V5,498,246),MID($V5,498,248))),IF(MID($V5,498,1)=" ",IF(MID($V5,745,1)=" ",MID($V5,497,247),IF(MID($V5,744,1)=" ",MID($V5,497,246),MID($V5,497,248))),IF(MID($V5,749,1)=" ",MID($V5,499,249),IF(MID($V5,748,1)=" ",MID($V5,499,248),MID($V5,499,250))))),IF(MID($V5,501,1)=" ",IF(MID($V5,750,1)=" ",MID($V5,500,249),IF(MID($V5,749,1)=" ",MID($V5,500,248),MID($V5,500,250))),IF(MID($V5,500,1)=" ",IF(MID($V5,749,1)=" ",MID($V5,499,249),IF(MID($V5,750,1)=" ",MID($V5,499,249),MID($V5,499,250))),IF(MID($V5,751,1)=" ",MID($V5,501,249),IF(MID($V5,750,1)=" ",MID($V5,501,248),MID($V5,501,250)))))))</f>
        <v/>
      </c>
      <c r="CG5" s="10" t="str">
        <f t="shared" ref="CG5:CG33" si="11">IF(MID($V5,251,1)=" ",IF(MID($V5,500,1)=" ",IF(MID($V5,749,1)=" ",MID($V5,748,250),IF(MID($V5,748,1)=" ",MID($V5,747,250),MID($V5,749,250))),IF(MID($V5,499,1)=" ",IF(MID($V5,748,1)=" ",MID($V5,747,250),IF(MID($V5,747,1)=" ",MID($V5,746,250),MID($V5,748,250))),IF(MID($V5,750,1)=" ",MID($V5,749,250),IF(MID($V5,749,1)=" ",MID($V5,748,250),MID($V5,750,250))))),IF(MID($V5,250,1)=" ",IF(MID($V5,499,1)=" ",IF(MID($V5,746,1)=" ",MID($V5,745,250),IF(MID($V5,745,1)=" ",MID($V5,744,250),MID($V5,746,250))),IF(MID($V5,498,1)=" ",IF(MID($V5,745,1)=" ",MID($V5,744,250),IF(MID($V5,744,1)=" ",MID($V5,743,250),MID($V5,745,250))),IF(MID($V5,749,1)=" ",MID($V5,748,250),IF(MID($V5,748,1)=" ",MID($V5,747,250),MID($V5,749,250))))),IF(MID($V5,501,1)=" ",IF(MID($V5,750,1)=" ",MID($V5,749,250),IF(MID($V5,749,1)=" ",MID($V5,748,250),MID($V5,750,250))),IF(MID($V5,500,1)=" ",IF(MID($V5,749,1)=" ",MID($V5,748,250),IF(MID($V5,750,1)=" ",MID($V5,749,250),MID($V5,750,250))),IF(MID($V5,751,1)=" ",MID($V5,750,250),IF(MID($V5,750,1)=" ",MID($V5,749,250),MID($V5,751,250)))))))</f>
        <v/>
      </c>
      <c r="CH5" s="10" t="str">
        <f t="shared" ref="CH5:CH33" si="12">IF(MID($W5,251,1)=" ",MID($W5,1,249),IF(MID($W5,250,1)=" ",MID($W5,1,248),MID($W5,1,250)))</f>
        <v>/</v>
      </c>
      <c r="CI5" s="10" t="str">
        <f t="shared" ref="CI5:CI33" si="13">IF(MID($W5,251,1)=" ",IF(MID($W5,500,1)=" ",MID($W5,250,249),IF(MID($W5,499,1)=" ",MID($W5,250,248),MID($W5,250,250))),IF(MID($W5,250,1)=" ",IF(MID($W5,499,1)=" ",MID($W5,249,249),IF(MID($W5,498,1)=" ",MID($W5,249,248),MID($W5,249,250))),IF(MID($W5,501,1)=" ",MID($W5,251,249),IF(MID($W5,500,1)=" ",MID($W5,251,248),MID($W5,251,250)))))</f>
        <v/>
      </c>
      <c r="CJ5" s="10" t="str">
        <f t="shared" ref="CJ5:CJ33" si="14">IF(MID($W5,251,1)=" ",IF(MID($W5,500,1)=" ",IF(MID($W5,749,1)=" ",MID($W5,499,249),IF(MID($W5,748,1)=" ",MID($W5,499,248),MID($W5,499,250))),IF(MID($W5,499,1)=" ",IF(MID($W5,748,1)=" ",MID($W5,498,249),IF(MID($W5,747,1)=" ",MID($W5,498,248),MID($W5,498,250))),IF(MID($W5,750,1)=" ",MID($W5,500,249),IF(MID($W5,749,1)=" ",MID($W5,500,248),MID($W5,500,250))))),IF(MID($W5,250,1)=" ",IF(MID($W5,499,1)=" ",IF(MID($W5,746,1)=" ",MID($W5,498,247),IF(MID($W5,745,1)=" ",MID($W5,498,246),MID($W5,498,248))),IF(MID($W5,498,1)=" ",IF(MID($W5,745,1)=" ",MID($W5,497,247),IF(MID($W5,744,1)=" ",MID($W5,497,246),MID($W5,497,248))),IF(MID($W5,749,1)=" ",MID($W5,499,249),IF(MID($W5,748,1)=" ",MID($W5,499,248),MID($W5,499,250))))),IF(MID($W5,501,1)=" ",IF(MID($W5,750,1)=" ",MID($W5,500,249),IF(MID($W5,749,1)=" ",MID($W5,500,248),MID($W5,500,250))),IF(MID($W5,500,1)=" ",IF(MID($W5,749,1)=" ",MID($W5,499,249),IF(MID($W5,750,1)=" ",MID($W5,499,249),MID($W5,499,250))),IF(MID($W5,751,1)=" ",MID($W5,501,249),IF(MID($W5,750,1)=" ",MID($W5,501,248),MID($W5,501,250)))))))</f>
        <v/>
      </c>
      <c r="CK5" s="10" t="str">
        <f t="shared" ref="CK5:CK33" si="15">IF(MID($W5,251,1)=" ",IF(MID($W5,500,1)=" ",IF(MID($W5,749,1)=" ",MID($W5,748,250),IF(MID($W5,748,1)=" ",MID($W5,747,250),MID($W5,749,250))),IF(MID($W5,499,1)=" ",IF(MID($W5,748,1)=" ",MID($W5,747,250),IF(MID($W5,747,1)=" ",MID($W5,746,250),MID($W5,748,250))),IF(MID($W5,750,1)=" ",MID($W5,749,250),IF(MID($W5,749,1)=" ",MID($W5,748,250),MID($W5,750,250))))),IF(MID($W5,250,1)=" ",IF(MID($W5,499,1)=" ",IF(MID($W5,746,1)=" ",MID($W5,745,250),IF(MID($W5,745,1)=" ",MID($W5,744,250),MID($W5,746,250))),IF(MID($W5,498,1)=" ",IF(MID($W5,745,1)=" ",MID($W5,744,250),IF(MID($W5,744,1)=" ",MID($W5,743,250),MID($W5,745,250))),IF(MID($W5,749,1)=" ",MID($W5,748,250),IF(MID($W5,748,1)=" ",MID($W5,747,250),MID($W5,749,250))))),IF(MID($W5,501,1)=" ",IF(MID($W5,750,1)=" ",MID($W5,749,250),IF(MID($W5,749,1)=" ",MID($W5,748,250),MID($W5,750,250))),IF(MID($W5,500,1)=" ",IF(MID($W5,749,1)=" ",MID($W5,748,250),IF(MID($W5,750,1)=" ",MID($W5,749,250),MID($W5,750,250))),IF(MID($W5,751,1)=" ",MID($W5,750,250),IF(MID($W5,750,1)=" ",MID($W5,749,250),MID($W5,751,250)))))))</f>
        <v/>
      </c>
      <c r="CL5" s="10" t="str">
        <f t="shared" ref="CL5:CL33" si="16">IF(MID($AU5,251,1)=" ",MID($AU5,1,249),IF(MID($AU5,250,1)=" ",MID($AU5,1,248),MID($AU5,1,250)))</f>
        <v>This great Qimen black tea, produced in the southwest of the famous Yellow Mountain, is a classic Chinese grand cru. Its smooth-textured red infusion blends typical chocolate and malty notes with light woody and fruity accents. A heavenly tea with pe</v>
      </c>
      <c r="CM5" s="10" t="str">
        <f t="shared" ref="CM5:CM33" si="17">IF(MID($AU5,251,1)=" ",IF(MID($AU5,500,1)=" ",MID($AU5,250,249),IF(MID($AU5,499,1)=" ",MID($AU5,250,248),MID($AU5,250,250))),IF(MID($AU5,250,1)=" ",IF(MID($AU5,499,1)=" ",MID($AU5,249,249),IF(MID($AU5,498,1)=" ",MID($AU5,249,248),MID($AU5,249,250))),IF(MID($AU5,501,1)=" ",MID($AU5,251,249),IF(MID($AU5,500,1)=" ",MID($AU5,251,248),MID($AU5,251,250)))))</f>
        <v>rfect balance.</v>
      </c>
      <c r="CN5" s="10" t="str">
        <f t="shared" ref="CN5:CN33" si="18">IF(MID($AU5,251,1)=" ",IF(MID($AU5,500,1)=" ",IF(MID($AU5,749,1)=" ",MID($AU5,499,249),IF(MID($AU5,748,1)=" ",MID($AU5,499,248),MID($AU5,499,250))),IF(MID($AU5,499,1)=" ",IF(MID($AU5,748,1)=" ",MID($AU5,498,249),IF(MID($AU5,747,1)=" ",MID($AU5,498,248),MID($AU5,498,250))),IF(MID($AU5,750,1)=" ",MID($AU5,500,249),IF(MID($AU5,749,1)=" ",MID($AU5,500,248),MID($AU5,500,250))))),IF(MID($AU5,250,1)=" ",IF(MID($AU5,499,1)=" ",IF(MID($AU5,746,1)=" ",MID($AU5,498,247),IF(MID($AU5,745,1)=" ",MID($AU5,498,246),MID($AU5,498,248))),IF(MID($AU5,498,1)=" ",IF(MID($AU5,745,1)=" ",MID($AU5,497,247),IF(MID($AU5,744,1)=" ",MID($AU5,497,246),MID($AU5,497,248))),IF(MID($AU5,749,1)=" ",MID($AU5,499,249),IF(MID($AU5,748,1)=" ",MID($AU5,499,248),MID($AU5,499,250))))),IF(MID($AU5,501,1)=" ",IF(MID($AU5,750,1)=" ",MID($AU5,500,249),IF(MID($AU5,749,1)=" ",MID($AU5,500,248),MID($AU5,500,250))),IF(MID($AU5,500,1)=" ",IF(MID($AU5,749,1)=" ",MID($AU5,499,249),IF(MID($AU5,750,1)=" ",MID($AU5,499,249),MID($AU5,499,250))),IF(MID($AU5,751,1)=" ",MID($AU5,501,249),IF(MID($AU5,750,1)=" ",MID($AU5,501,248),MID($AU5,501,250)))))))</f>
        <v/>
      </c>
      <c r="CO5" s="10" t="str">
        <f t="shared" ref="CO5:CO33" si="19">IF(MID($AU5,251,1)=" ",IF(MID($AU5,500,1)=" ",IF(MID($AU5,749,1)=" ",MID($AU5,748,250),IF(MID($AU5,748,1)=" ",MID($AU5,747,250),MID($AU5,749,250))),IF(MID($AU5,499,1)=" ",IF(MID($AU5,748,1)=" ",MID($AU5,747,250),IF(MID($AU5,747,1)=" ",MID($AU5,746,250),MID($AU5,748,250))),IF(MID($AU5,750,1)=" ",MID($AU5,749,250),IF(MID($AU5,749,1)=" ",MID($AU5,748,250),MID($AU5,750,250))))),IF(MID($AU5,250,1)=" ",IF(MID($AU5,499,1)=" ",IF(MID($AU5,746,1)=" ",MID($AU5,745,250),IF(MID($AU5,745,1)=" ",MID($AU5,744,250),MID($AU5,746,250))),IF(MID($AU5,498,1)=" ",IF(MID($AU5,745,1)=" ",MID($AU5,744,250),IF(MID($AU5,744,1)=" ",MID($AU5,743,250),MID($AU5,745,250))),IF(MID($AU5,749,1)=" ",MID($AU5,748,250),IF(MID($AU5,748,1)=" ",MID($AU5,747,250),MID($AU5,749,250))))),IF(MID($AU5,501,1)=" ",IF(MID($AU5,750,1)=" ",MID($AU5,749,250),IF(MID($AU5,749,1)=" ",MID($AU5,748,250),MID($AU5,750,250))),IF(MID($AU5,500,1)=" ",IF(MID($AU5,749,1)=" ",MID($AU5,748,250),IF(MID($AU5,750,1)=" ",MID($AU5,749,250),MID($AU5,750,250))),IF(MID($AU5,751,1)=" ",MID($AU5,750,250),IF(MID($AU5,750,1)=" ",MID($AU5,749,250),MID($AU5,751,250)))))))</f>
        <v/>
      </c>
      <c r="CP5" s="10" t="str">
        <f t="shared" ref="CP5:CP33" si="20">IF(MID($AV5,251,1)=" ",MID($AV5,1,249),IF(MID($AV5,250,1)=" ",MID($AV5,1,248),MID($AV5,1,250)))</f>
        <v xml:space="preserve">Ingredient: black tea*. *From organic farming. </v>
      </c>
      <c r="CQ5" s="10" t="str">
        <f t="shared" ref="CQ5:CQ33" si="21">IF(MID($AV5,251,1)=" ",IF(MID($AV5,500,1)=" ",MID($AV5,250,249),IF(MID($AV5,499,1)=" ",MID($AV5,250,248),MID($AV5,250,250))),IF(MID($AV5,250,1)=" ",IF(MID($AV5,499,1)=" ",MID($AV5,249,249),IF(MID($AV5,498,1)=" ",MID($AV5,249,248),MID($AV5,249,250))),IF(MID($AV5,501,1)=" ",MID($AV5,251,249),IF(MID($AV5,500,1)=" ",MID($AV5,251,248),MID($AV5,251,250)))))</f>
        <v/>
      </c>
      <c r="CR5" s="10" t="str">
        <f t="shared" ref="CR5:CR33" si="22">IF(MID($AV5,251,1)=" ",IF(MID($AV5,500,1)=" ",IF(MID($AV5,749,1)=" ",MID($AV5,499,249),IF(MID($AV5,748,1)=" ",MID($AV5,499,248),MID($AV5,499,250))),IF(MID($AV5,499,1)=" ",IF(MID($AV5,748,1)=" ",MID($AV5,498,249),IF(MID($AV5,747,1)=" ",MID($AV5,498,248),MID($AV5,498,250))),IF(MID($AV5,750,1)=" ",MID($AV5,500,249),IF(MID($AV5,749,1)=" ",MID($AV5,500,248),MID($AV5,500,250))))),IF(MID($AV5,250,1)=" ",IF(MID($AV5,499,1)=" ",IF(MID($AV5,746,1)=" ",MID($AV5,498,247),IF(MID($AV5,745,1)=" ",MID($AV5,498,246),MID($AV5,498,248))),IF(MID($AV5,498,1)=" ",IF(MID($AV5,745,1)=" ",MID($AV5,497,247),IF(MID($AV5,744,1)=" ",MID($AV5,497,246),MID($AV5,497,248))),IF(MID($AV5,749,1)=" ",MID($AV5,499,249),IF(MID($AV5,748,1)=" ",MID($AV5,499,248),MID($AV5,499,250))))),IF(MID($AV5,501,1)=" ",IF(MID($AV5,750,1)=" ",MID($AV5,500,249),IF(MID($AV5,749,1)=" ",MID($AV5,500,248),MID($AV5,500,250))),IF(MID($AV5,500,1)=" ",IF(MID($AV5,749,1)=" ",MID($AV5,499,249),IF(MID($AV5,750,1)=" ",MID($AV5,499,249),MID($AV5,499,250))),IF(MID($AV5,751,1)=" ",MID($AV5,501,249),IF(MID($AV5,750,1)=" ",MID($AV5,501,248),MID($AV5,501,250)))))))</f>
        <v/>
      </c>
      <c r="CS5" s="10" t="str">
        <f t="shared" ref="CS5:CS33" si="23">IF(MID($AV5,251,1)=" ",IF(MID($AV5,500,1)=" ",IF(MID($AV5,749,1)=" ",MID($AV5,748,250),IF(MID($AV5,748,1)=" ",MID($AV5,747,250),MID($AV5,749,250))),IF(MID($AV5,499,1)=" ",IF(MID($AV5,748,1)=" ",MID($AV5,747,250),IF(MID($AV5,747,1)=" ",MID($AV5,746,250),MID($AV5,748,250))),IF(MID($AV5,750,1)=" ",MID($AV5,749,250),IF(MID($AV5,749,1)=" ",MID($AV5,748,250),MID($AV5,750,250))))),IF(MID($AV5,250,1)=" ",IF(MID($AV5,499,1)=" ",IF(MID($AV5,746,1)=" ",MID($AV5,745,250),IF(MID($AV5,745,1)=" ",MID($AV5,744,250),MID($AV5,746,250))),IF(MID($AV5,498,1)=" ",IF(MID($AV5,745,1)=" ",MID($AV5,744,250),IF(MID($AV5,744,1)=" ",MID($AV5,743,250),MID($AV5,745,250))),IF(MID($AV5,749,1)=" ",MID($AV5,748,250),IF(MID($AV5,748,1)=" ",MID($AV5,747,250),MID($AV5,749,250))))),IF(MID($AV5,501,1)=" ",IF(MID($AV5,750,1)=" ",MID($AV5,749,250),IF(MID($AV5,749,1)=" ",MID($AV5,748,250),MID($AV5,750,250))),IF(MID($AV5,500,1)=" ",IF(MID($AV5,749,1)=" ",MID($AV5,748,250),IF(MID($AV5,750,1)=" ",MID($AV5,749,250),MID($AV5,750,250))),IF(MID($AV5,751,1)=" ",MID($AV5,750,250),IF(MID($AV5,750,1)=" ",MID($AV5,749,250),MID($AV5,751,250)))))))</f>
        <v/>
      </c>
      <c r="CT5" s="10" t="str">
        <f t="shared" ref="CT5:CT33" si="24">IF(MID($AX5,251,1)=" ",MID($AX5,1,249),IF(MID($AX5,250,1)=" ",MID($AX5,1,248),MID($AX5,1,250)))</f>
        <v/>
      </c>
      <c r="CU5" s="10" t="str">
        <f t="shared" ref="CU5:CU33" si="25">IF(MID($AX5,251,1)=" ",IF(MID($AX5,500,1)=" ",MID($AX5,250,249),IF(MID($AX5,499,1)=" ",MID($AX5,250,248),MID($AX5,250,250))),IF(MID($AX5,250,1)=" ",IF(MID($AX5,499,1)=" ",MID($AX5,249,249),IF(MID($AX5,498,1)=" ",MID($AX5,249,248),MID($AX5,249,250))),IF(MID($AX5,501,1)=" ",MID($AX5,251,249),IF(MID($AX5,500,1)=" ",MID($AX5,251,248),MID($AX5,251,250)))))</f>
        <v/>
      </c>
      <c r="CV5" s="10" t="str">
        <f t="shared" ref="CV5:CV33" si="26">IF(MID($AX5,251,1)=" ",IF(MID($AX5,500,1)=" ",IF(MID($AX5,749,1)=" ",MID($AX5,499,249),IF(MID($AX5,748,1)=" ",MID($AX5,499,248),MID($AX5,499,250))),IF(MID($AX5,499,1)=" ",IF(MID($AX5,748,1)=" ",MID($AX5,498,249),IF(MID($AX5,747,1)=" ",MID($AX5,498,248),MID($AX5,498,250))),IF(MID($AX5,750,1)=" ",MID($AX5,500,249),IF(MID($AX5,749,1)=" ",MID($AX5,500,248),MID($AX5,500,250))))),IF(MID($AX5,250,1)=" ",IF(MID($AX5,499,1)=" ",IF(MID($AX5,746,1)=" ",MID($AX5,498,247),IF(MID($AX5,745,1)=" ",MID($AX5,498,246),MID($AX5,498,248))),IF(MID($AX5,498,1)=" ",IF(MID($AX5,745,1)=" ",MID($AX5,497,247),IF(MID($AX5,744,1)=" ",MID($AX5,497,246),MID($AX5,497,248))),IF(MID($AX5,749,1)=" ",MID($AX5,499,249),IF(MID($AX5,748,1)=" ",MID($AX5,499,248),MID($AX5,499,250))))),IF(MID($AX5,501,1)=" ",IF(MID($AX5,750,1)=" ",MID($AX5,500,249),IF(MID($AX5,749,1)=" ",MID($AX5,500,248),MID($AX5,500,250))),IF(MID($AX5,500,1)=" ",IF(MID($AX5,749,1)=" ",MID($AX5,499,249),IF(MID($AX5,750,1)=" ",MID($AX5,499,249),MID($AX5,499,250))),IF(MID($AX5,751,1)=" ",MID($AX5,501,249),IF(MID($AX5,750,1)=" ",MID($AX5,501,248),MID($AX5,501,250)))))))</f>
        <v/>
      </c>
      <c r="CW5" s="10" t="str">
        <f t="shared" ref="CW5:CW33" si="27">IF(MID($AX5,251,1)=" ",IF(MID($AX5,500,1)=" ",IF(MID($AX5,749,1)=" ",MID($AX5,748,250),IF(MID($AX5,748,1)=" ",MID($AX5,747,250),MID($AX5,749,250))),IF(MID($AX5,499,1)=" ",IF(MID($AX5,748,1)=" ",MID($AX5,747,250),IF(MID($AX5,747,1)=" ",MID($AX5,746,250),MID($AX5,748,250))),IF(MID($AX5,750,1)=" ",MID($AX5,749,250),IF(MID($AX5,749,1)=" ",MID($AX5,748,250),MID($AX5,750,250))))),IF(MID($AX5,250,1)=" ",IF(MID($AX5,499,1)=" ",IF(MID($AX5,746,1)=" ",MID($AX5,745,250),IF(MID($AX5,745,1)=" ",MID($AX5,744,250),MID($AX5,746,250))),IF(MID($AX5,498,1)=" ",IF(MID($AX5,745,1)=" ",MID($AX5,744,250),IF(MID($AX5,744,1)=" ",MID($AX5,743,250),MID($AX5,745,250))),IF(MID($AX5,749,1)=" ",MID($AX5,748,250),IF(MID($AX5,748,1)=" ",MID($AX5,747,250),MID($AX5,749,250))))),IF(MID($AX5,501,1)=" ",IF(MID($AX5,750,1)=" ",MID($AX5,749,250),IF(MID($AX5,749,1)=" ",MID($AX5,748,250),MID($AX5,750,250))),IF(MID($AX5,500,1)=" ",IF(MID($AX5,749,1)=" ",MID($AX5,748,250),IF(MID($AX5,750,1)=" ",MID($AX5,749,250),MID($AX5,750,250))),IF(MID($AX5,751,1)=" ",MID($AX5,750,250),IF(MID($AX5,750,1)=" ",MID($AX5,749,250),MID($AX5,751,250)))))))</f>
        <v/>
      </c>
    </row>
    <row r="6" spans="1:101" ht="93.6">
      <c r="A6" s="129" t="s">
        <v>137</v>
      </c>
      <c r="B6" s="9" t="s">
        <v>26</v>
      </c>
      <c r="C6" s="9"/>
      <c r="D6" s="8" t="s">
        <v>134</v>
      </c>
      <c r="E6" s="9" t="s">
        <v>135</v>
      </c>
      <c r="F6" s="9" t="s">
        <v>57</v>
      </c>
      <c r="G6" s="9" t="s">
        <v>58</v>
      </c>
      <c r="H6" s="10" t="s">
        <v>5</v>
      </c>
      <c r="I6" s="10" t="s">
        <v>6</v>
      </c>
      <c r="J6" s="10" t="s">
        <v>29</v>
      </c>
      <c r="K6" s="10" t="s">
        <v>29</v>
      </c>
      <c r="L6" s="10" t="s">
        <v>29</v>
      </c>
      <c r="M6" s="10" t="s">
        <v>29</v>
      </c>
      <c r="N6" s="10" t="s">
        <v>37</v>
      </c>
      <c r="O6" s="9"/>
      <c r="P6" s="9" t="s">
        <v>136</v>
      </c>
      <c r="Q6" s="9" t="s">
        <v>803</v>
      </c>
      <c r="R6" s="9"/>
      <c r="S6" s="9"/>
      <c r="T6" s="24" t="s">
        <v>1679</v>
      </c>
      <c r="U6" s="24"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6" s="9" t="s">
        <v>29</v>
      </c>
      <c r="W6" s="9" t="s">
        <v>31</v>
      </c>
      <c r="X6" s="10">
        <v>100</v>
      </c>
      <c r="Y6" s="19" t="s">
        <v>59</v>
      </c>
      <c r="Z6" s="19">
        <v>80</v>
      </c>
      <c r="AA6" s="10">
        <v>2</v>
      </c>
      <c r="AB6" s="10">
        <v>50</v>
      </c>
      <c r="AC6" s="12">
        <v>3582810869925</v>
      </c>
      <c r="AD6" s="10" t="s">
        <v>29</v>
      </c>
      <c r="AE6" s="10" t="s">
        <v>804</v>
      </c>
      <c r="AF6" s="10" t="s">
        <v>804</v>
      </c>
      <c r="AG6" s="10" t="s">
        <v>805</v>
      </c>
      <c r="AH6" s="20" t="s">
        <v>38</v>
      </c>
      <c r="AI6" s="54" t="s">
        <v>776</v>
      </c>
      <c r="AJ6" s="54" t="s">
        <v>776</v>
      </c>
      <c r="AK6" s="55">
        <v>45701</v>
      </c>
      <c r="AL6" s="10"/>
      <c r="AM6" s="10">
        <v>25036</v>
      </c>
      <c r="AN6" s="10"/>
      <c r="AO6" s="10"/>
      <c r="AP6" s="10"/>
      <c r="AQ6" s="51" t="s">
        <v>134</v>
      </c>
      <c r="AR6" s="51" t="s">
        <v>1373</v>
      </c>
      <c r="AS6" s="82" t="s">
        <v>1555</v>
      </c>
      <c r="AT6" s="51" t="s">
        <v>1218</v>
      </c>
      <c r="AU6" s="96" t="s">
        <v>1374</v>
      </c>
      <c r="AV6" s="82" t="s">
        <v>1375</v>
      </c>
      <c r="AW6" s="52"/>
      <c r="AX6" s="51"/>
      <c r="AY6" s="51"/>
      <c r="AZ6" s="51"/>
      <c r="BA6" s="51"/>
      <c r="BB6" s="51"/>
      <c r="BC6" s="51"/>
      <c r="BD6" s="51"/>
      <c r="BE6" s="51"/>
      <c r="BF6" s="92"/>
      <c r="BG6" s="92"/>
      <c r="BH6" s="92"/>
      <c r="BI6" s="92"/>
      <c r="BJ6" s="92"/>
      <c r="BK6" s="92"/>
      <c r="BL6" s="92"/>
      <c r="BN6" s="7" t="str">
        <f>IF(IFERROR(FIND("romatis",TableauJDG[[#This Row],[TYPE DE THÉ FR]]),0)=0,"","aromatisé")</f>
        <v>aromatisé</v>
      </c>
      <c r="BV6" s="10" t="str">
        <f t="shared" si="0"/>
        <v>Débordante de pep’s et de saveurs, cette recette à base de thé vert et d'agrumes associés aux petites baies orange de l'argousier offre une boisson aux arômes fruités, ponctués d’une note citronnée tout en fraîcheur. Un petit plaisir pour restaurer i</v>
      </c>
      <c r="BW6" s="10" t="str">
        <f t="shared" si="1"/>
        <v>nstantanément sa motivation !</v>
      </c>
      <c r="BX6" s="10" t="str">
        <f t="shared" si="2"/>
        <v/>
      </c>
      <c r="BY6" s="10" t="str">
        <f t="shared" si="3"/>
        <v/>
      </c>
      <c r="BZ6" s="10" t="str">
        <f t="shared" si="4"/>
        <v xml:space="preserve">Ingrédients : thé vert*, argousier* 5%, huiles essentielles d'agrumes (orange douce*, citron*, orange sanguine*, pamplemousse*, mandarine*) 2%. *Issu de l’agriculture biologique. </v>
      </c>
      <c r="CA6" s="10" t="str">
        <f t="shared" si="5"/>
        <v/>
      </c>
      <c r="CB6" s="10" t="str">
        <f t="shared" si="6"/>
        <v/>
      </c>
      <c r="CC6" s="10" t="str">
        <f t="shared" si="7"/>
        <v/>
      </c>
      <c r="CD6" s="10" t="str">
        <f t="shared" si="8"/>
        <v>/</v>
      </c>
      <c r="CE6" s="10" t="str">
        <f t="shared" si="9"/>
        <v/>
      </c>
      <c r="CF6" s="10" t="str">
        <f t="shared" si="10"/>
        <v/>
      </c>
      <c r="CG6" s="10" t="str">
        <f t="shared" si="11"/>
        <v/>
      </c>
      <c r="CH6" s="10" t="str">
        <f t="shared" si="12"/>
        <v>Membre certifié World Fair Trade Organization, Les Jardins de Gaïa s’engagent pour un commerce plus juste et répondent aux exigences du commerce équitable. Pour en savoir plus : www.wfto.com.</v>
      </c>
      <c r="CI6" s="10" t="str">
        <f t="shared" si="13"/>
        <v/>
      </c>
      <c r="CJ6" s="10" t="str">
        <f t="shared" si="14"/>
        <v/>
      </c>
      <c r="CK6" s="10" t="str">
        <f t="shared" si="15"/>
        <v/>
      </c>
      <c r="CL6" s="10" t="str">
        <f t="shared" si="16"/>
        <v>Bursting with pep and flavour, this recipe with green tea and citrus fruits, combined with the small orange berries of sea buckthorn, offers a drink with fruity aromas, punctuated by a fresh lemony note. A little treat to instantly restore your motiv</v>
      </c>
      <c r="CM6" s="10" t="str">
        <f t="shared" si="17"/>
        <v>ation!</v>
      </c>
      <c r="CN6" s="10" t="str">
        <f t="shared" si="18"/>
        <v/>
      </c>
      <c r="CO6" s="10" t="str">
        <f t="shared" si="19"/>
        <v/>
      </c>
      <c r="CP6" s="10" t="str">
        <f t="shared" si="20"/>
        <v xml:space="preserve">Ingredients: green tea*, sea buckthorn* 5%, citrus essential oils (sweet orange, lemon*, blood orange*, grapefruit*, mandarin*) 2%. *From organic farming. </v>
      </c>
      <c r="CQ6" s="10" t="str">
        <f t="shared" si="21"/>
        <v/>
      </c>
      <c r="CR6" s="10" t="str">
        <f t="shared" si="22"/>
        <v/>
      </c>
      <c r="CS6" s="10" t="str">
        <f t="shared" si="23"/>
        <v/>
      </c>
      <c r="CT6" s="10" t="str">
        <f t="shared" si="24"/>
        <v/>
      </c>
      <c r="CU6" s="10" t="str">
        <f t="shared" si="25"/>
        <v/>
      </c>
      <c r="CV6" s="10" t="str">
        <f t="shared" si="26"/>
        <v/>
      </c>
      <c r="CW6" s="10" t="str">
        <f t="shared" si="27"/>
        <v/>
      </c>
    </row>
    <row r="7" spans="1:101" ht="124.8">
      <c r="A7" s="129" t="s">
        <v>142</v>
      </c>
      <c r="B7" s="9" t="s">
        <v>782</v>
      </c>
      <c r="C7" s="29" t="s">
        <v>1766</v>
      </c>
      <c r="D7" s="21" t="s">
        <v>138</v>
      </c>
      <c r="E7" s="29" t="s">
        <v>1777</v>
      </c>
      <c r="F7" s="9" t="s">
        <v>139</v>
      </c>
      <c r="G7" s="9" t="s">
        <v>140</v>
      </c>
      <c r="H7" s="10" t="s">
        <v>5</v>
      </c>
      <c r="I7" s="10" t="s">
        <v>6</v>
      </c>
      <c r="J7" s="10" t="s">
        <v>29</v>
      </c>
      <c r="K7" s="10" t="s">
        <v>29</v>
      </c>
      <c r="L7" s="10" t="s">
        <v>9</v>
      </c>
      <c r="M7" s="10" t="s">
        <v>10</v>
      </c>
      <c r="N7" s="10" t="s">
        <v>30</v>
      </c>
      <c r="O7" s="9"/>
      <c r="P7" s="9"/>
      <c r="Q7" s="118" t="s">
        <v>1774</v>
      </c>
      <c r="R7" s="119" t="s">
        <v>1775</v>
      </c>
      <c r="S7" s="9"/>
      <c r="T7" s="9" t="s">
        <v>48</v>
      </c>
      <c r="U7"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7" s="9" t="s">
        <v>29</v>
      </c>
      <c r="W7" s="9" t="s">
        <v>31</v>
      </c>
      <c r="X7" s="10">
        <v>40</v>
      </c>
      <c r="Y7" s="19" t="s">
        <v>49</v>
      </c>
      <c r="Z7" s="19">
        <v>80</v>
      </c>
      <c r="AA7" s="10">
        <v>2</v>
      </c>
      <c r="AB7" s="10">
        <v>20</v>
      </c>
      <c r="AC7" s="12">
        <v>3582810637166</v>
      </c>
      <c r="AD7" s="10" t="s">
        <v>50</v>
      </c>
      <c r="AE7" s="10" t="s">
        <v>806</v>
      </c>
      <c r="AF7" s="10" t="s">
        <v>806</v>
      </c>
      <c r="AG7" s="10" t="s">
        <v>52</v>
      </c>
      <c r="AH7" s="20" t="s">
        <v>141</v>
      </c>
      <c r="AI7" s="10"/>
      <c r="AJ7" s="54" t="s">
        <v>776</v>
      </c>
      <c r="AK7" s="10"/>
      <c r="AL7" s="10"/>
      <c r="AM7" s="10"/>
      <c r="AN7" s="10"/>
      <c r="AO7" s="10"/>
      <c r="AP7" s="10"/>
      <c r="AQ7" s="51"/>
      <c r="AR7" s="51"/>
      <c r="AS7" s="51"/>
      <c r="AT7" s="51"/>
      <c r="AU7" s="65" t="s">
        <v>1787</v>
      </c>
      <c r="AV7" s="52"/>
      <c r="AW7" s="52"/>
      <c r="AX7" s="51"/>
      <c r="AY7" s="51"/>
      <c r="AZ7" s="51"/>
      <c r="BA7" s="51"/>
      <c r="BB7" s="51"/>
      <c r="BC7" s="51"/>
      <c r="BD7" s="51"/>
      <c r="BE7" s="51"/>
      <c r="BF7" s="92"/>
      <c r="BG7" s="92"/>
      <c r="BH7" s="92"/>
      <c r="BI7" s="92"/>
      <c r="BJ7" s="92"/>
      <c r="BK7" s="92"/>
      <c r="BL7" s="92"/>
      <c r="BN7" s="7" t="str">
        <f>IF(IFERROR(FIND("romatis",TableauJDG[[#This Row],[TYPE DE THÉ FR]]),0)=0,"","aromatisé")</f>
        <v/>
      </c>
      <c r="BV7" s="10" t="str">
        <f t="shared" si="0"/>
        <v>Voici une création singulière et exclusive ! Flétris au soleil, tressés en forme de griffes, les bourgeons de ce thé blanc libèrent une liqueur surprenante, à la texture profonde, et d’une belle intensité aromatique. En bouche, ses notes fruitées e</v>
      </c>
      <c r="BW7" s="10" t="str">
        <f t="shared" si="1"/>
        <v xml:space="preserve">t sucrées évoquent agréablement des saveurs entre la prune fraîche et les pruneaux au sirop accompagnées de notes épicées de graines de coriandre. Un véritable bijou de gourmandise ! </v>
      </c>
      <c r="BX7" s="10" t="str">
        <f t="shared" si="2"/>
        <v/>
      </c>
      <c r="BY7" s="10" t="str">
        <f t="shared" si="3"/>
        <v/>
      </c>
      <c r="BZ7" s="10" t="str">
        <f t="shared" si="4"/>
        <v xml:space="preserve">Ingrédient : thé blanc*. *Issu de l'agriculture biologique. </v>
      </c>
      <c r="CA7" s="10" t="str">
        <f t="shared" si="5"/>
        <v/>
      </c>
      <c r="CB7" s="10" t="str">
        <f t="shared" si="6"/>
        <v/>
      </c>
      <c r="CC7" s="10" t="str">
        <f t="shared" si="7"/>
        <v/>
      </c>
      <c r="CD7" s="10" t="str">
        <f t="shared" si="8"/>
        <v>/</v>
      </c>
      <c r="CE7" s="10" t="str">
        <f t="shared" si="9"/>
        <v/>
      </c>
      <c r="CF7" s="10" t="str">
        <f t="shared" si="10"/>
        <v/>
      </c>
      <c r="CG7" s="10" t="str">
        <f t="shared" si="11"/>
        <v/>
      </c>
      <c r="CH7" s="10" t="str">
        <f t="shared" si="12"/>
        <v>Membre certifié World Fair Trade Organization, Les Jardins de Gaïa s’engagent pour un commerce plus juste et répondent aux exigences du commerce équitable. Pour en savoir plus : www.wfto.com.</v>
      </c>
      <c r="CI7" s="10" t="str">
        <f t="shared" si="13"/>
        <v/>
      </c>
      <c r="CJ7" s="10" t="str">
        <f t="shared" si="14"/>
        <v/>
      </c>
      <c r="CK7" s="10" t="str">
        <f t="shared" si="15"/>
        <v/>
      </c>
      <c r="CL7" s="10" t="str">
        <f t="shared" si="16"/>
        <v>Rare white tea buds braided in the shape of claws. Notes: fruity and intense between fresh plum and prunes in syrup. Final spicy (coriander seeds).</v>
      </c>
      <c r="CM7" s="10" t="str">
        <f t="shared" si="17"/>
        <v/>
      </c>
      <c r="CN7" s="10" t="str">
        <f t="shared" si="18"/>
        <v/>
      </c>
      <c r="CO7" s="10" t="str">
        <f t="shared" si="19"/>
        <v/>
      </c>
      <c r="CP7" s="10" t="str">
        <f t="shared" si="20"/>
        <v/>
      </c>
      <c r="CQ7" s="10" t="str">
        <f t="shared" si="21"/>
        <v/>
      </c>
      <c r="CR7" s="10" t="str">
        <f t="shared" si="22"/>
        <v/>
      </c>
      <c r="CS7" s="10" t="str">
        <f t="shared" si="23"/>
        <v/>
      </c>
      <c r="CT7" s="10" t="str">
        <f t="shared" si="24"/>
        <v/>
      </c>
      <c r="CU7" s="10" t="str">
        <f t="shared" si="25"/>
        <v/>
      </c>
      <c r="CV7" s="10" t="str">
        <f t="shared" si="26"/>
        <v/>
      </c>
      <c r="CW7" s="10" t="str">
        <f t="shared" si="27"/>
        <v/>
      </c>
    </row>
    <row r="8" spans="1:101" ht="115.2">
      <c r="A8" s="129" t="s">
        <v>146</v>
      </c>
      <c r="B8" s="9" t="s">
        <v>26</v>
      </c>
      <c r="C8" s="9"/>
      <c r="D8" s="8" t="s">
        <v>143</v>
      </c>
      <c r="E8" s="9" t="s">
        <v>29</v>
      </c>
      <c r="F8" s="9" t="s">
        <v>53</v>
      </c>
      <c r="G8" s="9" t="s">
        <v>58</v>
      </c>
      <c r="H8" s="10" t="s">
        <v>5</v>
      </c>
      <c r="I8" s="10" t="s">
        <v>6</v>
      </c>
      <c r="J8" s="10" t="s">
        <v>29</v>
      </c>
      <c r="K8" s="10" t="s">
        <v>29</v>
      </c>
      <c r="L8" s="10" t="s">
        <v>29</v>
      </c>
      <c r="M8" s="10" t="s">
        <v>29</v>
      </c>
      <c r="N8" s="10" t="s">
        <v>47</v>
      </c>
      <c r="O8" s="9"/>
      <c r="P8" s="9" t="s">
        <v>144</v>
      </c>
      <c r="Q8" s="9" t="s">
        <v>807</v>
      </c>
      <c r="R8" s="9"/>
      <c r="S8" s="9"/>
      <c r="T8" s="9" t="s">
        <v>56</v>
      </c>
      <c r="U8"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8" s="9" t="s">
        <v>29</v>
      </c>
      <c r="W8" s="9" t="s">
        <v>31</v>
      </c>
      <c r="X8" s="10">
        <v>100</v>
      </c>
      <c r="Y8" s="19" t="s">
        <v>59</v>
      </c>
      <c r="Z8" s="19">
        <v>75</v>
      </c>
      <c r="AA8" s="10">
        <v>2</v>
      </c>
      <c r="AB8" s="10">
        <v>50</v>
      </c>
      <c r="AC8" s="12">
        <v>3582810364925</v>
      </c>
      <c r="AD8" s="10" t="s">
        <v>29</v>
      </c>
      <c r="AE8" s="10" t="s">
        <v>1744</v>
      </c>
      <c r="AF8" s="10" t="s">
        <v>809</v>
      </c>
      <c r="AG8" s="10" t="s">
        <v>810</v>
      </c>
      <c r="AH8" s="20" t="s">
        <v>51</v>
      </c>
      <c r="AI8" s="54" t="s">
        <v>776</v>
      </c>
      <c r="AJ8" s="54" t="s">
        <v>776</v>
      </c>
      <c r="AK8" s="55">
        <v>45601</v>
      </c>
      <c r="AL8" s="10"/>
      <c r="AM8" s="10">
        <v>24320</v>
      </c>
      <c r="AN8" s="101"/>
      <c r="AO8" s="50" t="s">
        <v>774</v>
      </c>
      <c r="AP8" s="50" t="s">
        <v>1579</v>
      </c>
      <c r="AQ8" s="51" t="s">
        <v>143</v>
      </c>
      <c r="AR8" s="51" t="s">
        <v>29</v>
      </c>
      <c r="AS8" s="87" t="s">
        <v>1563</v>
      </c>
      <c r="AT8" s="87" t="e">
        <f>VLOOKUP(A8,TRADS,14,0)</f>
        <v>#REF!</v>
      </c>
      <c r="AU8" s="63" t="s">
        <v>808</v>
      </c>
      <c r="AV8" s="16" t="s">
        <v>145</v>
      </c>
      <c r="AW8" s="16"/>
      <c r="AX8" s="51"/>
      <c r="AY8" s="51" t="s">
        <v>1241</v>
      </c>
      <c r="AZ8" s="51" t="s">
        <v>1242</v>
      </c>
      <c r="BA8" s="51">
        <v>0</v>
      </c>
      <c r="BB8" s="51" t="s">
        <v>1642</v>
      </c>
      <c r="BC8" s="51" t="s">
        <v>1574</v>
      </c>
      <c r="BD8" s="51" t="s">
        <v>1287</v>
      </c>
      <c r="BE8" s="51"/>
      <c r="BF8" s="92"/>
      <c r="BG8" s="92"/>
      <c r="BH8" s="92"/>
      <c r="BI8" s="92"/>
      <c r="BJ8" s="92"/>
      <c r="BK8" s="92"/>
      <c r="BL8" s="92"/>
      <c r="BN8" s="7" t="str">
        <f>IF(IFERROR(FIND("romatis",TableauJDG[[#This Row],[TYPE DE THÉ FR]]),0)=0,"","aromatisé")</f>
        <v/>
      </c>
      <c r="BV8" s="10" t="str">
        <f t="shared" si="0"/>
        <v>De tradition séculaire, ce thé vert de Chine aux feuilles soigneusement roulées en petites perles offre une liqueur dense et intense. Excellent thé du quotidien à déguster nature, il peut servir de base au traditionnel thé vert à la menthe. Une valeu</v>
      </c>
      <c r="BW8" s="10" t="str">
        <f t="shared" si="1"/>
        <v>r sûre !</v>
      </c>
      <c r="BX8" s="10" t="str">
        <f t="shared" si="2"/>
        <v/>
      </c>
      <c r="BY8" s="10" t="str">
        <f t="shared" si="3"/>
        <v/>
      </c>
      <c r="BZ8" s="10" t="str">
        <f t="shared" si="4"/>
        <v>Ingrédient : thé vert*. *Issu de l'agriculture biologique.</v>
      </c>
      <c r="CA8" s="10" t="str">
        <f t="shared" si="5"/>
        <v/>
      </c>
      <c r="CB8" s="10" t="str">
        <f t="shared" si="6"/>
        <v/>
      </c>
      <c r="CC8" s="10" t="str">
        <f t="shared" si="7"/>
        <v/>
      </c>
      <c r="CD8" s="10" t="str">
        <f t="shared" si="8"/>
        <v>/</v>
      </c>
      <c r="CE8" s="10" t="str">
        <f t="shared" si="9"/>
        <v/>
      </c>
      <c r="CF8" s="10" t="str">
        <f t="shared" si="10"/>
        <v/>
      </c>
      <c r="CG8" s="10" t="str">
        <f t="shared" si="11"/>
        <v/>
      </c>
      <c r="CH8" s="10" t="str">
        <f t="shared" si="12"/>
        <v>Membre certifié World Fair Trade Organization, Les Jardins de Gaïa s’engagent pour un commerce plus juste et répondent aux exigences du commerce équitable. Pour en savoir plus : www.wfto.com.</v>
      </c>
      <c r="CI8" s="10" t="str">
        <f t="shared" si="13"/>
        <v/>
      </c>
      <c r="CJ8" s="10" t="str">
        <f t="shared" si="14"/>
        <v/>
      </c>
      <c r="CK8" s="10" t="str">
        <f t="shared" si="15"/>
        <v/>
      </c>
      <c r="CL8" s="10" t="str">
        <f t="shared" si="16"/>
        <v>With a centuries-old tradition, this Chinese green tea with leaves carefully rolled into small pearls offers a dense, intense brew. An excellent everyday tea to enjoy on its own, it can also be used as a base for traditional mint green tea. A safe be</v>
      </c>
      <c r="CM8" s="10" t="str">
        <f t="shared" si="17"/>
        <v>t!</v>
      </c>
      <c r="CN8" s="10" t="str">
        <f t="shared" si="18"/>
        <v/>
      </c>
      <c r="CO8" s="10" t="str">
        <f t="shared" si="19"/>
        <v/>
      </c>
      <c r="CP8" s="10" t="str">
        <f t="shared" si="20"/>
        <v>Ingredient: green tea*. *From organic farming.</v>
      </c>
      <c r="CQ8" s="10" t="str">
        <f t="shared" si="21"/>
        <v/>
      </c>
      <c r="CR8" s="10" t="str">
        <f t="shared" si="22"/>
        <v/>
      </c>
      <c r="CS8" s="10" t="str">
        <f t="shared" si="23"/>
        <v/>
      </c>
      <c r="CT8" s="10" t="str">
        <f t="shared" si="24"/>
        <v/>
      </c>
      <c r="CU8" s="10" t="str">
        <f t="shared" si="25"/>
        <v/>
      </c>
      <c r="CV8" s="10" t="str">
        <f t="shared" si="26"/>
        <v/>
      </c>
      <c r="CW8" s="10" t="str">
        <f t="shared" si="27"/>
        <v/>
      </c>
    </row>
    <row r="9" spans="1:101" ht="93.6">
      <c r="A9" s="129" t="s">
        <v>150</v>
      </c>
      <c r="B9" s="9" t="s">
        <v>26</v>
      </c>
      <c r="C9" s="9"/>
      <c r="D9" s="8" t="s">
        <v>147</v>
      </c>
      <c r="E9" s="9" t="s">
        <v>29</v>
      </c>
      <c r="F9" s="9" t="s">
        <v>53</v>
      </c>
      <c r="G9" s="9" t="s">
        <v>58</v>
      </c>
      <c r="H9" s="10" t="s">
        <v>5</v>
      </c>
      <c r="I9" s="10" t="s">
        <v>6</v>
      </c>
      <c r="J9" s="10" t="s">
        <v>29</v>
      </c>
      <c r="K9" s="10" t="s">
        <v>29</v>
      </c>
      <c r="L9" s="10" t="s">
        <v>29</v>
      </c>
      <c r="M9" s="10" t="s">
        <v>29</v>
      </c>
      <c r="N9" s="10" t="s">
        <v>47</v>
      </c>
      <c r="O9" s="9"/>
      <c r="P9" s="9" t="s">
        <v>148</v>
      </c>
      <c r="Q9" s="107" t="s">
        <v>811</v>
      </c>
      <c r="R9" s="73"/>
      <c r="S9" s="9"/>
      <c r="T9" s="9" t="s">
        <v>56</v>
      </c>
      <c r="U9"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9" s="9" t="s">
        <v>29</v>
      </c>
      <c r="W9" s="9" t="s">
        <v>31</v>
      </c>
      <c r="X9" s="10">
        <v>100</v>
      </c>
      <c r="Y9" s="19" t="s">
        <v>72</v>
      </c>
      <c r="Z9" s="19">
        <v>75</v>
      </c>
      <c r="AA9" s="10">
        <v>2</v>
      </c>
      <c r="AB9" s="10">
        <v>50</v>
      </c>
      <c r="AC9" s="12">
        <v>3582810374924</v>
      </c>
      <c r="AD9" s="10" t="s">
        <v>29</v>
      </c>
      <c r="AE9" s="10" t="s">
        <v>151</v>
      </c>
      <c r="AF9" s="10" t="s">
        <v>812</v>
      </c>
      <c r="AG9" s="10" t="s">
        <v>813</v>
      </c>
      <c r="AH9" s="20" t="s">
        <v>149</v>
      </c>
      <c r="AI9" s="54" t="s">
        <v>776</v>
      </c>
      <c r="AJ9" s="54" t="s">
        <v>776</v>
      </c>
      <c r="AK9" s="55">
        <v>45722</v>
      </c>
      <c r="AL9" s="10"/>
      <c r="AM9" s="10">
        <v>25055</v>
      </c>
      <c r="AN9" s="10"/>
      <c r="AO9" s="10"/>
      <c r="AP9" s="10"/>
      <c r="AQ9" s="51" t="s">
        <v>147</v>
      </c>
      <c r="AR9" s="51"/>
      <c r="AS9" s="82" t="s">
        <v>1563</v>
      </c>
      <c r="AT9" s="9" t="s">
        <v>1218</v>
      </c>
      <c r="AU9" s="96" t="s">
        <v>1545</v>
      </c>
      <c r="AV9" s="82" t="s">
        <v>145</v>
      </c>
      <c r="AW9" s="52"/>
      <c r="AX9" s="51"/>
      <c r="AY9" s="51"/>
      <c r="AZ9" s="51"/>
      <c r="BA9" s="51"/>
      <c r="BB9" s="51"/>
      <c r="BC9" s="51"/>
      <c r="BD9" s="51"/>
      <c r="BE9" s="51"/>
      <c r="BF9" s="92"/>
      <c r="BG9" s="92"/>
      <c r="BH9" s="92"/>
      <c r="BI9" s="92"/>
      <c r="BJ9" s="92"/>
      <c r="BK9" s="92"/>
      <c r="BL9" s="92"/>
      <c r="BN9" s="7" t="str">
        <f>IF(IFERROR(FIND("romatis",TableauJDG[[#This Row],[TYPE DE THÉ FR]]),0)=0,"","aromatisé")</f>
        <v/>
      </c>
      <c r="BV9" s="10" t="str">
        <f t="shared" si="0"/>
        <v>Ce thé vert « gunpowder » de qualité supérieure se présente sous forme de billes régulières qui libèrent une infusion d'un jaune éclatant au goût rond, sucré et légèrement malté. Très aromatique et long en bouche, il est idéal pour servir de base à l</v>
      </c>
      <c r="BW9" s="10" t="str">
        <f t="shared" si="1"/>
        <v>a préparation d’un thé à la menthe.</v>
      </c>
      <c r="BX9" s="10" t="str">
        <f t="shared" si="2"/>
        <v/>
      </c>
      <c r="BY9" s="10" t="str">
        <f t="shared" si="3"/>
        <v/>
      </c>
      <c r="BZ9" s="10" t="str">
        <f t="shared" si="4"/>
        <v>Ingrédient : thé vert*. *Issu de l'agriculture biologique.</v>
      </c>
      <c r="CA9" s="10" t="str">
        <f t="shared" si="5"/>
        <v/>
      </c>
      <c r="CB9" s="10" t="str">
        <f t="shared" si="6"/>
        <v/>
      </c>
      <c r="CC9" s="10" t="str">
        <f t="shared" si="7"/>
        <v/>
      </c>
      <c r="CD9" s="10" t="str">
        <f t="shared" si="8"/>
        <v>/</v>
      </c>
      <c r="CE9" s="10" t="str">
        <f t="shared" si="9"/>
        <v/>
      </c>
      <c r="CF9" s="10" t="str">
        <f t="shared" si="10"/>
        <v/>
      </c>
      <c r="CG9" s="10" t="str">
        <f t="shared" si="11"/>
        <v/>
      </c>
      <c r="CH9" s="10" t="str">
        <f t="shared" si="12"/>
        <v>Membre certifié World Fair Trade Organization, Les Jardins de Gaïa s’engagent pour un commerce plus juste et répondent aux exigences du commerce équitable. Pour en savoir plus : www.wfto.com.</v>
      </c>
      <c r="CI9" s="10" t="str">
        <f t="shared" si="13"/>
        <v/>
      </c>
      <c r="CJ9" s="10" t="str">
        <f t="shared" si="14"/>
        <v/>
      </c>
      <c r="CK9" s="10" t="str">
        <f t="shared" si="15"/>
        <v/>
      </c>
      <c r="CL9" s="10" t="str">
        <f t="shared" si="16"/>
        <v>This top-quality "gunpowder" green tea comes in the form of regular beads that release a bright yellow infusion with a round, sweet, slightly malty taste. Highly aromatic and long on the palate, it is ideal as a base for mint tea.</v>
      </c>
      <c r="CM9" s="10" t="str">
        <f t="shared" si="17"/>
        <v/>
      </c>
      <c r="CN9" s="10" t="str">
        <f t="shared" si="18"/>
        <v/>
      </c>
      <c r="CO9" s="10" t="str">
        <f t="shared" si="19"/>
        <v/>
      </c>
      <c r="CP9" s="10" t="str">
        <f t="shared" si="20"/>
        <v>Ingredient: green tea*. *From organic farming.</v>
      </c>
      <c r="CQ9" s="10" t="str">
        <f t="shared" si="21"/>
        <v/>
      </c>
      <c r="CR9" s="10" t="str">
        <f t="shared" si="22"/>
        <v/>
      </c>
      <c r="CS9" s="10" t="str">
        <f t="shared" si="23"/>
        <v/>
      </c>
      <c r="CT9" s="10" t="str">
        <f t="shared" si="24"/>
        <v/>
      </c>
      <c r="CU9" s="10" t="str">
        <f t="shared" si="25"/>
        <v/>
      </c>
      <c r="CV9" s="10" t="str">
        <f t="shared" si="26"/>
        <v/>
      </c>
      <c r="CW9" s="10" t="str">
        <f t="shared" si="27"/>
        <v/>
      </c>
    </row>
    <row r="10" spans="1:101" ht="86.4">
      <c r="A10" s="129" t="s">
        <v>155</v>
      </c>
      <c r="B10" s="9" t="s">
        <v>26</v>
      </c>
      <c r="C10" s="9"/>
      <c r="D10" s="8" t="s">
        <v>152</v>
      </c>
      <c r="E10" s="9" t="s">
        <v>29</v>
      </c>
      <c r="F10" s="9" t="s">
        <v>53</v>
      </c>
      <c r="G10" s="9" t="s">
        <v>54</v>
      </c>
      <c r="H10" s="10" t="s">
        <v>5</v>
      </c>
      <c r="I10" s="10" t="s">
        <v>29</v>
      </c>
      <c r="J10" s="10" t="s">
        <v>29</v>
      </c>
      <c r="K10" s="10" t="s">
        <v>29</v>
      </c>
      <c r="L10" s="10" t="s">
        <v>29</v>
      </c>
      <c r="M10" s="10" t="s">
        <v>29</v>
      </c>
      <c r="N10" s="10" t="s">
        <v>55</v>
      </c>
      <c r="O10" s="9"/>
      <c r="P10" s="9" t="s">
        <v>153</v>
      </c>
      <c r="Q10" s="9" t="s">
        <v>814</v>
      </c>
      <c r="R10" s="9"/>
      <c r="S10" s="9"/>
      <c r="T10" s="9" t="s">
        <v>56</v>
      </c>
      <c r="U10"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0" s="9" t="s">
        <v>29</v>
      </c>
      <c r="W10" s="9" t="s">
        <v>29</v>
      </c>
      <c r="X10" s="10">
        <v>50</v>
      </c>
      <c r="Y10" s="19" t="s">
        <v>123</v>
      </c>
      <c r="Z10" s="19">
        <v>60</v>
      </c>
      <c r="AA10" s="10">
        <v>2</v>
      </c>
      <c r="AB10" s="10">
        <v>25</v>
      </c>
      <c r="AC10" s="12">
        <v>3582810365564</v>
      </c>
      <c r="AD10" s="10"/>
      <c r="AE10" s="10" t="s">
        <v>154</v>
      </c>
      <c r="AF10" s="10" t="s">
        <v>815</v>
      </c>
      <c r="AG10" s="10" t="s">
        <v>816</v>
      </c>
      <c r="AH10" s="20" t="s">
        <v>54</v>
      </c>
      <c r="AI10" s="54" t="s">
        <v>776</v>
      </c>
      <c r="AJ10" s="54" t="s">
        <v>776</v>
      </c>
      <c r="AK10" s="55">
        <v>45685</v>
      </c>
      <c r="AL10" s="10"/>
      <c r="AM10" s="10">
        <v>25010</v>
      </c>
      <c r="AN10" s="10"/>
      <c r="AO10" s="10"/>
      <c r="AP10" s="10"/>
      <c r="AQ10" s="51" t="s">
        <v>152</v>
      </c>
      <c r="AR10" s="51"/>
      <c r="AS10" s="51" t="s">
        <v>1563</v>
      </c>
      <c r="AT10" s="87" t="s">
        <v>1302</v>
      </c>
      <c r="AU10" s="63" t="s">
        <v>1541</v>
      </c>
      <c r="AV10" s="52" t="s">
        <v>145</v>
      </c>
      <c r="AW10" s="52"/>
      <c r="AX10" s="51"/>
      <c r="AY10" s="51"/>
      <c r="AZ10" s="51"/>
      <c r="BA10" s="51"/>
      <c r="BB10" s="51"/>
      <c r="BC10" s="51"/>
      <c r="BD10" s="51"/>
      <c r="BE10" s="51"/>
      <c r="BF10" s="92"/>
      <c r="BG10" s="92"/>
      <c r="BH10" s="92"/>
      <c r="BI10" s="92"/>
      <c r="BJ10" s="92"/>
      <c r="BK10" s="92"/>
      <c r="BL10" s="92"/>
      <c r="BN10" s="7" t="str">
        <f>IF(IFERROR(FIND("romatis",TableauJDG[[#This Row],[TYPE DE THÉ FR]]),0)=0,"","aromatisé")</f>
        <v/>
      </c>
      <c r="BV10" s="10" t="str">
        <f t="shared" si="0"/>
        <v>Récolté une fois par an au printemps après une période d’ombrage, le gyokuro, littéralement « rosée de jade », est le thé vert le plus raffiné du Japon. Ses fines feuilles couleur émeraude au parfum intense et frais offrent une infusion jaune tendre</v>
      </c>
      <c r="BW10" s="10" t="str">
        <f t="shared" si="1"/>
        <v>, au goût suave et délicieusement sucré.</v>
      </c>
      <c r="BX10" s="10" t="str">
        <f t="shared" si="2"/>
        <v/>
      </c>
      <c r="BY10" s="10" t="str">
        <f t="shared" si="3"/>
        <v/>
      </c>
      <c r="BZ10" s="10" t="str">
        <f t="shared" si="4"/>
        <v>Ingrédient : thé vert*. *Issu de l'agriculture biologique.</v>
      </c>
      <c r="CA10" s="10" t="str">
        <f t="shared" si="5"/>
        <v/>
      </c>
      <c r="CB10" s="10" t="str">
        <f t="shared" si="6"/>
        <v/>
      </c>
      <c r="CC10" s="10" t="str">
        <f t="shared" si="7"/>
        <v/>
      </c>
      <c r="CD10" s="10" t="str">
        <f t="shared" si="8"/>
        <v>/</v>
      </c>
      <c r="CE10" s="10" t="str">
        <f t="shared" si="9"/>
        <v/>
      </c>
      <c r="CF10" s="10" t="str">
        <f t="shared" si="10"/>
        <v/>
      </c>
      <c r="CG10" s="10" t="str">
        <f t="shared" si="11"/>
        <v/>
      </c>
      <c r="CH10" s="10" t="str">
        <f t="shared" si="12"/>
        <v>/</v>
      </c>
      <c r="CI10" s="10" t="str">
        <f t="shared" si="13"/>
        <v/>
      </c>
      <c r="CJ10" s="10" t="str">
        <f t="shared" si="14"/>
        <v/>
      </c>
      <c r="CK10" s="10" t="str">
        <f t="shared" si="15"/>
        <v/>
      </c>
      <c r="CL10" s="10" t="str">
        <f t="shared" si="16"/>
        <v>Harvested once a year in spring after a period in the shade, gyokuro, literally "jade dew", is Japan's finest green tea. Its fine, emerald-coloured leaves have an intense, fresh fragrance and produce a soft yellow infusion with a smooth, deliciousl</v>
      </c>
      <c r="CM10" s="10" t="str">
        <f t="shared" si="17"/>
        <v>y sweet taste.</v>
      </c>
      <c r="CN10" s="10" t="str">
        <f t="shared" si="18"/>
        <v/>
      </c>
      <c r="CO10" s="10" t="str">
        <f t="shared" si="19"/>
        <v/>
      </c>
      <c r="CP10" s="10" t="str">
        <f t="shared" si="20"/>
        <v>Ingredient: green tea*. *From organic farming.</v>
      </c>
      <c r="CQ10" s="10" t="str">
        <f t="shared" si="21"/>
        <v/>
      </c>
      <c r="CR10" s="10" t="str">
        <f t="shared" si="22"/>
        <v/>
      </c>
      <c r="CS10" s="10" t="str">
        <f t="shared" si="23"/>
        <v/>
      </c>
      <c r="CT10" s="10" t="str">
        <f t="shared" si="24"/>
        <v/>
      </c>
      <c r="CU10" s="10" t="str">
        <f t="shared" si="25"/>
        <v/>
      </c>
      <c r="CV10" s="10" t="str">
        <f t="shared" si="26"/>
        <v/>
      </c>
      <c r="CW10" s="10" t="str">
        <f t="shared" si="27"/>
        <v/>
      </c>
    </row>
    <row r="11" spans="1:101" ht="72">
      <c r="A11" s="129" t="s">
        <v>156</v>
      </c>
      <c r="B11" s="9" t="s">
        <v>783</v>
      </c>
      <c r="C11" s="9"/>
      <c r="D11" s="8" t="s">
        <v>152</v>
      </c>
      <c r="E11" s="9" t="s">
        <v>157</v>
      </c>
      <c r="F11" s="9" t="s">
        <v>53</v>
      </c>
      <c r="G11" s="9" t="s">
        <v>158</v>
      </c>
      <c r="H11" s="10" t="s">
        <v>5</v>
      </c>
      <c r="I11" s="10" t="s">
        <v>29</v>
      </c>
      <c r="J11" s="10" t="s">
        <v>29</v>
      </c>
      <c r="K11" s="10" t="s">
        <v>29</v>
      </c>
      <c r="L11" s="10" t="s">
        <v>29</v>
      </c>
      <c r="M11" s="10" t="s">
        <v>29</v>
      </c>
      <c r="N11" s="10" t="s">
        <v>55</v>
      </c>
      <c r="O11" s="9"/>
      <c r="P11" s="9" t="s">
        <v>159</v>
      </c>
      <c r="Q11" s="60" t="s">
        <v>817</v>
      </c>
      <c r="R11" s="60"/>
      <c r="S11" s="9"/>
      <c r="T11" s="9" t="s">
        <v>56</v>
      </c>
      <c r="U11"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1" s="9" t="s">
        <v>29</v>
      </c>
      <c r="W11" s="9" t="s">
        <v>29</v>
      </c>
      <c r="X11" s="10">
        <v>50</v>
      </c>
      <c r="Y11" s="19" t="s">
        <v>88</v>
      </c>
      <c r="Z11" s="19">
        <v>60</v>
      </c>
      <c r="AA11" s="10">
        <v>2</v>
      </c>
      <c r="AB11" s="10">
        <v>25</v>
      </c>
      <c r="AC11" s="12">
        <v>3582815707062</v>
      </c>
      <c r="AD11" s="10" t="s">
        <v>50</v>
      </c>
      <c r="AE11" s="10" t="s">
        <v>160</v>
      </c>
      <c r="AF11" s="10" t="s">
        <v>818</v>
      </c>
      <c r="AG11" s="10" t="s">
        <v>29</v>
      </c>
      <c r="AH11" s="20" t="s">
        <v>54</v>
      </c>
      <c r="AI11" s="10"/>
      <c r="AJ11" s="10"/>
      <c r="AK11" s="10"/>
      <c r="AL11" s="10"/>
      <c r="AM11" s="10"/>
      <c r="AN11" s="10"/>
      <c r="AO11" s="10"/>
      <c r="AP11" s="10"/>
      <c r="AQ11" s="51"/>
      <c r="AR11" s="51"/>
      <c r="AS11" s="51"/>
      <c r="AT11" s="51"/>
      <c r="AU11" s="51"/>
      <c r="AV11" s="52"/>
      <c r="AW11" s="52"/>
      <c r="AX11" s="51"/>
      <c r="AY11" s="51"/>
      <c r="AZ11" s="51"/>
      <c r="BA11" s="51"/>
      <c r="BB11" s="51"/>
      <c r="BC11" s="51"/>
      <c r="BD11" s="51"/>
      <c r="BE11" s="51"/>
      <c r="BF11" s="92"/>
      <c r="BG11" s="92"/>
      <c r="BH11" s="92"/>
      <c r="BI11" s="92"/>
      <c r="BJ11" s="92"/>
      <c r="BK11" s="92"/>
      <c r="BL11" s="92"/>
      <c r="BN11" s="7" t="str">
        <f>IF(IFERROR(FIND("romatis",TableauJDG[[#This Row],[TYPE DE THÉ FR]]),0)=0,"","aromatisé")</f>
        <v/>
      </c>
      <c r="BV11" s="10" t="str">
        <f t="shared" si="0"/>
        <v>Après leur période d’ombrage, les feuilles roulées en fines aiguilles de ce gyokuro ont été travaillées à la vapeur selon la méthode traditionnelle. Elles délivrent une liqueur délicate et délicieusement lactée évoquant de jeunes pousses de céréale</v>
      </c>
      <c r="BW11" s="10" t="str">
        <f t="shared" si="1"/>
        <v>s germées. La perfection japonaise dans un thé !</v>
      </c>
      <c r="BX11" s="10" t="str">
        <f t="shared" si="2"/>
        <v/>
      </c>
      <c r="BY11" s="10" t="str">
        <f t="shared" si="3"/>
        <v/>
      </c>
      <c r="BZ11" s="10" t="str">
        <f t="shared" si="4"/>
        <v>Ingrédient : thé vert*. *Issu de l'agriculture biologique.</v>
      </c>
      <c r="CA11" s="10" t="str">
        <f t="shared" si="5"/>
        <v/>
      </c>
      <c r="CB11" s="10" t="str">
        <f t="shared" si="6"/>
        <v/>
      </c>
      <c r="CC11" s="10" t="str">
        <f t="shared" si="7"/>
        <v/>
      </c>
      <c r="CD11" s="10" t="str">
        <f t="shared" si="8"/>
        <v>/</v>
      </c>
      <c r="CE11" s="10" t="str">
        <f t="shared" si="9"/>
        <v/>
      </c>
      <c r="CF11" s="10" t="str">
        <f t="shared" si="10"/>
        <v/>
      </c>
      <c r="CG11" s="10" t="str">
        <f t="shared" si="11"/>
        <v/>
      </c>
      <c r="CH11" s="10" t="str">
        <f t="shared" si="12"/>
        <v>/</v>
      </c>
      <c r="CI11" s="10" t="str">
        <f t="shared" si="13"/>
        <v/>
      </c>
      <c r="CJ11" s="10" t="str">
        <f t="shared" si="14"/>
        <v/>
      </c>
      <c r="CK11" s="10" t="str">
        <f t="shared" si="15"/>
        <v/>
      </c>
      <c r="CL11" s="10" t="str">
        <f t="shared" si="16"/>
        <v/>
      </c>
      <c r="CM11" s="10" t="str">
        <f t="shared" si="17"/>
        <v/>
      </c>
      <c r="CN11" s="10" t="str">
        <f t="shared" si="18"/>
        <v/>
      </c>
      <c r="CO11" s="10" t="str">
        <f t="shared" si="19"/>
        <v/>
      </c>
      <c r="CP11" s="10" t="str">
        <f t="shared" si="20"/>
        <v/>
      </c>
      <c r="CQ11" s="10" t="str">
        <f t="shared" si="21"/>
        <v/>
      </c>
      <c r="CR11" s="10" t="str">
        <f t="shared" si="22"/>
        <v/>
      </c>
      <c r="CS11" s="10" t="str">
        <f t="shared" si="23"/>
        <v/>
      </c>
      <c r="CT11" s="10" t="str">
        <f t="shared" si="24"/>
        <v/>
      </c>
      <c r="CU11" s="10" t="str">
        <f t="shared" si="25"/>
        <v/>
      </c>
      <c r="CV11" s="10" t="str">
        <f t="shared" si="26"/>
        <v/>
      </c>
      <c r="CW11" s="10" t="str">
        <f t="shared" si="27"/>
        <v/>
      </c>
    </row>
    <row r="12" spans="1:101" s="66" customFormat="1" ht="72">
      <c r="A12" s="129" t="s">
        <v>161</v>
      </c>
      <c r="B12" s="9" t="s">
        <v>783</v>
      </c>
      <c r="C12" s="9"/>
      <c r="D12" s="8" t="s">
        <v>162</v>
      </c>
      <c r="E12" s="9" t="s">
        <v>163</v>
      </c>
      <c r="F12" s="9" t="s">
        <v>53</v>
      </c>
      <c r="G12" s="9" t="s">
        <v>158</v>
      </c>
      <c r="H12" s="10" t="s">
        <v>5</v>
      </c>
      <c r="I12" s="10" t="s">
        <v>29</v>
      </c>
      <c r="J12" s="10" t="s">
        <v>29</v>
      </c>
      <c r="K12" s="10" t="s">
        <v>29</v>
      </c>
      <c r="L12" s="10" t="s">
        <v>29</v>
      </c>
      <c r="M12" s="10" t="s">
        <v>29</v>
      </c>
      <c r="N12" s="10" t="s">
        <v>55</v>
      </c>
      <c r="O12" s="9"/>
      <c r="P12" s="9" t="s">
        <v>164</v>
      </c>
      <c r="Q12" s="60" t="s">
        <v>819</v>
      </c>
      <c r="R12" s="60"/>
      <c r="S12" s="9"/>
      <c r="T12" s="9" t="s">
        <v>56</v>
      </c>
      <c r="U12"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2" s="9" t="s">
        <v>29</v>
      </c>
      <c r="W12" s="9" t="s">
        <v>29</v>
      </c>
      <c r="X12" s="10">
        <v>50</v>
      </c>
      <c r="Y12" s="19" t="s">
        <v>111</v>
      </c>
      <c r="Z12" s="19">
        <v>70</v>
      </c>
      <c r="AA12" s="10">
        <v>2</v>
      </c>
      <c r="AB12" s="10">
        <v>25</v>
      </c>
      <c r="AC12" s="12">
        <v>3582815708366</v>
      </c>
      <c r="AD12" s="10" t="s">
        <v>50</v>
      </c>
      <c r="AE12" s="10" t="s">
        <v>165</v>
      </c>
      <c r="AF12" s="10" t="s">
        <v>820</v>
      </c>
      <c r="AG12" s="10" t="s">
        <v>29</v>
      </c>
      <c r="AH12" s="20" t="s">
        <v>54</v>
      </c>
      <c r="AI12" s="10"/>
      <c r="AJ12" s="10"/>
      <c r="AK12" s="10"/>
      <c r="AL12" s="10"/>
      <c r="AM12" s="10"/>
      <c r="AN12" s="10"/>
      <c r="AO12" s="10"/>
      <c r="AP12" s="10"/>
      <c r="AQ12" s="51"/>
      <c r="AR12" s="51"/>
      <c r="AS12" s="51"/>
      <c r="AT12" s="51"/>
      <c r="AU12" s="51"/>
      <c r="AV12" s="52"/>
      <c r="AW12" s="52"/>
      <c r="AX12" s="51"/>
      <c r="AY12" s="51"/>
      <c r="AZ12" s="51"/>
      <c r="BA12" s="51"/>
      <c r="BB12" s="51"/>
      <c r="BC12" s="51"/>
      <c r="BD12" s="51"/>
      <c r="BE12" s="51"/>
      <c r="BF12" s="92"/>
      <c r="BG12" s="92"/>
      <c r="BH12" s="92"/>
      <c r="BI12" s="92"/>
      <c r="BJ12" s="92"/>
      <c r="BK12" s="92"/>
      <c r="BL12" s="92"/>
      <c r="BM12" s="7"/>
      <c r="BN12" s="7" t="str">
        <f>IF(IFERROR(FIND("romatis",TableauJDG[[#This Row],[TYPE DE THÉ FR]]),0)=0,"","aromatisé")</f>
        <v/>
      </c>
      <c r="BO12" s="10"/>
      <c r="BP12" s="7"/>
      <c r="BQ12" s="7"/>
      <c r="BR12" s="7"/>
      <c r="BS12" s="7"/>
      <c r="BT12" s="7"/>
      <c r="BU12" s="7"/>
      <c r="BV12" s="10" t="str">
        <f t="shared" si="0"/>
        <v>Élaboré à partir de tiges et de feuilles de gyokuro, ce thé vert japonais représente la crème des kukicha. Sa liqueur veloutée délivre des saveurs de fruits jaunes accompagnées de notes végétales et marines qui se développent en bouche d'une manièr</v>
      </c>
      <c r="BW12" s="10" t="str">
        <f t="shared" si="1"/>
        <v>e très raffinée. Un délice !</v>
      </c>
      <c r="BX12" s="10" t="str">
        <f t="shared" si="2"/>
        <v/>
      </c>
      <c r="BY12" s="10" t="str">
        <f t="shared" si="3"/>
        <v/>
      </c>
      <c r="BZ12" s="10" t="str">
        <f t="shared" si="4"/>
        <v>Ingrédient : thé vert*. *Issu de l'agriculture biologique.</v>
      </c>
      <c r="CA12" s="10" t="str">
        <f t="shared" si="5"/>
        <v/>
      </c>
      <c r="CB12" s="10" t="str">
        <f t="shared" si="6"/>
        <v/>
      </c>
      <c r="CC12" s="10" t="str">
        <f t="shared" si="7"/>
        <v/>
      </c>
      <c r="CD12" s="10" t="str">
        <f t="shared" si="8"/>
        <v>/</v>
      </c>
      <c r="CE12" s="10" t="str">
        <f t="shared" si="9"/>
        <v/>
      </c>
      <c r="CF12" s="10" t="str">
        <f t="shared" si="10"/>
        <v/>
      </c>
      <c r="CG12" s="10" t="str">
        <f t="shared" si="11"/>
        <v/>
      </c>
      <c r="CH12" s="10" t="str">
        <f t="shared" si="12"/>
        <v>/</v>
      </c>
      <c r="CI12" s="10" t="str">
        <f t="shared" si="13"/>
        <v/>
      </c>
      <c r="CJ12" s="10" t="str">
        <f t="shared" si="14"/>
        <v/>
      </c>
      <c r="CK12" s="10" t="str">
        <f t="shared" si="15"/>
        <v/>
      </c>
      <c r="CL12" s="10" t="str">
        <f t="shared" si="16"/>
        <v/>
      </c>
      <c r="CM12" s="10" t="str">
        <f t="shared" si="17"/>
        <v/>
      </c>
      <c r="CN12" s="10" t="str">
        <f t="shared" si="18"/>
        <v/>
      </c>
      <c r="CO12" s="10" t="str">
        <f t="shared" si="19"/>
        <v/>
      </c>
      <c r="CP12" s="10" t="str">
        <f t="shared" si="20"/>
        <v/>
      </c>
      <c r="CQ12" s="10" t="str">
        <f t="shared" si="21"/>
        <v/>
      </c>
      <c r="CR12" s="10" t="str">
        <f t="shared" si="22"/>
        <v/>
      </c>
      <c r="CS12" s="10" t="str">
        <f t="shared" si="23"/>
        <v/>
      </c>
      <c r="CT12" s="10" t="str">
        <f t="shared" si="24"/>
        <v/>
      </c>
      <c r="CU12" s="10" t="str">
        <f t="shared" si="25"/>
        <v/>
      </c>
      <c r="CV12" s="10" t="str">
        <f t="shared" si="26"/>
        <v/>
      </c>
      <c r="CW12" s="10" t="str">
        <f t="shared" si="27"/>
        <v/>
      </c>
    </row>
    <row r="13" spans="1:101" ht="100.8">
      <c r="A13" s="129" t="s">
        <v>171</v>
      </c>
      <c r="B13" s="9" t="s">
        <v>26</v>
      </c>
      <c r="C13" s="9"/>
      <c r="D13" s="8" t="s">
        <v>166</v>
      </c>
      <c r="E13" s="9" t="s">
        <v>167</v>
      </c>
      <c r="F13" s="9" t="s">
        <v>53</v>
      </c>
      <c r="G13" s="9" t="s">
        <v>54</v>
      </c>
      <c r="H13" s="10" t="s">
        <v>5</v>
      </c>
      <c r="I13" s="10" t="s">
        <v>29</v>
      </c>
      <c r="J13" s="10" t="s">
        <v>29</v>
      </c>
      <c r="K13" s="10" t="s">
        <v>29</v>
      </c>
      <c r="L13" s="10" t="s">
        <v>29</v>
      </c>
      <c r="M13" s="10" t="s">
        <v>29</v>
      </c>
      <c r="N13" s="10" t="s">
        <v>55</v>
      </c>
      <c r="O13" s="9"/>
      <c r="P13" s="9" t="s">
        <v>168</v>
      </c>
      <c r="Q13" s="9" t="s">
        <v>821</v>
      </c>
      <c r="R13" s="9"/>
      <c r="S13" s="9"/>
      <c r="T13" s="9" t="s">
        <v>56</v>
      </c>
      <c r="U13"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3" s="9" t="s">
        <v>29</v>
      </c>
      <c r="W13" s="9" t="s">
        <v>29</v>
      </c>
      <c r="X13" s="10">
        <v>100</v>
      </c>
      <c r="Y13" s="19" t="s">
        <v>169</v>
      </c>
      <c r="Z13" s="19" t="s">
        <v>170</v>
      </c>
      <c r="AA13" s="10">
        <v>2</v>
      </c>
      <c r="AB13" s="10">
        <v>50</v>
      </c>
      <c r="AC13" s="12">
        <v>3582810365724</v>
      </c>
      <c r="AD13" s="10" t="s">
        <v>125</v>
      </c>
      <c r="AE13" s="10" t="s">
        <v>822</v>
      </c>
      <c r="AF13" s="10" t="s">
        <v>822</v>
      </c>
      <c r="AG13" s="10" t="s">
        <v>823</v>
      </c>
      <c r="AH13" s="20" t="s">
        <v>54</v>
      </c>
      <c r="AI13" s="54" t="s">
        <v>776</v>
      </c>
      <c r="AJ13" s="54" t="s">
        <v>776</v>
      </c>
      <c r="AK13" s="55">
        <v>45687</v>
      </c>
      <c r="AL13" s="10"/>
      <c r="AM13" s="10">
        <v>25015</v>
      </c>
      <c r="AN13" s="10"/>
      <c r="AO13" s="10"/>
      <c r="AP13" s="10"/>
      <c r="AQ13" s="51" t="s">
        <v>166</v>
      </c>
      <c r="AR13" s="51"/>
      <c r="AS13" s="16" t="s">
        <v>1563</v>
      </c>
      <c r="AT13" s="87" t="s">
        <v>1302</v>
      </c>
      <c r="AU13" s="63" t="s">
        <v>1544</v>
      </c>
      <c r="AV13" s="63" t="s">
        <v>145</v>
      </c>
      <c r="AW13" s="52"/>
      <c r="AX13" s="51"/>
      <c r="AY13" s="51"/>
      <c r="AZ13" s="51"/>
      <c r="BA13" s="51"/>
      <c r="BB13" s="51"/>
      <c r="BC13" s="51"/>
      <c r="BD13" s="51"/>
      <c r="BE13" s="51"/>
      <c r="BF13" s="92"/>
      <c r="BG13" s="92"/>
      <c r="BH13" s="92"/>
      <c r="BI13" s="92"/>
      <c r="BJ13" s="92"/>
      <c r="BK13" s="92"/>
      <c r="BL13" s="92"/>
      <c r="BN13" s="7" t="str">
        <f>IF(IFERROR(FIND("romatis",TableauJDG[[#This Row],[TYPE DE THÉ FR]]),0)=0,"","aromatisé")</f>
        <v/>
      </c>
      <c r="BV13" s="10" t="str">
        <f t="shared" si="0"/>
        <v>Véritable concentré aromatique et fruit d’un savoir-faire unique, le gyokuro est un thé vert ombré d’une finesse inégalable qui fait la fierté des producteurs japonais. Ses fines feuilles d’une belle couleur émeraude offrent une infusion soyeuse au</v>
      </c>
      <c r="BW13" s="10" t="str">
        <f t="shared" si="1"/>
        <v>x notes lactées, fruitées et végétales intenses.</v>
      </c>
      <c r="BX13" s="10" t="str">
        <f t="shared" si="2"/>
        <v/>
      </c>
      <c r="BY13" s="10" t="str">
        <f t="shared" si="3"/>
        <v/>
      </c>
      <c r="BZ13" s="10" t="str">
        <f t="shared" si="4"/>
        <v>Ingrédient : thé vert*. *Issu de l'agriculture biologique.</v>
      </c>
      <c r="CA13" s="10" t="str">
        <f t="shared" si="5"/>
        <v/>
      </c>
      <c r="CB13" s="10" t="str">
        <f t="shared" si="6"/>
        <v/>
      </c>
      <c r="CC13" s="10" t="str">
        <f t="shared" si="7"/>
        <v/>
      </c>
      <c r="CD13" s="10" t="str">
        <f t="shared" si="8"/>
        <v>/</v>
      </c>
      <c r="CE13" s="10" t="str">
        <f t="shared" si="9"/>
        <v/>
      </c>
      <c r="CF13" s="10" t="str">
        <f t="shared" si="10"/>
        <v/>
      </c>
      <c r="CG13" s="10" t="str">
        <f t="shared" si="11"/>
        <v/>
      </c>
      <c r="CH13" s="10" t="str">
        <f t="shared" si="12"/>
        <v>/</v>
      </c>
      <c r="CI13" s="10" t="str">
        <f t="shared" si="13"/>
        <v/>
      </c>
      <c r="CJ13" s="10" t="str">
        <f t="shared" si="14"/>
        <v/>
      </c>
      <c r="CK13" s="10" t="str">
        <f t="shared" si="15"/>
        <v/>
      </c>
      <c r="CL13" s="10" t="str">
        <f t="shared" si="16"/>
        <v>A true aromatic concentrate and the fruit of unique know-how, gyokuro is a shaded green tea of unrivalled finesse that is the pride of Japanese producers. Its fine, emerald-coloured leaves offer a silky infusion with intense milky, fruity and vegeta</v>
      </c>
      <c r="CM13" s="10" t="str">
        <f t="shared" si="17"/>
        <v>l notes.</v>
      </c>
      <c r="CN13" s="10" t="str">
        <f t="shared" si="18"/>
        <v/>
      </c>
      <c r="CO13" s="10" t="str">
        <f t="shared" si="19"/>
        <v/>
      </c>
      <c r="CP13" s="10" t="str">
        <f t="shared" si="20"/>
        <v>Ingredient: green tea*. *From organic farming.</v>
      </c>
      <c r="CQ13" s="10" t="str">
        <f t="shared" si="21"/>
        <v/>
      </c>
      <c r="CR13" s="10" t="str">
        <f t="shared" si="22"/>
        <v/>
      </c>
      <c r="CS13" s="10" t="str">
        <f t="shared" si="23"/>
        <v/>
      </c>
      <c r="CT13" s="10" t="str">
        <f t="shared" si="24"/>
        <v/>
      </c>
      <c r="CU13" s="10" t="str">
        <f t="shared" si="25"/>
        <v/>
      </c>
      <c r="CV13" s="10" t="str">
        <f t="shared" si="26"/>
        <v/>
      </c>
      <c r="CW13" s="10" t="str">
        <f t="shared" si="27"/>
        <v/>
      </c>
    </row>
    <row r="14" spans="1:101" ht="100.8">
      <c r="A14" s="129" t="s">
        <v>172</v>
      </c>
      <c r="B14" s="9" t="s">
        <v>26</v>
      </c>
      <c r="C14" s="9"/>
      <c r="D14" s="8" t="s">
        <v>166</v>
      </c>
      <c r="E14" s="9" t="s">
        <v>167</v>
      </c>
      <c r="F14" s="9" t="s">
        <v>53</v>
      </c>
      <c r="G14" s="9" t="s">
        <v>54</v>
      </c>
      <c r="H14" s="10" t="s">
        <v>5</v>
      </c>
      <c r="I14" s="10" t="s">
        <v>29</v>
      </c>
      <c r="J14" s="10" t="s">
        <v>29</v>
      </c>
      <c r="K14" s="10" t="s">
        <v>29</v>
      </c>
      <c r="L14" s="10" t="s">
        <v>29</v>
      </c>
      <c r="M14" s="10" t="s">
        <v>29</v>
      </c>
      <c r="N14" s="10" t="s">
        <v>55</v>
      </c>
      <c r="O14" s="9"/>
      <c r="P14" s="9" t="s">
        <v>168</v>
      </c>
      <c r="Q14" s="9" t="s">
        <v>821</v>
      </c>
      <c r="R14" s="9"/>
      <c r="S14" s="9"/>
      <c r="T14" s="9" t="s">
        <v>56</v>
      </c>
      <c r="U14"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4" s="9" t="s">
        <v>29</v>
      </c>
      <c r="W14" s="9" t="s">
        <v>29</v>
      </c>
      <c r="X14" s="10">
        <v>50</v>
      </c>
      <c r="Y14" s="19" t="s">
        <v>169</v>
      </c>
      <c r="Z14" s="19" t="s">
        <v>170</v>
      </c>
      <c r="AA14" s="10">
        <v>2</v>
      </c>
      <c r="AB14" s="10">
        <v>25</v>
      </c>
      <c r="AC14" s="12">
        <v>3582810365762</v>
      </c>
      <c r="AD14" s="10" t="s">
        <v>125</v>
      </c>
      <c r="AE14" s="10" t="s">
        <v>822</v>
      </c>
      <c r="AF14" s="10" t="s">
        <v>822</v>
      </c>
      <c r="AG14" s="10" t="s">
        <v>824</v>
      </c>
      <c r="AH14" s="20" t="s">
        <v>54</v>
      </c>
      <c r="AI14" s="10"/>
      <c r="AJ14" s="54" t="s">
        <v>776</v>
      </c>
      <c r="AK14" s="55">
        <v>45687</v>
      </c>
      <c r="AL14" s="10"/>
      <c r="AM14" s="10"/>
      <c r="AN14" s="10"/>
      <c r="AO14" s="10"/>
      <c r="AP14" s="10"/>
      <c r="AQ14" s="51" t="s">
        <v>166</v>
      </c>
      <c r="AR14" s="51"/>
      <c r="AS14" s="16" t="s">
        <v>1563</v>
      </c>
      <c r="AT14" s="87" t="s">
        <v>1302</v>
      </c>
      <c r="AU14" s="63" t="s">
        <v>1544</v>
      </c>
      <c r="AV14" s="63" t="s">
        <v>145</v>
      </c>
      <c r="AW14" s="52"/>
      <c r="AX14" s="51"/>
      <c r="AY14" s="51"/>
      <c r="AZ14" s="51"/>
      <c r="BA14" s="51"/>
      <c r="BB14" s="51"/>
      <c r="BC14" s="51"/>
      <c r="BD14" s="51"/>
      <c r="BE14" s="51"/>
      <c r="BF14" s="92"/>
      <c r="BG14" s="92"/>
      <c r="BH14" s="92"/>
      <c r="BI14" s="92"/>
      <c r="BJ14" s="92"/>
      <c r="BK14" s="92"/>
      <c r="BL14" s="92"/>
      <c r="BN14" s="7" t="str">
        <f>IF(IFERROR(FIND("romatis",TableauJDG[[#This Row],[TYPE DE THÉ FR]]),0)=0,"","aromatisé")</f>
        <v/>
      </c>
      <c r="BV14" s="10" t="str">
        <f t="shared" si="0"/>
        <v>Véritable concentré aromatique et fruit d’un savoir-faire unique, le gyokuro est un thé vert ombré d’une finesse inégalable qui fait la fierté des producteurs japonais. Ses fines feuilles d’une belle couleur émeraude offrent une infusion soyeuse au</v>
      </c>
      <c r="BW14" s="10" t="str">
        <f t="shared" si="1"/>
        <v>x notes lactées, fruitées et végétales intenses.</v>
      </c>
      <c r="BX14" s="10" t="str">
        <f t="shared" si="2"/>
        <v/>
      </c>
      <c r="BY14" s="10" t="str">
        <f t="shared" si="3"/>
        <v/>
      </c>
      <c r="BZ14" s="10" t="str">
        <f t="shared" si="4"/>
        <v>Ingrédient : thé vert*. *Issu de l'agriculture biologique.</v>
      </c>
      <c r="CA14" s="10" t="str">
        <f t="shared" si="5"/>
        <v/>
      </c>
      <c r="CB14" s="10" t="str">
        <f t="shared" si="6"/>
        <v/>
      </c>
      <c r="CC14" s="10" t="str">
        <f t="shared" si="7"/>
        <v/>
      </c>
      <c r="CD14" s="10" t="str">
        <f t="shared" si="8"/>
        <v>/</v>
      </c>
      <c r="CE14" s="10" t="str">
        <f t="shared" si="9"/>
        <v/>
      </c>
      <c r="CF14" s="10" t="str">
        <f t="shared" si="10"/>
        <v/>
      </c>
      <c r="CG14" s="10" t="str">
        <f t="shared" si="11"/>
        <v/>
      </c>
      <c r="CH14" s="10" t="str">
        <f t="shared" si="12"/>
        <v>/</v>
      </c>
      <c r="CI14" s="10" t="str">
        <f t="shared" si="13"/>
        <v/>
      </c>
      <c r="CJ14" s="10" t="str">
        <f t="shared" si="14"/>
        <v/>
      </c>
      <c r="CK14" s="10" t="str">
        <f t="shared" si="15"/>
        <v/>
      </c>
      <c r="CL14" s="10" t="str">
        <f t="shared" si="16"/>
        <v>A true aromatic concentrate and the fruit of unique know-how, gyokuro is a shaded green tea of unrivalled finesse that is the pride of Japanese producers. Its fine, emerald-coloured leaves offer a silky infusion with intense milky, fruity and vegeta</v>
      </c>
      <c r="CM14" s="10" t="str">
        <f t="shared" si="17"/>
        <v>l notes.</v>
      </c>
      <c r="CN14" s="10" t="str">
        <f t="shared" si="18"/>
        <v/>
      </c>
      <c r="CO14" s="10" t="str">
        <f t="shared" si="19"/>
        <v/>
      </c>
      <c r="CP14" s="10" t="str">
        <f t="shared" si="20"/>
        <v>Ingredient: green tea*. *From organic farming.</v>
      </c>
      <c r="CQ14" s="10" t="str">
        <f t="shared" si="21"/>
        <v/>
      </c>
      <c r="CR14" s="10" t="str">
        <f t="shared" si="22"/>
        <v/>
      </c>
      <c r="CS14" s="10" t="str">
        <f t="shared" si="23"/>
        <v/>
      </c>
      <c r="CT14" s="10" t="str">
        <f t="shared" si="24"/>
        <v/>
      </c>
      <c r="CU14" s="10" t="str">
        <f t="shared" si="25"/>
        <v/>
      </c>
      <c r="CV14" s="10" t="str">
        <f t="shared" si="26"/>
        <v/>
      </c>
      <c r="CW14" s="10" t="str">
        <f t="shared" si="27"/>
        <v/>
      </c>
    </row>
    <row r="15" spans="1:101" ht="72">
      <c r="A15" s="129" t="s">
        <v>176</v>
      </c>
      <c r="B15" s="9" t="s">
        <v>26</v>
      </c>
      <c r="C15" s="9"/>
      <c r="D15" s="8" t="s">
        <v>173</v>
      </c>
      <c r="E15" s="9" t="s">
        <v>174</v>
      </c>
      <c r="F15" s="9" t="s">
        <v>44</v>
      </c>
      <c r="G15" s="9" t="s">
        <v>45</v>
      </c>
      <c r="H15" s="10" t="s">
        <v>5</v>
      </c>
      <c r="I15" s="10" t="s">
        <v>6</v>
      </c>
      <c r="J15" s="10" t="s">
        <v>29</v>
      </c>
      <c r="K15" s="10" t="s">
        <v>29</v>
      </c>
      <c r="L15" s="10" t="s">
        <v>29</v>
      </c>
      <c r="M15" s="10" t="s">
        <v>29</v>
      </c>
      <c r="N15" s="10" t="s">
        <v>37</v>
      </c>
      <c r="O15" s="9"/>
      <c r="P15" s="9" t="s">
        <v>175</v>
      </c>
      <c r="Q15" s="9" t="s">
        <v>825</v>
      </c>
      <c r="R15" s="9"/>
      <c r="S15" s="9"/>
      <c r="T15" s="9" t="s">
        <v>826</v>
      </c>
      <c r="U15"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5" s="9" t="s">
        <v>29</v>
      </c>
      <c r="W15" s="9" t="s">
        <v>31</v>
      </c>
      <c r="X15" s="10">
        <v>100</v>
      </c>
      <c r="Y15" s="11" t="s">
        <v>42</v>
      </c>
      <c r="Z15" s="19">
        <v>95</v>
      </c>
      <c r="AA15" s="10">
        <v>2</v>
      </c>
      <c r="AB15" s="10">
        <v>50</v>
      </c>
      <c r="AC15" s="12">
        <v>3582810921623</v>
      </c>
      <c r="AD15" s="10" t="s">
        <v>29</v>
      </c>
      <c r="AE15" s="10" t="s">
        <v>177</v>
      </c>
      <c r="AF15" s="10" t="s">
        <v>827</v>
      </c>
      <c r="AG15" s="10" t="s">
        <v>828</v>
      </c>
      <c r="AH15" s="20" t="s">
        <v>38</v>
      </c>
      <c r="AI15" s="54" t="s">
        <v>776</v>
      </c>
      <c r="AJ15" s="54" t="s">
        <v>776</v>
      </c>
      <c r="AK15" s="55">
        <v>45645</v>
      </c>
      <c r="AL15" s="10"/>
      <c r="AM15" s="10">
        <v>24353</v>
      </c>
      <c r="AN15" s="10"/>
      <c r="AO15" s="50"/>
      <c r="AP15" s="50"/>
      <c r="AQ15" s="51" t="s">
        <v>173</v>
      </c>
      <c r="AR15" s="51" t="s">
        <v>1523</v>
      </c>
      <c r="AS15" s="16" t="s">
        <v>1556</v>
      </c>
      <c r="AT15" s="87" t="e">
        <f>VLOOKUP(A15,TRADS,14,0)</f>
        <v>#REF!</v>
      </c>
      <c r="AU15" s="63" t="s">
        <v>1524</v>
      </c>
      <c r="AV15" s="52" t="s">
        <v>1525</v>
      </c>
      <c r="AW15" s="52"/>
      <c r="AX15" s="68" t="s">
        <v>29</v>
      </c>
      <c r="AY15" s="51"/>
      <c r="AZ15" s="51"/>
      <c r="BA15" s="51"/>
      <c r="BB15" s="51"/>
      <c r="BC15" s="51"/>
      <c r="BD15" s="51"/>
      <c r="BE15" s="51"/>
      <c r="BF15" s="92"/>
      <c r="BG15" s="92"/>
      <c r="BH15" s="92"/>
      <c r="BI15" s="92"/>
      <c r="BJ15" s="92"/>
      <c r="BK15" s="92"/>
      <c r="BL15" s="92"/>
      <c r="BN15" s="7" t="str">
        <f>IF(IFERROR(FIND("romatis",TableauJDG[[#This Row],[TYPE DE THÉ FR]]),0)=0,"","aromatisé")</f>
        <v>aromatisé</v>
      </c>
      <c r="BV15" s="10" t="str">
        <f t="shared" si="0"/>
        <v>Avec ses saveurs chaudes et gourmandes à la fois épicées et fruitées, ce rooibos va vous ensorceler dès la première gorgée ! L’association des notes fruitées de l’orange avec la douceur de la cannelle sur le fond boisé et vanillé du rooibos est tou</v>
      </c>
      <c r="BW15" s="10" t="str">
        <f t="shared" si="1"/>
        <v>t simplement irrésistible…</v>
      </c>
      <c r="BX15" s="10" t="str">
        <f t="shared" si="2"/>
        <v/>
      </c>
      <c r="BY15" s="10" t="str">
        <f t="shared" si="3"/>
        <v/>
      </c>
      <c r="BZ15" s="10" t="str">
        <f t="shared" si="4"/>
        <v>Ingrédients : rooibos*, morceaux de carottes*, morceaux de cannelle* 4%, huile essentielle d’orange* 2%, écorces d’orange* 2%, extrait de cannelle* 0,5%, pétales de soucis*. *Issu de l’agriculture biologique.</v>
      </c>
      <c r="CA15" s="10" t="str">
        <f t="shared" si="5"/>
        <v/>
      </c>
      <c r="CB15" s="10" t="str">
        <f t="shared" si="6"/>
        <v/>
      </c>
      <c r="CC15" s="10" t="str">
        <f t="shared" si="7"/>
        <v/>
      </c>
      <c r="CD15" s="10" t="str">
        <f t="shared" si="8"/>
        <v>/</v>
      </c>
      <c r="CE15" s="10" t="str">
        <f t="shared" si="9"/>
        <v/>
      </c>
      <c r="CF15" s="10" t="str">
        <f t="shared" si="10"/>
        <v/>
      </c>
      <c r="CG15" s="10" t="str">
        <f t="shared" si="11"/>
        <v/>
      </c>
      <c r="CH15" s="10" t="str">
        <f t="shared" si="12"/>
        <v>Membre certifié World Fair Trade Organization, Les Jardins de Gaïa s’engagent pour un commerce plus juste et répondent aux exigences du commerce équitable. Pour en savoir plus : www.wfto.com.</v>
      </c>
      <c r="CI15" s="10" t="str">
        <f t="shared" si="13"/>
        <v/>
      </c>
      <c r="CJ15" s="10" t="str">
        <f t="shared" si="14"/>
        <v/>
      </c>
      <c r="CK15" s="10" t="str">
        <f t="shared" si="15"/>
        <v/>
      </c>
      <c r="CL15" s="10" t="str">
        <f t="shared" si="16"/>
        <v>With its warm, gourmet flavours, both spicy and fruity, this rooibos will enchant you from the very first sip! The combination of the fruity notes of orange with the sweetness of cinnamon and the woody, vanilla background of rooibos is simply irresis</v>
      </c>
      <c r="CM15" s="10" t="str">
        <f t="shared" si="17"/>
        <v>tible...</v>
      </c>
      <c r="CN15" s="10" t="str">
        <f t="shared" si="18"/>
        <v/>
      </c>
      <c r="CO15" s="10" t="str">
        <f t="shared" si="19"/>
        <v/>
      </c>
      <c r="CP15" s="10" t="str">
        <f t="shared" si="20"/>
        <v>Ingredients: rooibos*, carrot pieces*, cinnamon pieces* 4%, orange essential oil* 2%, orange peels* 2%, cinnamon extract* 0.5%, marigold petals*. *From organic farming.</v>
      </c>
      <c r="CQ15" s="10" t="str">
        <f t="shared" si="21"/>
        <v/>
      </c>
      <c r="CR15" s="10" t="str">
        <f t="shared" si="22"/>
        <v/>
      </c>
      <c r="CS15" s="10" t="str">
        <f t="shared" si="23"/>
        <v/>
      </c>
      <c r="CT15" s="10" t="str">
        <f t="shared" si="24"/>
        <v>/</v>
      </c>
      <c r="CU15" s="10" t="str">
        <f t="shared" si="25"/>
        <v/>
      </c>
      <c r="CV15" s="10" t="str">
        <f t="shared" si="26"/>
        <v/>
      </c>
      <c r="CW15" s="10" t="str">
        <f t="shared" si="27"/>
        <v/>
      </c>
    </row>
    <row r="16" spans="1:101" ht="87.6">
      <c r="A16" s="129" t="s">
        <v>178</v>
      </c>
      <c r="B16" s="9" t="s">
        <v>777</v>
      </c>
      <c r="C16" s="9" t="s">
        <v>39</v>
      </c>
      <c r="D16" s="8" t="s">
        <v>179</v>
      </c>
      <c r="E16" s="9" t="s">
        <v>180</v>
      </c>
      <c r="F16" s="9" t="s">
        <v>40</v>
      </c>
      <c r="G16" s="56" t="s">
        <v>29</v>
      </c>
      <c r="H16" s="10" t="s">
        <v>5</v>
      </c>
      <c r="I16" s="10" t="s">
        <v>29</v>
      </c>
      <c r="J16" s="10" t="s">
        <v>29</v>
      </c>
      <c r="K16" s="10" t="s">
        <v>29</v>
      </c>
      <c r="L16" s="10" t="s">
        <v>29</v>
      </c>
      <c r="M16" s="10" t="s">
        <v>29</v>
      </c>
      <c r="N16" s="10" t="s">
        <v>84</v>
      </c>
      <c r="O16" s="9"/>
      <c r="P16" s="9" t="s">
        <v>181</v>
      </c>
      <c r="Q16" s="9" t="s">
        <v>829</v>
      </c>
      <c r="R16" s="9"/>
      <c r="S16" s="9"/>
      <c r="T16" s="9" t="s">
        <v>182</v>
      </c>
      <c r="U16"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6" s="9" t="s">
        <v>41</v>
      </c>
      <c r="W16" s="9" t="s">
        <v>29</v>
      </c>
      <c r="X16" s="10">
        <v>50</v>
      </c>
      <c r="Y16" s="11" t="s">
        <v>42</v>
      </c>
      <c r="Z16" s="19">
        <v>95</v>
      </c>
      <c r="AA16" s="10">
        <v>2</v>
      </c>
      <c r="AB16" s="12">
        <v>25</v>
      </c>
      <c r="AC16" s="12">
        <v>3582811007012</v>
      </c>
      <c r="AD16" s="10" t="s">
        <v>29</v>
      </c>
      <c r="AE16" s="10" t="s">
        <v>830</v>
      </c>
      <c r="AF16" s="10" t="s">
        <v>830</v>
      </c>
      <c r="AG16" s="10" t="s">
        <v>29</v>
      </c>
      <c r="AH16" s="20"/>
      <c r="AI16" s="54" t="s">
        <v>776</v>
      </c>
      <c r="AJ16" s="54" t="s">
        <v>776</v>
      </c>
      <c r="AK16" s="55">
        <v>45771</v>
      </c>
      <c r="AL16" s="10" t="s">
        <v>774</v>
      </c>
      <c r="AM16" s="10"/>
      <c r="AN16" s="10"/>
      <c r="AO16" s="10"/>
      <c r="AP16" s="10"/>
      <c r="AQ16" s="51" t="s">
        <v>1445</v>
      </c>
      <c r="AR16" s="51" t="s">
        <v>1759</v>
      </c>
      <c r="AS16" s="84" t="s">
        <v>1552</v>
      </c>
      <c r="AT16" s="9" t="s">
        <v>29</v>
      </c>
      <c r="AU16" s="86" t="s">
        <v>1446</v>
      </c>
      <c r="AV16" s="17" t="s">
        <v>1758</v>
      </c>
      <c r="AW16" s="52"/>
      <c r="AX16" s="51"/>
      <c r="AY16" s="51"/>
      <c r="AZ16" s="51"/>
      <c r="BA16" s="51"/>
      <c r="BB16" s="51"/>
      <c r="BC16" s="51"/>
      <c r="BD16" s="51"/>
      <c r="BE16" s="51"/>
      <c r="BF16" s="92"/>
      <c r="BG16" s="92"/>
      <c r="BH16" s="92"/>
      <c r="BI16" s="92"/>
      <c r="BJ16" s="92"/>
      <c r="BK16" s="92"/>
      <c r="BL16" s="92"/>
      <c r="BN16" s="7" t="str">
        <f>IF(IFERROR(FIND("romatis",TableauJDG[[#This Row],[TYPE DE THÉ FR]]),0)=0,"","aromatisé")</f>
        <v/>
      </c>
      <c r="BV16" s="10" t="str">
        <f t="shared" si="0"/>
        <v>Cette jolie tisane digestive au goût rond, fruité et anisé, est une petite astuce quotidienne pour dompter et rendre joyeux les ventres rebelles ! Pour se sentir libre et léger comme l’air.</v>
      </c>
      <c r="BW16" s="10" t="str">
        <f t="shared" si="1"/>
        <v/>
      </c>
      <c r="BX16" s="10" t="str">
        <f t="shared" si="2"/>
        <v/>
      </c>
      <c r="BY16" s="10" t="str">
        <f t="shared" si="3"/>
        <v/>
      </c>
      <c r="BZ16" s="10" t="str">
        <f t="shared" si="4"/>
        <v>Ingrédients : pétales de mauve* 25% (Malva sylvestris), mélisse* (Melissa officinalis), menthe douce* 20% (Mentha spicata), crapaudine de Grèce* (Sideritis scardica), achillée millefeuille* (Achillea millefolium), pétales de souci* (Calendula officin</v>
      </c>
      <c r="CA16" s="10" t="str">
        <f t="shared" si="5"/>
        <v>alis). *Issu de l’agriculture biologique.</v>
      </c>
      <c r="CB16" s="10" t="str">
        <f t="shared" si="6"/>
        <v/>
      </c>
      <c r="CC16" s="10" t="str">
        <f t="shared" si="7"/>
        <v/>
      </c>
      <c r="CD16" s="10" t="str">
        <f t="shared" si="8"/>
        <v>Consommation journalière conseillée : 3 tasses de 25 cl.
Il est recommandé d'adopter un mode de vie sain et une alimentation variée et équilibrée pour profiter pleinement des vertus de cette infusion. Informations nutritionnelles moyennes pour 100 m</v>
      </c>
      <c r="CE16" s="10" t="str">
        <f t="shared" si="9"/>
        <v>l : Énergie 3 kJ/1 kcal. Cette infusion contient des quantités négligeables de matières grasses dont acides gras saturés, de glucides dont sucres, de protéines et de sel.</v>
      </c>
      <c r="CF16" s="10" t="str">
        <f t="shared" si="10"/>
        <v/>
      </c>
      <c r="CG16" s="10" t="str">
        <f t="shared" si="11"/>
        <v/>
      </c>
      <c r="CH16" s="10" t="str">
        <f t="shared" si="12"/>
        <v>/</v>
      </c>
      <c r="CI16" s="10" t="str">
        <f t="shared" si="13"/>
        <v/>
      </c>
      <c r="CJ16" s="10" t="str">
        <f t="shared" si="14"/>
        <v/>
      </c>
      <c r="CK16" s="10" t="str">
        <f t="shared" si="15"/>
        <v/>
      </c>
      <c r="CL16" s="10" t="str">
        <f t="shared" si="16"/>
        <v>This pretty digestive herbal tea, with its round, fruity, aniseed taste, is a little daily trick to tame rebellious tummies and make them happy! Feel free and light as air.</v>
      </c>
      <c r="CM16" s="10" t="str">
        <f t="shared" si="17"/>
        <v/>
      </c>
      <c r="CN16" s="10" t="str">
        <f t="shared" si="18"/>
        <v/>
      </c>
      <c r="CO16" s="10" t="str">
        <f t="shared" si="19"/>
        <v/>
      </c>
      <c r="CP16" s="10" t="str">
        <f t="shared" si="20"/>
        <v>Ingredients: mallow petals* 25% (Malva sylvestris), lemon balm* (Melissa officinalis), spearmint* 20% (Mentha spicata), ironwort* (Sideritis scardica), yarrow* (Achillea millefolium), marigold petals* (Calendula officinalis). *From organic farming.</v>
      </c>
      <c r="CQ16" s="10" t="str">
        <f t="shared" si="21"/>
        <v/>
      </c>
      <c r="CR16" s="10" t="str">
        <f t="shared" si="22"/>
        <v/>
      </c>
      <c r="CS16" s="10" t="str">
        <f t="shared" si="23"/>
        <v/>
      </c>
      <c r="CT16" s="10" t="str">
        <f t="shared" si="24"/>
        <v/>
      </c>
      <c r="CU16" s="10" t="str">
        <f t="shared" si="25"/>
        <v/>
      </c>
      <c r="CV16" s="10" t="str">
        <f t="shared" si="26"/>
        <v/>
      </c>
      <c r="CW16" s="10" t="str">
        <f t="shared" si="27"/>
        <v/>
      </c>
    </row>
    <row r="17" spans="1:101" ht="115.2">
      <c r="A17" s="128" t="s">
        <v>186</v>
      </c>
      <c r="B17" s="9" t="s">
        <v>777</v>
      </c>
      <c r="C17" s="9" t="s">
        <v>39</v>
      </c>
      <c r="D17" s="8" t="s">
        <v>187</v>
      </c>
      <c r="E17" s="9" t="s">
        <v>831</v>
      </c>
      <c r="F17" s="9" t="s">
        <v>86</v>
      </c>
      <c r="G17" s="33" t="s">
        <v>1810</v>
      </c>
      <c r="H17" s="10" t="s">
        <v>5</v>
      </c>
      <c r="I17" s="10" t="s">
        <v>6</v>
      </c>
      <c r="J17" s="10" t="s">
        <v>29</v>
      </c>
      <c r="K17" s="10" t="s">
        <v>29</v>
      </c>
      <c r="L17" s="10" t="s">
        <v>29</v>
      </c>
      <c r="M17" s="10" t="s">
        <v>29</v>
      </c>
      <c r="N17" s="10" t="s">
        <v>46</v>
      </c>
      <c r="O17" s="9"/>
      <c r="P17" s="9" t="s">
        <v>183</v>
      </c>
      <c r="Q17" s="9" t="s">
        <v>832</v>
      </c>
      <c r="R17" s="9"/>
      <c r="S17" s="9"/>
      <c r="T17" s="9" t="s">
        <v>184</v>
      </c>
      <c r="U17"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7" s="9" t="s">
        <v>41</v>
      </c>
      <c r="W17" s="9" t="s">
        <v>31</v>
      </c>
      <c r="X17" s="10">
        <v>100</v>
      </c>
      <c r="Y17" s="11" t="s">
        <v>185</v>
      </c>
      <c r="Z17" s="19">
        <v>95</v>
      </c>
      <c r="AA17" s="10">
        <v>2</v>
      </c>
      <c r="AB17" s="10">
        <v>50</v>
      </c>
      <c r="AC17" s="12">
        <v>3582810115022</v>
      </c>
      <c r="AD17" s="10" t="s">
        <v>29</v>
      </c>
      <c r="AE17" s="10" t="s">
        <v>833</v>
      </c>
      <c r="AF17" s="10" t="s">
        <v>833</v>
      </c>
      <c r="AG17" s="10" t="s">
        <v>29</v>
      </c>
      <c r="AH17" s="20"/>
      <c r="AI17" s="54" t="s">
        <v>776</v>
      </c>
      <c r="AJ17" s="54" t="s">
        <v>776</v>
      </c>
      <c r="AK17" s="55">
        <v>45742</v>
      </c>
      <c r="AL17" s="10"/>
      <c r="AM17" s="10"/>
      <c r="AN17" s="10"/>
      <c r="AO17" s="50" t="s">
        <v>774</v>
      </c>
      <c r="AP17" s="50" t="s">
        <v>1580</v>
      </c>
      <c r="AQ17" s="51" t="s">
        <v>187</v>
      </c>
      <c r="AR17" s="51" t="s">
        <v>1281</v>
      </c>
      <c r="AS17" s="87" t="s">
        <v>1552</v>
      </c>
      <c r="AT17" s="87"/>
      <c r="AU17" s="87" t="s">
        <v>1719</v>
      </c>
      <c r="AV17" s="87" t="s">
        <v>1407</v>
      </c>
      <c r="AW17" s="87"/>
      <c r="AX17" s="116" t="s">
        <v>1817</v>
      </c>
      <c r="AY17" s="51" t="s">
        <v>1282</v>
      </c>
      <c r="AZ17" s="51" t="s">
        <v>1283</v>
      </c>
      <c r="BA17" s="51">
        <v>0</v>
      </c>
      <c r="BB17" s="51" t="s">
        <v>1642</v>
      </c>
      <c r="BC17" s="51" t="s">
        <v>1572</v>
      </c>
      <c r="BD17" s="51" t="s">
        <v>1280</v>
      </c>
      <c r="BE17" s="51"/>
      <c r="BF17" s="92"/>
      <c r="BG17" s="92"/>
      <c r="BH17" s="92"/>
      <c r="BI17" s="92"/>
      <c r="BJ17" s="92"/>
      <c r="BK17" s="92"/>
      <c r="BL17" s="92"/>
      <c r="BN17" s="7" t="str">
        <f>IF(IFERROR(FIND("romatis",TableauJDG[[#This Row],[TYPE DE THÉ FR]]),0)=0,"","aromatisé")</f>
        <v/>
      </c>
      <c r="BV17" s="10" t="str">
        <f t="shared" si="0"/>
        <v>Récoltées par de petits producteurs africains, ces fleurs d’hibiscus sont à l’origine du fameux "bissap", une infusion rouge grenat qui concentre les bienfaits. Désaltérante, revitalisante et drainante, elle s’apprécie chaude ou glacée et permet l’él</v>
      </c>
      <c r="BW17" s="10" t="str">
        <f t="shared" si="1"/>
        <v>aboration de délicieux cocktails !</v>
      </c>
      <c r="BX17" s="10" t="str">
        <f t="shared" si="2"/>
        <v/>
      </c>
      <c r="BY17" s="10" t="str">
        <f t="shared" si="3"/>
        <v/>
      </c>
      <c r="BZ17" s="10" t="str">
        <f t="shared" si="4"/>
        <v>Ingrédient : hibiscus* (Hibiscus sabdariffa). *Issu de l’agriculture biologique.</v>
      </c>
      <c r="CA17" s="10" t="str">
        <f t="shared" si="5"/>
        <v/>
      </c>
      <c r="CB17" s="10" t="str">
        <f t="shared" si="6"/>
        <v/>
      </c>
      <c r="CC17" s="10" t="str">
        <f t="shared" si="7"/>
        <v/>
      </c>
      <c r="CD17" s="10" t="str">
        <f t="shared" si="8"/>
        <v>Consommation journalière conseillée : 3 tasses de 25 cl.
Il est recommandé d'adopter un mode de vie sain et une alimentation variée et équilibrée pour profiter pleinement des vertus de cette infusion. Informations nutritionnelles moyennes pour 100 m</v>
      </c>
      <c r="CE17" s="10" t="str">
        <f t="shared" si="9"/>
        <v>l : Énergie 3 kJ/1 kcal. Cette infusion contient des quantités négligeables de matières grasses dont acides gras saturés, de glucides dont sucres, de protéines et de sel.</v>
      </c>
      <c r="CF17" s="10" t="str">
        <f t="shared" si="10"/>
        <v/>
      </c>
      <c r="CG17" s="10" t="str">
        <f t="shared" si="11"/>
        <v/>
      </c>
      <c r="CH17" s="10" t="str">
        <f t="shared" si="12"/>
        <v>Membre certifié World Fair Trade Organization, Les Jardins de Gaïa s’engagent pour un commerce plus juste et répondent aux exigences du commerce équitable. Pour en savoir plus : www.wfto.com.</v>
      </c>
      <c r="CI17" s="10" t="str">
        <f t="shared" si="13"/>
        <v/>
      </c>
      <c r="CJ17" s="10" t="str">
        <f t="shared" si="14"/>
        <v/>
      </c>
      <c r="CK17" s="10" t="str">
        <f t="shared" si="15"/>
        <v/>
      </c>
      <c r="CL17" s="10" t="str">
        <f t="shared" si="16"/>
        <v>Harvested by small-scale African growers, these hibiscus flowers are the source of the famous "bissap", a garnet-red infusion that concentrates all its benefits. Thirst-quenching, revitalizing and cleansing, it can be enjoyed hot or iced, and makes d</v>
      </c>
      <c r="CM17" s="10" t="str">
        <f t="shared" si="17"/>
        <v>elicious cocktails!</v>
      </c>
      <c r="CN17" s="10" t="str">
        <f t="shared" si="18"/>
        <v/>
      </c>
      <c r="CO17" s="10" t="str">
        <f t="shared" si="19"/>
        <v/>
      </c>
      <c r="CP17" s="10" t="str">
        <f t="shared" si="20"/>
        <v>Ingredient: hibiscus* (Hibiscus sabdariffa). *From organic farming.</v>
      </c>
      <c r="CQ17" s="10" t="str">
        <f t="shared" si="21"/>
        <v/>
      </c>
      <c r="CR17" s="10" t="str">
        <f t="shared" si="22"/>
        <v/>
      </c>
      <c r="CS17" s="10" t="str">
        <f t="shared" si="23"/>
        <v/>
      </c>
      <c r="CT17" s="10" t="str">
        <f t="shared" si="24"/>
        <v>Recommended daily consumption: 3 cups of 25 cl. A healthy lifestyle and a varied, balanced diet are recommended to fully benefit from the properties of this infusion. Average nutritional information per 100 ml: Energy 3 kJ/1 kcal. This herbal tea con</v>
      </c>
      <c r="CU17" s="10" t="str">
        <f t="shared" si="25"/>
        <v>tains negligible amounts of fats (including saturated fats), carbohydrates (including sugars), proteins and salt.</v>
      </c>
      <c r="CV17" s="10" t="str">
        <f t="shared" si="26"/>
        <v/>
      </c>
      <c r="CW17" s="10" t="str">
        <f t="shared" si="27"/>
        <v/>
      </c>
    </row>
    <row r="18" spans="1:101" ht="93.6">
      <c r="A18" s="129" t="s">
        <v>191</v>
      </c>
      <c r="B18" s="9" t="s">
        <v>26</v>
      </c>
      <c r="C18" s="9"/>
      <c r="D18" s="31" t="s">
        <v>188</v>
      </c>
      <c r="E18" s="9" t="s">
        <v>189</v>
      </c>
      <c r="F18" s="9" t="s">
        <v>27</v>
      </c>
      <c r="G18" s="9" t="s">
        <v>126</v>
      </c>
      <c r="H18" s="10" t="s">
        <v>5</v>
      </c>
      <c r="I18" s="10" t="s">
        <v>6</v>
      </c>
      <c r="J18" s="59" t="s">
        <v>29</v>
      </c>
      <c r="K18" s="10" t="s">
        <v>29</v>
      </c>
      <c r="L18" s="10" t="s">
        <v>29</v>
      </c>
      <c r="M18" s="10" t="s">
        <v>29</v>
      </c>
      <c r="N18" s="10" t="s">
        <v>127</v>
      </c>
      <c r="O18" s="9"/>
      <c r="P18" s="9" t="s">
        <v>190</v>
      </c>
      <c r="Q18" s="9" t="s">
        <v>834</v>
      </c>
      <c r="R18" s="9"/>
      <c r="S18" s="9"/>
      <c r="T18" s="24" t="s">
        <v>69</v>
      </c>
      <c r="U18" s="24"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8" s="9" t="s">
        <v>29</v>
      </c>
      <c r="W18" s="9" t="s">
        <v>31</v>
      </c>
      <c r="X18" s="10">
        <v>100</v>
      </c>
      <c r="Y18" s="11" t="s">
        <v>32</v>
      </c>
      <c r="Z18" s="19">
        <v>90</v>
      </c>
      <c r="AA18" s="10">
        <v>2</v>
      </c>
      <c r="AB18" s="10">
        <v>50</v>
      </c>
      <c r="AC18" s="12">
        <v>3582810253625</v>
      </c>
      <c r="AD18" s="10" t="s">
        <v>29</v>
      </c>
      <c r="AE18" s="10" t="s">
        <v>192</v>
      </c>
      <c r="AF18" s="10" t="s">
        <v>835</v>
      </c>
      <c r="AG18" s="10" t="s">
        <v>836</v>
      </c>
      <c r="AH18" s="20" t="s">
        <v>128</v>
      </c>
      <c r="AI18" s="54" t="s">
        <v>776</v>
      </c>
      <c r="AJ18" s="54" t="s">
        <v>776</v>
      </c>
      <c r="AK18" s="55">
        <v>45740</v>
      </c>
      <c r="AL18" s="10"/>
      <c r="AM18" s="10">
        <v>25076</v>
      </c>
      <c r="AN18" s="10"/>
      <c r="AO18" s="10"/>
      <c r="AP18" s="10"/>
      <c r="AQ18" s="51" t="s">
        <v>188</v>
      </c>
      <c r="AR18" s="51" t="s">
        <v>189</v>
      </c>
      <c r="AS18" s="82" t="s">
        <v>1562</v>
      </c>
      <c r="AT18" s="82" t="s">
        <v>126</v>
      </c>
      <c r="AU18" s="96" t="s">
        <v>1502</v>
      </c>
      <c r="AV18" s="82" t="s">
        <v>741</v>
      </c>
      <c r="AW18" s="52"/>
      <c r="AX18" s="51"/>
      <c r="AY18" s="51"/>
      <c r="AZ18" s="51"/>
      <c r="BA18" s="51"/>
      <c r="BB18" s="51"/>
      <c r="BC18" s="51"/>
      <c r="BD18" s="51"/>
      <c r="BE18" s="51"/>
      <c r="BF18" s="92"/>
      <c r="BG18" s="92"/>
      <c r="BH18" s="92"/>
      <c r="BI18" s="92"/>
      <c r="BJ18" s="92"/>
      <c r="BK18" s="92"/>
      <c r="BL18" s="92"/>
      <c r="BN18" s="7" t="str">
        <f>IF(IFERROR(FIND("romatis",TableauJDG[[#This Row],[TYPE DE THÉ FR]]),0)=0,"","aromatisé")</f>
        <v/>
      </c>
      <c r="BV18" s="10" t="str">
        <f t="shared" si="0"/>
        <v>Portant la signature des thés de haute montagne de Ceylan, ce thé en feuilles brisées (broken) de la province d’UVA offre une infusion intense d’une belle teinte cuivrée et brillante. Savoureuse et corsée, elle convient pour le petit déjeuner et peu</v>
      </c>
      <c r="BW18" s="10" t="str">
        <f t="shared" si="1"/>
        <v>t être adoucie avec un nuage de lait ou de crème.</v>
      </c>
      <c r="BX18" s="10" t="str">
        <f t="shared" si="2"/>
        <v/>
      </c>
      <c r="BY18" s="10" t="str">
        <f t="shared" si="3"/>
        <v/>
      </c>
      <c r="BZ18" s="10" t="str">
        <f t="shared" si="4"/>
        <v>Ingrédient : thé noir*. *Issu de l'agriculture biologique.</v>
      </c>
      <c r="CA18" s="10" t="str">
        <f t="shared" si="5"/>
        <v/>
      </c>
      <c r="CB18" s="10" t="str">
        <f t="shared" si="6"/>
        <v/>
      </c>
      <c r="CC18" s="10" t="str">
        <f t="shared" si="7"/>
        <v/>
      </c>
      <c r="CD18" s="10" t="str">
        <f t="shared" si="8"/>
        <v>/</v>
      </c>
      <c r="CE18" s="10" t="str">
        <f t="shared" si="9"/>
        <v/>
      </c>
      <c r="CF18" s="10" t="str">
        <f t="shared" si="10"/>
        <v/>
      </c>
      <c r="CG18" s="10" t="str">
        <f t="shared" si="11"/>
        <v/>
      </c>
      <c r="CH18" s="10" t="str">
        <f t="shared" si="12"/>
        <v>Membre certifié World Fair Trade Organization, Les Jardins de Gaïa s’engagent pour un commerce plus juste et répondent aux exigences du commerce équitable. Pour en savoir plus : www.wfto.com.</v>
      </c>
      <c r="CI18" s="10" t="str">
        <f t="shared" si="13"/>
        <v/>
      </c>
      <c r="CJ18" s="10" t="str">
        <f t="shared" si="14"/>
        <v/>
      </c>
      <c r="CK18" s="10" t="str">
        <f t="shared" si="15"/>
        <v/>
      </c>
      <c r="CL18" s="10" t="str">
        <f t="shared" si="16"/>
        <v>Bearing the signature of Ceylon's high mountain teas, this broken-leaf tea from the UVA province offers an intense infusion with a beautiful, bright copper hue. Tasty and full-bodied, it is ideal for breakfast, and can be sweetened with a splash of m</v>
      </c>
      <c r="CM18" s="10" t="str">
        <f t="shared" si="17"/>
        <v>ilk or cream.</v>
      </c>
      <c r="CN18" s="10" t="str">
        <f t="shared" si="18"/>
        <v/>
      </c>
      <c r="CO18" s="10" t="str">
        <f t="shared" si="19"/>
        <v/>
      </c>
      <c r="CP18" s="10" t="str">
        <f t="shared" si="20"/>
        <v>Ingredient: black tea*. *From organic farming.</v>
      </c>
      <c r="CQ18" s="10" t="str">
        <f t="shared" si="21"/>
        <v/>
      </c>
      <c r="CR18" s="10" t="str">
        <f t="shared" si="22"/>
        <v/>
      </c>
      <c r="CS18" s="10" t="str">
        <f t="shared" si="23"/>
        <v/>
      </c>
      <c r="CT18" s="10" t="str">
        <f t="shared" si="24"/>
        <v/>
      </c>
      <c r="CU18" s="10" t="str">
        <f t="shared" si="25"/>
        <v/>
      </c>
      <c r="CV18" s="10" t="str">
        <f t="shared" si="26"/>
        <v/>
      </c>
      <c r="CW18" s="10" t="str">
        <f t="shared" si="27"/>
        <v/>
      </c>
    </row>
    <row r="19" spans="1:101" ht="93.6">
      <c r="A19" s="129" t="s">
        <v>194</v>
      </c>
      <c r="B19" s="9" t="s">
        <v>782</v>
      </c>
      <c r="C19" s="29" t="s">
        <v>1766</v>
      </c>
      <c r="D19" s="21" t="s">
        <v>1776</v>
      </c>
      <c r="E19" s="29" t="s">
        <v>1778</v>
      </c>
      <c r="F19" s="9" t="s">
        <v>89</v>
      </c>
      <c r="G19" s="9" t="s">
        <v>1779</v>
      </c>
      <c r="H19" s="10" t="s">
        <v>5</v>
      </c>
      <c r="I19" s="10" t="s">
        <v>6</v>
      </c>
      <c r="J19" s="10" t="s">
        <v>29</v>
      </c>
      <c r="K19" s="10" t="s">
        <v>29</v>
      </c>
      <c r="L19" s="10" t="s">
        <v>9</v>
      </c>
      <c r="M19" s="10" t="s">
        <v>29</v>
      </c>
      <c r="N19" s="10" t="s">
        <v>30</v>
      </c>
      <c r="O19" s="9"/>
      <c r="P19" s="9"/>
      <c r="Q19" s="118" t="s">
        <v>1780</v>
      </c>
      <c r="R19" s="119" t="s">
        <v>1781</v>
      </c>
      <c r="S19" s="9"/>
      <c r="T19" s="9" t="s">
        <v>69</v>
      </c>
      <c r="U19"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9" s="9" t="s">
        <v>29</v>
      </c>
      <c r="W19" s="9" t="s">
        <v>31</v>
      </c>
      <c r="X19" s="10">
        <v>50</v>
      </c>
      <c r="Y19" s="11" t="s">
        <v>32</v>
      </c>
      <c r="Z19" s="19" t="s">
        <v>66</v>
      </c>
      <c r="AA19" s="10">
        <v>2</v>
      </c>
      <c r="AB19" s="10">
        <v>25</v>
      </c>
      <c r="AC19" s="12">
        <v>3582810221563</v>
      </c>
      <c r="AD19" s="10" t="s">
        <v>29</v>
      </c>
      <c r="AE19" s="10" t="s">
        <v>195</v>
      </c>
      <c r="AF19" s="10" t="s">
        <v>837</v>
      </c>
      <c r="AG19" s="10" t="s">
        <v>52</v>
      </c>
      <c r="AH19" s="20" t="s">
        <v>193</v>
      </c>
      <c r="AI19" s="10"/>
      <c r="AJ19" s="54" t="s">
        <v>776</v>
      </c>
      <c r="AK19" s="10"/>
      <c r="AL19" s="10"/>
      <c r="AM19" s="10"/>
      <c r="AN19" s="10"/>
      <c r="AO19" s="10"/>
      <c r="AP19" s="10"/>
      <c r="AQ19" s="51"/>
      <c r="AR19" s="51"/>
      <c r="AS19" s="51"/>
      <c r="AT19" s="51"/>
      <c r="AU19" s="65" t="s">
        <v>1788</v>
      </c>
      <c r="AV19" s="52"/>
      <c r="AW19" s="52"/>
      <c r="AX19" s="51"/>
      <c r="AY19" s="51"/>
      <c r="AZ19" s="51"/>
      <c r="BA19" s="51"/>
      <c r="BB19" s="51"/>
      <c r="BC19" s="51"/>
      <c r="BD19" s="51"/>
      <c r="BE19" s="51"/>
      <c r="BF19" s="92"/>
      <c r="BG19" s="92"/>
      <c r="BH19" s="92"/>
      <c r="BI19" s="92"/>
      <c r="BJ19" s="92"/>
      <c r="BK19" s="92"/>
      <c r="BL19" s="92"/>
      <c r="BN19" s="7" t="str">
        <f>IF(IFERROR(FIND("romatis",TableauJDG[[#This Row],[TYPE DE THÉ FR]]),0)=0,"","aromatisé")</f>
        <v/>
      </c>
      <c r="BV19" s="10" t="str">
        <f t="shared" si="0"/>
        <v>Les petites feuilles aux nuances vertes et dorées, agrémentées de pointes duvetées de ce thé noir offrent la vivacité des excellents primeurs du Darjeeling. Sa liqueur veloutée évoque le sirop d’orgeat et les baies de genévrier sur un fond de bois ve</v>
      </c>
      <c r="BW19" s="10" t="str">
        <f t="shared" si="1"/>
        <v>rt. Un secret gourmand qui se dévoile à chaque gorgée…</v>
      </c>
      <c r="BX19" s="10" t="str">
        <f t="shared" si="2"/>
        <v/>
      </c>
      <c r="BY19" s="10" t="str">
        <f t="shared" si="3"/>
        <v/>
      </c>
      <c r="BZ19" s="10" t="str">
        <f t="shared" si="4"/>
        <v>Ingrédient : thé noir*. *Issu de l'agriculture biologique.</v>
      </c>
      <c r="CA19" s="10" t="str">
        <f t="shared" si="5"/>
        <v/>
      </c>
      <c r="CB19" s="10" t="str">
        <f t="shared" si="6"/>
        <v/>
      </c>
      <c r="CC19" s="10" t="str">
        <f t="shared" si="7"/>
        <v/>
      </c>
      <c r="CD19" s="10" t="str">
        <f t="shared" si="8"/>
        <v>/</v>
      </c>
      <c r="CE19" s="10" t="str">
        <f t="shared" si="9"/>
        <v/>
      </c>
      <c r="CF19" s="10" t="str">
        <f t="shared" si="10"/>
        <v/>
      </c>
      <c r="CG19" s="10" t="str">
        <f t="shared" si="11"/>
        <v/>
      </c>
      <c r="CH19" s="10" t="str">
        <f t="shared" si="12"/>
        <v>Membre certifié World Fair Trade Organization, Les Jardins de Gaïa s’engagent pour un commerce plus juste et répondent aux exigences du commerce équitable. Pour en savoir plus : www.wfto.com.</v>
      </c>
      <c r="CI19" s="10" t="str">
        <f t="shared" si="13"/>
        <v/>
      </c>
      <c r="CJ19" s="10" t="str">
        <f t="shared" si="14"/>
        <v/>
      </c>
      <c r="CK19" s="10" t="str">
        <f t="shared" si="15"/>
        <v/>
      </c>
      <c r="CL19" s="10" t="str">
        <f t="shared" si="16"/>
        <v>Fine early tea, complex and gourmet, the fruit of manual manufacturing. Notes: orgeat syrup, juniper berries, green wood background.</v>
      </c>
      <c r="CM19" s="10" t="str">
        <f t="shared" si="17"/>
        <v/>
      </c>
      <c r="CN19" s="10" t="str">
        <f t="shared" si="18"/>
        <v/>
      </c>
      <c r="CO19" s="10" t="str">
        <f t="shared" si="19"/>
        <v/>
      </c>
      <c r="CP19" s="10" t="str">
        <f t="shared" si="20"/>
        <v/>
      </c>
      <c r="CQ19" s="10" t="str">
        <f t="shared" si="21"/>
        <v/>
      </c>
      <c r="CR19" s="10" t="str">
        <f t="shared" si="22"/>
        <v/>
      </c>
      <c r="CS19" s="10" t="str">
        <f t="shared" si="23"/>
        <v/>
      </c>
      <c r="CT19" s="10" t="str">
        <f t="shared" si="24"/>
        <v/>
      </c>
      <c r="CU19" s="10" t="str">
        <f t="shared" si="25"/>
        <v/>
      </c>
      <c r="CV19" s="10" t="str">
        <f t="shared" si="26"/>
        <v/>
      </c>
      <c r="CW19" s="10" t="str">
        <f t="shared" si="27"/>
        <v/>
      </c>
    </row>
    <row r="20" spans="1:101" ht="72">
      <c r="A20" s="130" t="s">
        <v>200</v>
      </c>
      <c r="B20" s="9" t="s">
        <v>26</v>
      </c>
      <c r="C20" s="9"/>
      <c r="D20" s="8" t="s">
        <v>196</v>
      </c>
      <c r="E20" s="9" t="s">
        <v>197</v>
      </c>
      <c r="F20" s="97" t="s">
        <v>198</v>
      </c>
      <c r="G20" s="9" t="s">
        <v>54</v>
      </c>
      <c r="H20" s="10" t="s">
        <v>5</v>
      </c>
      <c r="I20" s="10" t="s">
        <v>29</v>
      </c>
      <c r="J20" s="10" t="s">
        <v>29</v>
      </c>
      <c r="K20" s="10" t="s">
        <v>29</v>
      </c>
      <c r="L20" s="10" t="s">
        <v>29</v>
      </c>
      <c r="M20" s="10" t="s">
        <v>29</v>
      </c>
      <c r="N20" s="10" t="s">
        <v>55</v>
      </c>
      <c r="O20" s="9"/>
      <c r="P20" s="9" t="s">
        <v>199</v>
      </c>
      <c r="Q20" s="9" t="s">
        <v>838</v>
      </c>
      <c r="R20" s="9"/>
      <c r="S20" s="9"/>
      <c r="T20" s="9" t="s">
        <v>56</v>
      </c>
      <c r="U20"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20" s="9" t="s">
        <v>29</v>
      </c>
      <c r="W20" s="9" t="s">
        <v>29</v>
      </c>
      <c r="X20" s="10">
        <v>100</v>
      </c>
      <c r="Y20" s="19" t="s">
        <v>111</v>
      </c>
      <c r="Z20" s="19">
        <v>80</v>
      </c>
      <c r="AA20" s="10">
        <v>2</v>
      </c>
      <c r="AB20" s="10">
        <v>50</v>
      </c>
      <c r="AC20" s="12">
        <v>3582810310922</v>
      </c>
      <c r="AD20" s="10" t="s">
        <v>29</v>
      </c>
      <c r="AE20" s="10" t="s">
        <v>839</v>
      </c>
      <c r="AF20" s="10" t="s">
        <v>839</v>
      </c>
      <c r="AG20" s="10" t="s">
        <v>840</v>
      </c>
      <c r="AH20" s="20" t="s">
        <v>54</v>
      </c>
      <c r="AI20" s="54" t="s">
        <v>776</v>
      </c>
      <c r="AJ20" s="54" t="s">
        <v>776</v>
      </c>
      <c r="AK20" s="55">
        <v>45638</v>
      </c>
      <c r="AL20" s="10"/>
      <c r="AM20" s="10" t="s">
        <v>43</v>
      </c>
      <c r="AN20" s="10"/>
      <c r="AO20" s="10"/>
      <c r="AP20" s="10"/>
      <c r="AQ20" s="51" t="s">
        <v>196</v>
      </c>
      <c r="AR20" s="51" t="s">
        <v>197</v>
      </c>
      <c r="AS20" s="16" t="s">
        <v>1235</v>
      </c>
      <c r="AT20" s="87" t="e">
        <f>VLOOKUP(A20,TRADS,14,0)</f>
        <v>#REF!</v>
      </c>
      <c r="AU20" s="63" t="s">
        <v>1234</v>
      </c>
      <c r="AV20" s="52" t="s">
        <v>145</v>
      </c>
      <c r="AW20" s="52"/>
      <c r="AX20" s="68" t="s">
        <v>29</v>
      </c>
      <c r="AY20" s="51"/>
      <c r="AZ20" s="51"/>
      <c r="BA20" s="51"/>
      <c r="BB20" s="51"/>
      <c r="BC20" s="51"/>
      <c r="BD20" s="51"/>
      <c r="BE20" s="51"/>
      <c r="BF20" s="92"/>
      <c r="BG20" s="92"/>
      <c r="BH20" s="92"/>
      <c r="BI20" s="92"/>
      <c r="BJ20" s="92"/>
      <c r="BK20" s="92"/>
      <c r="BL20" s="92"/>
      <c r="BN20" s="7" t="str">
        <f>IF(IFERROR(FIND("romatis",TableauJDG[[#This Row],[TYPE DE THÉ FR]]),0)=0,"","aromatisé")</f>
        <v/>
      </c>
      <c r="BV20" s="10" t="str">
        <f t="shared" si="0"/>
        <v>Le hojicha est un thé vert torréfié composé de tiges et de feuilles dont l’infusion libère une liqueur ambrée, au parfum chaud de pain grillé, à la saveur de noisette légèrement sucrée. Thé du quotidien réputé faible en théine, il est particulièremen</v>
      </c>
      <c r="BW20" s="10" t="str">
        <f t="shared" si="1"/>
        <v>t apprécié au Japon en accompagnement d’un repas.</v>
      </c>
      <c r="BX20" s="10" t="str">
        <f t="shared" si="2"/>
        <v/>
      </c>
      <c r="BY20" s="10" t="str">
        <f t="shared" si="3"/>
        <v/>
      </c>
      <c r="BZ20" s="10" t="str">
        <f t="shared" si="4"/>
        <v>Ingrédient : thé vert*. *Issu de l'agriculture biologique.</v>
      </c>
      <c r="CA20" s="10" t="str">
        <f t="shared" si="5"/>
        <v/>
      </c>
      <c r="CB20" s="10" t="str">
        <f t="shared" si="6"/>
        <v/>
      </c>
      <c r="CC20" s="10" t="str">
        <f t="shared" si="7"/>
        <v/>
      </c>
      <c r="CD20" s="10" t="str">
        <f t="shared" si="8"/>
        <v>/</v>
      </c>
      <c r="CE20" s="10" t="str">
        <f t="shared" si="9"/>
        <v/>
      </c>
      <c r="CF20" s="10" t="str">
        <f t="shared" si="10"/>
        <v/>
      </c>
      <c r="CG20" s="10" t="str">
        <f t="shared" si="11"/>
        <v/>
      </c>
      <c r="CH20" s="10" t="str">
        <f t="shared" si="12"/>
        <v>/</v>
      </c>
      <c r="CI20" s="10" t="str">
        <f t="shared" si="13"/>
        <v/>
      </c>
      <c r="CJ20" s="10" t="str">
        <f t="shared" si="14"/>
        <v/>
      </c>
      <c r="CK20" s="10" t="str">
        <f t="shared" si="15"/>
        <v/>
      </c>
      <c r="CL20" s="10" t="str">
        <f t="shared" si="16"/>
        <v>Hojicha is a roasted green tea made from stems and leaves, whose infusion releases an amber brew with a warm, toasty aroma and a slightly sweet, nutty flavour. This everyday tea reputed to be low in theine is particularly appreciated in Japan togethe</v>
      </c>
      <c r="CM20" s="10" t="str">
        <f t="shared" si="17"/>
        <v>r with a meal.</v>
      </c>
      <c r="CN20" s="10" t="str">
        <f t="shared" si="18"/>
        <v/>
      </c>
      <c r="CO20" s="10" t="str">
        <f t="shared" si="19"/>
        <v/>
      </c>
      <c r="CP20" s="10" t="str">
        <f t="shared" si="20"/>
        <v>Ingredient: green tea*. *From organic farming.</v>
      </c>
      <c r="CQ20" s="10" t="str">
        <f t="shared" si="21"/>
        <v/>
      </c>
      <c r="CR20" s="10" t="str">
        <f t="shared" si="22"/>
        <v/>
      </c>
      <c r="CS20" s="10" t="str">
        <f t="shared" si="23"/>
        <v/>
      </c>
      <c r="CT20" s="10" t="str">
        <f t="shared" si="24"/>
        <v>/</v>
      </c>
      <c r="CU20" s="10" t="str">
        <f t="shared" si="25"/>
        <v/>
      </c>
      <c r="CV20" s="10" t="str">
        <f t="shared" si="26"/>
        <v/>
      </c>
      <c r="CW20" s="10" t="str">
        <f t="shared" si="27"/>
        <v/>
      </c>
    </row>
    <row r="21" spans="1:101" ht="115.2">
      <c r="A21" s="129" t="s">
        <v>201</v>
      </c>
      <c r="B21" s="9" t="s">
        <v>26</v>
      </c>
      <c r="C21" s="9"/>
      <c r="D21" s="8" t="s">
        <v>202</v>
      </c>
      <c r="E21" s="9" t="s">
        <v>197</v>
      </c>
      <c r="F21" s="9" t="s">
        <v>198</v>
      </c>
      <c r="G21" s="9" t="s">
        <v>54</v>
      </c>
      <c r="H21" s="10" t="s">
        <v>5</v>
      </c>
      <c r="I21" s="10" t="s">
        <v>29</v>
      </c>
      <c r="J21" s="10" t="s">
        <v>29</v>
      </c>
      <c r="K21" s="10" t="s">
        <v>29</v>
      </c>
      <c r="L21" s="10" t="s">
        <v>29</v>
      </c>
      <c r="M21" s="10" t="s">
        <v>29</v>
      </c>
      <c r="N21" s="10" t="s">
        <v>55</v>
      </c>
      <c r="O21" s="9"/>
      <c r="P21" s="9" t="s">
        <v>203</v>
      </c>
      <c r="Q21" s="9" t="s">
        <v>841</v>
      </c>
      <c r="R21" s="9"/>
      <c r="S21" s="9"/>
      <c r="T21" s="9" t="s">
        <v>204</v>
      </c>
      <c r="U21"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21" s="9" t="s">
        <v>29</v>
      </c>
      <c r="W21" s="9" t="s">
        <v>29</v>
      </c>
      <c r="X21" s="10">
        <v>50</v>
      </c>
      <c r="Y21" s="19" t="s">
        <v>205</v>
      </c>
      <c r="Z21" s="19">
        <v>80</v>
      </c>
      <c r="AA21" s="10">
        <v>2</v>
      </c>
      <c r="AB21" s="10">
        <v>25</v>
      </c>
      <c r="AC21" s="12">
        <v>3582814122668</v>
      </c>
      <c r="AD21" s="10" t="s">
        <v>29</v>
      </c>
      <c r="AE21" s="10" t="s">
        <v>206</v>
      </c>
      <c r="AF21" s="10" t="s">
        <v>842</v>
      </c>
      <c r="AG21" s="10" t="s">
        <v>843</v>
      </c>
      <c r="AH21" s="20" t="s">
        <v>207</v>
      </c>
      <c r="AI21" s="10"/>
      <c r="AJ21" s="10"/>
      <c r="AK21" s="10"/>
      <c r="AL21" s="10"/>
      <c r="AM21" s="10"/>
      <c r="AN21" s="10"/>
      <c r="AO21" s="10"/>
      <c r="AP21" s="10"/>
      <c r="AQ21" s="51"/>
      <c r="AR21" s="51"/>
      <c r="AS21" s="51"/>
      <c r="AT21" s="51"/>
      <c r="AU21" s="51"/>
      <c r="AV21" s="52"/>
      <c r="AW21" s="52"/>
      <c r="AX21" s="51"/>
      <c r="AY21" s="51"/>
      <c r="AZ21" s="51"/>
      <c r="BA21" s="51"/>
      <c r="BB21" s="51"/>
      <c r="BC21" s="51"/>
      <c r="BD21" s="51"/>
      <c r="BE21" s="51"/>
      <c r="BF21" s="92"/>
      <c r="BG21" s="92"/>
      <c r="BH21" s="92"/>
      <c r="BI21" s="92"/>
      <c r="BJ21" s="92"/>
      <c r="BK21" s="92"/>
      <c r="BL21" s="92"/>
      <c r="BN21" s="7" t="str">
        <f>IF(IFERROR(FIND("romatis",TableauJDG[[#This Row],[TYPE DE THÉ FR]]),0)=0,"","aromatisé")</f>
        <v/>
      </c>
      <c r="BV21" s="10" t="str">
        <f t="shared" si="0"/>
        <v>Ce hojicha en poudre qui peut se préparer et se déguster à la manière d’un matcha permet également d’aromatiser facilement sauces, cocktails et autres gâteaux avec les saveurs chaudes du thé vert torréfié japonais. Ses notes de céréales grillées et d</v>
      </c>
      <c r="BW21" s="10" t="str">
        <f t="shared" si="1"/>
        <v>e cacahuète sont particulièrement gourmandes.</v>
      </c>
      <c r="BX21" s="10" t="str">
        <f t="shared" si="2"/>
        <v/>
      </c>
      <c r="BY21" s="10" t="str">
        <f t="shared" si="3"/>
        <v/>
      </c>
      <c r="BZ21" s="10" t="str">
        <f t="shared" si="4"/>
        <v xml:space="preserve">Ingrédient : thé vert en poudre*. *Issu de l'agriculture biologique. </v>
      </c>
      <c r="CA21" s="10" t="str">
        <f t="shared" si="5"/>
        <v/>
      </c>
      <c r="CB21" s="10" t="str">
        <f t="shared" si="6"/>
        <v/>
      </c>
      <c r="CC21" s="10" t="str">
        <f t="shared" si="7"/>
        <v/>
      </c>
      <c r="CD21" s="10" t="str">
        <f t="shared" si="8"/>
        <v>/</v>
      </c>
      <c r="CE21" s="10" t="str">
        <f t="shared" si="9"/>
        <v/>
      </c>
      <c r="CF21" s="10" t="str">
        <f t="shared" si="10"/>
        <v/>
      </c>
      <c r="CG21" s="10" t="str">
        <f t="shared" si="11"/>
        <v/>
      </c>
      <c r="CH21" s="10" t="str">
        <f t="shared" si="12"/>
        <v>/</v>
      </c>
      <c r="CI21" s="10" t="str">
        <f t="shared" si="13"/>
        <v/>
      </c>
      <c r="CJ21" s="10" t="str">
        <f t="shared" si="14"/>
        <v/>
      </c>
      <c r="CK21" s="10" t="str">
        <f t="shared" si="15"/>
        <v/>
      </c>
      <c r="CL21" s="10" t="str">
        <f t="shared" si="16"/>
        <v/>
      </c>
      <c r="CM21" s="10" t="str">
        <f t="shared" si="17"/>
        <v/>
      </c>
      <c r="CN21" s="10" t="str">
        <f t="shared" si="18"/>
        <v/>
      </c>
      <c r="CO21" s="10" t="str">
        <f t="shared" si="19"/>
        <v/>
      </c>
      <c r="CP21" s="10" t="str">
        <f t="shared" si="20"/>
        <v/>
      </c>
      <c r="CQ21" s="10" t="str">
        <f t="shared" si="21"/>
        <v/>
      </c>
      <c r="CR21" s="10" t="str">
        <f t="shared" si="22"/>
        <v/>
      </c>
      <c r="CS21" s="10" t="str">
        <f t="shared" si="23"/>
        <v/>
      </c>
      <c r="CT21" s="10" t="str">
        <f t="shared" si="24"/>
        <v/>
      </c>
      <c r="CU21" s="10" t="str">
        <f t="shared" si="25"/>
        <v/>
      </c>
      <c r="CV21" s="10" t="str">
        <f t="shared" si="26"/>
        <v/>
      </c>
      <c r="CW21" s="10" t="str">
        <f t="shared" si="27"/>
        <v/>
      </c>
    </row>
    <row r="22" spans="1:101" ht="93.6">
      <c r="A22" s="129" t="s">
        <v>211</v>
      </c>
      <c r="B22" s="9" t="s">
        <v>26</v>
      </c>
      <c r="C22" s="9"/>
      <c r="D22" s="8" t="s">
        <v>208</v>
      </c>
      <c r="E22" s="9" t="s">
        <v>117</v>
      </c>
      <c r="F22" s="9" t="s">
        <v>118</v>
      </c>
      <c r="G22" s="9" t="s">
        <v>45</v>
      </c>
      <c r="H22" s="10" t="s">
        <v>5</v>
      </c>
      <c r="I22" s="10" t="s">
        <v>29</v>
      </c>
      <c r="J22" s="10" t="s">
        <v>29</v>
      </c>
      <c r="K22" s="10" t="s">
        <v>29</v>
      </c>
      <c r="L22" s="10" t="s">
        <v>29</v>
      </c>
      <c r="M22" s="10" t="s">
        <v>29</v>
      </c>
      <c r="N22" s="10" t="s">
        <v>119</v>
      </c>
      <c r="O22" s="9"/>
      <c r="P22" s="9" t="s">
        <v>209</v>
      </c>
      <c r="Q22" s="9" t="s">
        <v>844</v>
      </c>
      <c r="R22" s="9"/>
      <c r="S22" s="9"/>
      <c r="T22" s="9" t="s">
        <v>210</v>
      </c>
      <c r="U22"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22" s="9" t="s">
        <v>29</v>
      </c>
      <c r="W22" s="9" t="s">
        <v>29</v>
      </c>
      <c r="X22" s="10">
        <v>100</v>
      </c>
      <c r="Y22" s="11" t="s">
        <v>100</v>
      </c>
      <c r="Z22" s="19">
        <v>95</v>
      </c>
      <c r="AA22" s="10">
        <v>2</v>
      </c>
      <c r="AB22" s="10">
        <v>50</v>
      </c>
      <c r="AC22" s="12">
        <v>3582812417025</v>
      </c>
      <c r="AD22" s="10" t="s">
        <v>29</v>
      </c>
      <c r="AE22" s="10" t="s">
        <v>212</v>
      </c>
      <c r="AF22" s="10" t="s">
        <v>845</v>
      </c>
      <c r="AG22" s="10" t="s">
        <v>846</v>
      </c>
      <c r="AH22" s="20"/>
      <c r="AI22" s="54" t="s">
        <v>776</v>
      </c>
      <c r="AJ22" s="54" t="s">
        <v>776</v>
      </c>
      <c r="AK22" s="55">
        <v>45688</v>
      </c>
      <c r="AL22" s="10"/>
      <c r="AM22" s="10">
        <v>25017</v>
      </c>
      <c r="AN22" s="10"/>
      <c r="AO22" s="10"/>
      <c r="AP22" s="10"/>
      <c r="AQ22" s="51" t="s">
        <v>208</v>
      </c>
      <c r="AR22" s="51" t="s">
        <v>117</v>
      </c>
      <c r="AS22" s="84" t="s">
        <v>1552</v>
      </c>
      <c r="AT22" s="82" t="s">
        <v>1297</v>
      </c>
      <c r="AU22" s="96" t="s">
        <v>1298</v>
      </c>
      <c r="AV22" s="82" t="s">
        <v>1299</v>
      </c>
      <c r="AW22" s="52"/>
      <c r="AX22" s="51"/>
      <c r="AY22" s="51"/>
      <c r="AZ22" s="51"/>
      <c r="BA22" s="51"/>
      <c r="BB22" s="51"/>
      <c r="BC22" s="51"/>
      <c r="BD22" s="51"/>
      <c r="BE22" s="51"/>
      <c r="BF22" s="92"/>
      <c r="BG22" s="92"/>
      <c r="BH22" s="92"/>
      <c r="BI22" s="92"/>
      <c r="BJ22" s="92"/>
      <c r="BK22" s="92"/>
      <c r="BL22" s="92"/>
      <c r="BN22" s="7" t="str">
        <f>IF(IFERROR(FIND("romatis",TableauJDG[[#This Row],[TYPE DE THÉ FR]]),0)=0,"","aromatisé")</f>
        <v/>
      </c>
      <c r="BV22" s="10" t="str">
        <f t="shared" si="0"/>
        <v>Arbuste endémique d’Afrique du Sud, le honeybush, cousin du rooibos, suit un processus de fabrication semblable à ce dernier. Son infusion de couleur dorée est caractérisée par des arômes floraux intenses et des saveurs complexes et gourmandes de mie</v>
      </c>
      <c r="BW22" s="10" t="str">
        <f t="shared" si="1"/>
        <v>l de montagne. Une douceur pour les papilles !</v>
      </c>
      <c r="BX22" s="10" t="str">
        <f t="shared" si="2"/>
        <v/>
      </c>
      <c r="BY22" s="10" t="str">
        <f t="shared" si="3"/>
        <v/>
      </c>
      <c r="BZ22" s="10" t="str">
        <f t="shared" si="4"/>
        <v>Ingrédient : honeybush*. *Issu de l'agriculture biologique.</v>
      </c>
      <c r="CA22" s="10" t="str">
        <f t="shared" si="5"/>
        <v/>
      </c>
      <c r="CB22" s="10" t="str">
        <f t="shared" si="6"/>
        <v/>
      </c>
      <c r="CC22" s="10" t="str">
        <f t="shared" si="7"/>
        <v/>
      </c>
      <c r="CD22" s="10" t="str">
        <f t="shared" si="8"/>
        <v>/</v>
      </c>
      <c r="CE22" s="10" t="str">
        <f t="shared" si="9"/>
        <v/>
      </c>
      <c r="CF22" s="10" t="str">
        <f t="shared" si="10"/>
        <v/>
      </c>
      <c r="CG22" s="10" t="str">
        <f t="shared" si="11"/>
        <v/>
      </c>
      <c r="CH22" s="10" t="str">
        <f t="shared" si="12"/>
        <v>/</v>
      </c>
      <c r="CI22" s="10" t="str">
        <f t="shared" si="13"/>
        <v/>
      </c>
      <c r="CJ22" s="10" t="str">
        <f t="shared" si="14"/>
        <v/>
      </c>
      <c r="CK22" s="10" t="str">
        <f t="shared" si="15"/>
        <v/>
      </c>
      <c r="CL22" s="10" t="str">
        <f t="shared" si="16"/>
        <v>A shrub endemic to South Africa, honeybush, a cousin of rooibos, follows a similar production process. Its golden-coloured infusion is characterized by intense floral aromas and complex, sweet mountain honey flavours. A treat for the taste buds!</v>
      </c>
      <c r="CM22" s="10" t="str">
        <f t="shared" si="17"/>
        <v/>
      </c>
      <c r="CN22" s="10" t="str">
        <f t="shared" si="18"/>
        <v/>
      </c>
      <c r="CO22" s="10" t="str">
        <f t="shared" si="19"/>
        <v/>
      </c>
      <c r="CP22" s="10" t="str">
        <f t="shared" si="20"/>
        <v>Ingredient: honeybush*. *From organic farming.</v>
      </c>
      <c r="CQ22" s="10" t="str">
        <f t="shared" si="21"/>
        <v/>
      </c>
      <c r="CR22" s="10" t="str">
        <f t="shared" si="22"/>
        <v/>
      </c>
      <c r="CS22" s="10" t="str">
        <f t="shared" si="23"/>
        <v/>
      </c>
      <c r="CT22" s="10" t="str">
        <f t="shared" si="24"/>
        <v/>
      </c>
      <c r="CU22" s="10" t="str">
        <f t="shared" si="25"/>
        <v/>
      </c>
      <c r="CV22" s="10" t="str">
        <f t="shared" si="26"/>
        <v/>
      </c>
      <c r="CW22" s="10" t="str">
        <f t="shared" si="27"/>
        <v/>
      </c>
    </row>
    <row r="23" spans="1:101" ht="86.4">
      <c r="A23" s="129" t="s">
        <v>217</v>
      </c>
      <c r="B23" s="9" t="s">
        <v>782</v>
      </c>
      <c r="C23" s="9"/>
      <c r="D23" s="8" t="s">
        <v>213</v>
      </c>
      <c r="E23" s="9" t="s">
        <v>214</v>
      </c>
      <c r="F23" s="9" t="s">
        <v>27</v>
      </c>
      <c r="G23" s="9" t="s">
        <v>215</v>
      </c>
      <c r="H23" s="10" t="s">
        <v>5</v>
      </c>
      <c r="I23" s="10" t="s">
        <v>6</v>
      </c>
      <c r="J23" s="10" t="s">
        <v>29</v>
      </c>
      <c r="K23" s="10" t="s">
        <v>29</v>
      </c>
      <c r="L23" s="10" t="s">
        <v>29</v>
      </c>
      <c r="M23" s="10" t="s">
        <v>29</v>
      </c>
      <c r="N23" s="10" t="s">
        <v>47</v>
      </c>
      <c r="O23" s="9"/>
      <c r="P23" s="9" t="s">
        <v>216</v>
      </c>
      <c r="Q23" s="75" t="s">
        <v>1627</v>
      </c>
      <c r="R23" s="75" t="s">
        <v>1626</v>
      </c>
      <c r="S23" s="9"/>
      <c r="T23" s="9" t="s">
        <v>69</v>
      </c>
      <c r="U23"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23" s="9" t="s">
        <v>29</v>
      </c>
      <c r="W23" s="9" t="s">
        <v>31</v>
      </c>
      <c r="X23" s="10">
        <v>80</v>
      </c>
      <c r="Y23" s="11" t="s">
        <v>32</v>
      </c>
      <c r="Z23" s="19">
        <v>90</v>
      </c>
      <c r="AA23" s="10">
        <v>2</v>
      </c>
      <c r="AB23" s="10">
        <v>40</v>
      </c>
      <c r="AC23" s="12">
        <v>3582810210628</v>
      </c>
      <c r="AD23" s="10" t="s">
        <v>29</v>
      </c>
      <c r="AE23" s="10" t="s">
        <v>847</v>
      </c>
      <c r="AF23" s="10" t="s">
        <v>847</v>
      </c>
      <c r="AG23" s="10" t="s">
        <v>52</v>
      </c>
      <c r="AH23" s="20" t="s">
        <v>51</v>
      </c>
      <c r="AI23" s="10"/>
      <c r="AJ23" s="10"/>
      <c r="AK23" s="10"/>
      <c r="AL23" s="10"/>
      <c r="AM23" s="10"/>
      <c r="AN23" s="10"/>
      <c r="AO23" s="10"/>
      <c r="AP23" s="10"/>
      <c r="AQ23" s="51"/>
      <c r="AR23" s="51"/>
      <c r="AS23" s="51"/>
      <c r="AT23" s="51"/>
      <c r="AU23" s="51"/>
      <c r="AV23" s="52"/>
      <c r="AW23" s="52"/>
      <c r="AX23" s="51"/>
      <c r="AY23" s="51"/>
      <c r="AZ23" s="51"/>
      <c r="BA23" s="51"/>
      <c r="BB23" s="51"/>
      <c r="BC23" s="51"/>
      <c r="BD23" s="51"/>
      <c r="BE23" s="51"/>
      <c r="BF23" s="92"/>
      <c r="BG23" s="92"/>
      <c r="BH23" s="92"/>
      <c r="BI23" s="92"/>
      <c r="BJ23" s="92"/>
      <c r="BK23" s="92"/>
      <c r="BL23" s="92"/>
      <c r="BN23" s="7" t="str">
        <f>IF(IFERROR(FIND("romatis",TableauJDG[[#This Row],[TYPE DE THÉ FR]]),0)=0,"","aromatisé")</f>
        <v/>
      </c>
      <c r="BV23" s="10" t="str">
        <f t="shared" si="0"/>
        <v>Délicatement façonné à la manière des légendaires "Bi Luo Chun", ce thé noir est un grand séducteur. Sa liqueur ambrée, douce et d'une belle plénitude libère des arômes fruités de prunes compotées et d’orange délicieusement accompagnée d'une pointe d</v>
      </c>
      <c r="BW23" s="10" t="str">
        <f t="shared" si="1"/>
        <v xml:space="preserve">e moka. Un thé aussi élégant que gourmand.
</v>
      </c>
      <c r="BX23" s="10" t="str">
        <f t="shared" si="2"/>
        <v/>
      </c>
      <c r="BY23" s="10" t="str">
        <f t="shared" si="3"/>
        <v/>
      </c>
      <c r="BZ23" s="10" t="str">
        <f t="shared" si="4"/>
        <v>Ingrédient : thé noir*. *Issu de l'agriculture biologique.</v>
      </c>
      <c r="CA23" s="10" t="str">
        <f t="shared" si="5"/>
        <v/>
      </c>
      <c r="CB23" s="10" t="str">
        <f t="shared" si="6"/>
        <v/>
      </c>
      <c r="CC23" s="10" t="str">
        <f t="shared" si="7"/>
        <v/>
      </c>
      <c r="CD23" s="10" t="str">
        <f t="shared" si="8"/>
        <v>/</v>
      </c>
      <c r="CE23" s="10" t="str">
        <f t="shared" si="9"/>
        <v/>
      </c>
      <c r="CF23" s="10" t="str">
        <f t="shared" si="10"/>
        <v/>
      </c>
      <c r="CG23" s="10" t="str">
        <f t="shared" si="11"/>
        <v/>
      </c>
      <c r="CH23" s="10" t="str">
        <f t="shared" si="12"/>
        <v>Membre certifié World Fair Trade Organization, Les Jardins de Gaïa s’engagent pour un commerce plus juste et répondent aux exigences du commerce équitable. Pour en savoir plus : www.wfto.com.</v>
      </c>
      <c r="CI23" s="10" t="str">
        <f t="shared" si="13"/>
        <v/>
      </c>
      <c r="CJ23" s="10" t="str">
        <f t="shared" si="14"/>
        <v/>
      </c>
      <c r="CK23" s="10" t="str">
        <f t="shared" si="15"/>
        <v/>
      </c>
      <c r="CL23" s="10" t="str">
        <f t="shared" si="16"/>
        <v/>
      </c>
      <c r="CM23" s="10" t="str">
        <f t="shared" si="17"/>
        <v/>
      </c>
      <c r="CN23" s="10" t="str">
        <f t="shared" si="18"/>
        <v/>
      </c>
      <c r="CO23" s="10" t="str">
        <f t="shared" si="19"/>
        <v/>
      </c>
      <c r="CP23" s="10" t="str">
        <f t="shared" si="20"/>
        <v/>
      </c>
      <c r="CQ23" s="10" t="str">
        <f t="shared" si="21"/>
        <v/>
      </c>
      <c r="CR23" s="10" t="str">
        <f t="shared" si="22"/>
        <v/>
      </c>
      <c r="CS23" s="10" t="str">
        <f t="shared" si="23"/>
        <v/>
      </c>
      <c r="CT23" s="10" t="str">
        <f t="shared" si="24"/>
        <v/>
      </c>
      <c r="CU23" s="10" t="str">
        <f t="shared" si="25"/>
        <v/>
      </c>
      <c r="CV23" s="10" t="str">
        <f t="shared" si="26"/>
        <v/>
      </c>
      <c r="CW23" s="10" t="str">
        <f t="shared" si="27"/>
        <v/>
      </c>
    </row>
    <row r="24" spans="1:101" ht="86.4">
      <c r="A24" s="129" t="s">
        <v>223</v>
      </c>
      <c r="B24" s="9" t="s">
        <v>782</v>
      </c>
      <c r="C24" s="29" t="s">
        <v>1785</v>
      </c>
      <c r="D24" s="8" t="s">
        <v>218</v>
      </c>
      <c r="E24" s="9" t="s">
        <v>219</v>
      </c>
      <c r="F24" s="9" t="s">
        <v>220</v>
      </c>
      <c r="G24" s="9" t="s">
        <v>221</v>
      </c>
      <c r="H24" s="10" t="s">
        <v>5</v>
      </c>
      <c r="I24" s="10" t="s">
        <v>6</v>
      </c>
      <c r="J24" s="10" t="s">
        <v>29</v>
      </c>
      <c r="K24" s="10" t="s">
        <v>8</v>
      </c>
      <c r="L24" s="10" t="s">
        <v>29</v>
      </c>
      <c r="M24" s="10" t="s">
        <v>29</v>
      </c>
      <c r="N24" s="10" t="s">
        <v>47</v>
      </c>
      <c r="O24" s="9"/>
      <c r="P24" s="9" t="s">
        <v>848</v>
      </c>
      <c r="Q24" s="121" t="s">
        <v>1790</v>
      </c>
      <c r="R24" s="121" t="s">
        <v>1791</v>
      </c>
      <c r="S24" s="9"/>
      <c r="T24" s="9" t="s">
        <v>222</v>
      </c>
      <c r="U24"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24" s="9" t="s">
        <v>29</v>
      </c>
      <c r="W24" s="9" t="s">
        <v>31</v>
      </c>
      <c r="X24" s="10">
        <v>50</v>
      </c>
      <c r="Y24" s="19" t="s">
        <v>49</v>
      </c>
      <c r="Z24" s="19">
        <v>85</v>
      </c>
      <c r="AA24" s="10">
        <v>2</v>
      </c>
      <c r="AB24" s="10">
        <v>25</v>
      </c>
      <c r="AC24" s="12">
        <v>3582810311363</v>
      </c>
      <c r="AD24" s="10" t="s">
        <v>50</v>
      </c>
      <c r="AE24" s="10" t="s">
        <v>224</v>
      </c>
      <c r="AF24" s="10" t="s">
        <v>849</v>
      </c>
      <c r="AG24" s="10" t="s">
        <v>52</v>
      </c>
      <c r="AH24" s="20" t="s">
        <v>105</v>
      </c>
      <c r="AI24" s="10"/>
      <c r="AJ24" s="54" t="s">
        <v>776</v>
      </c>
      <c r="AK24" s="10"/>
      <c r="AL24" s="10"/>
      <c r="AM24" s="10"/>
      <c r="AN24" s="10"/>
      <c r="AO24" s="10"/>
      <c r="AP24" s="10"/>
      <c r="AQ24" s="51"/>
      <c r="AR24" s="51"/>
      <c r="AS24" s="51"/>
      <c r="AT24" s="51"/>
      <c r="AU24" s="16" t="s">
        <v>1800</v>
      </c>
      <c r="AV24" s="52"/>
      <c r="AW24" s="52" t="s">
        <v>1798</v>
      </c>
      <c r="AX24" s="51"/>
      <c r="AY24" s="51"/>
      <c r="AZ24" s="51"/>
      <c r="BA24" s="51"/>
      <c r="BB24" s="51"/>
      <c r="BC24" s="51"/>
      <c r="BD24" s="51"/>
      <c r="BE24" s="51"/>
      <c r="BF24" s="92"/>
      <c r="BG24" s="92"/>
      <c r="BH24" s="92"/>
      <c r="BI24" s="92"/>
      <c r="BJ24" s="92"/>
      <c r="BK24" s="92"/>
      <c r="BL24" s="92"/>
      <c r="BN24" s="7" t="str">
        <f>IF(IFERROR(FIND("romatis",TableauJDG[[#This Row],[TYPE DE THÉ FR]]),0)=0,"","aromatisé")</f>
        <v/>
      </c>
      <c r="BV24" s="10" t="str">
        <f t="shared" si="0"/>
        <v>Ce thé jaune de montagne est uniquement constitué de bourgeons recouverts d'un beau duvet brillant. Fruits d’un délicat et lent processus d’oxydation, ils offrent une liqueur souple en bouche aux notes de cassonade, de paille et de poire verte. Un th</v>
      </c>
      <c r="BW24" s="10" t="str">
        <f t="shared" si="1"/>
        <v xml:space="preserve">é aussi prestigieux que gourmand !
</v>
      </c>
      <c r="BX24" s="10" t="str">
        <f t="shared" si="2"/>
        <v/>
      </c>
      <c r="BY24" s="10" t="str">
        <f t="shared" si="3"/>
        <v/>
      </c>
      <c r="BZ24" s="10" t="str">
        <f t="shared" si="4"/>
        <v>Ingrédient : thé jaune*. *Issu de l'agriculture biologique.</v>
      </c>
      <c r="CA24" s="10" t="str">
        <f t="shared" si="5"/>
        <v/>
      </c>
      <c r="CB24" s="10" t="str">
        <f t="shared" si="6"/>
        <v/>
      </c>
      <c r="CC24" s="10" t="str">
        <f t="shared" si="7"/>
        <v/>
      </c>
      <c r="CD24" s="10" t="str">
        <f t="shared" si="8"/>
        <v>/</v>
      </c>
      <c r="CE24" s="10" t="str">
        <f t="shared" si="9"/>
        <v/>
      </c>
      <c r="CF24" s="10" t="str">
        <f t="shared" si="10"/>
        <v/>
      </c>
      <c r="CG24" s="10" t="str">
        <f t="shared" si="11"/>
        <v/>
      </c>
      <c r="CH24" s="10" t="str">
        <f t="shared" si="12"/>
        <v>Membre certifié World Fair Trade Organization, Les Jardins de Gaïa s’engagent pour un commerce plus juste et répondent aux exigences du commerce équitable. Pour en savoir plus : www.wfto.com.</v>
      </c>
      <c r="CI24" s="10" t="str">
        <f t="shared" si="13"/>
        <v/>
      </c>
      <c r="CJ24" s="10" t="str">
        <f t="shared" si="14"/>
        <v/>
      </c>
      <c r="CK24" s="10" t="str">
        <f t="shared" si="15"/>
        <v/>
      </c>
      <c r="CL24" s="10" t="str">
        <f t="shared" si="16"/>
        <v>This yellow mountain tea is made exclusively from buds covered with a beautiful, shiny down. The fruit of a delicate, slow oxidation process, they offer a supple liqueur with notes of brown sugar, straw and green pear. A tea as prestigious as it is d</v>
      </c>
      <c r="CM24" s="10" t="str">
        <f t="shared" si="17"/>
        <v>elicious!</v>
      </c>
      <c r="CN24" s="10" t="str">
        <f t="shared" si="18"/>
        <v/>
      </c>
      <c r="CO24" s="10" t="str">
        <f t="shared" si="19"/>
        <v/>
      </c>
      <c r="CP24" s="10" t="str">
        <f t="shared" si="20"/>
        <v/>
      </c>
      <c r="CQ24" s="10" t="str">
        <f t="shared" si="21"/>
        <v/>
      </c>
      <c r="CR24" s="10" t="str">
        <f t="shared" si="22"/>
        <v/>
      </c>
      <c r="CS24" s="10" t="str">
        <f t="shared" si="23"/>
        <v/>
      </c>
      <c r="CT24" s="10" t="str">
        <f t="shared" si="24"/>
        <v/>
      </c>
      <c r="CU24" s="10" t="str">
        <f t="shared" si="25"/>
        <v/>
      </c>
      <c r="CV24" s="10" t="str">
        <f t="shared" si="26"/>
        <v/>
      </c>
      <c r="CW24" s="10" t="str">
        <f t="shared" si="27"/>
        <v/>
      </c>
    </row>
    <row r="25" spans="1:101" ht="72">
      <c r="A25" s="129" t="s">
        <v>232</v>
      </c>
      <c r="B25" s="9" t="s">
        <v>787</v>
      </c>
      <c r="C25" s="9" t="s">
        <v>795</v>
      </c>
      <c r="D25" s="8" t="s">
        <v>225</v>
      </c>
      <c r="E25" s="9" t="s">
        <v>226</v>
      </c>
      <c r="F25" s="9" t="s">
        <v>35</v>
      </c>
      <c r="G25" s="10" t="s">
        <v>61</v>
      </c>
      <c r="H25" s="10" t="s">
        <v>5</v>
      </c>
      <c r="I25" s="10" t="s">
        <v>6</v>
      </c>
      <c r="J25" s="10" t="s">
        <v>29</v>
      </c>
      <c r="K25" s="10" t="s">
        <v>8</v>
      </c>
      <c r="L25" s="10" t="s">
        <v>29</v>
      </c>
      <c r="M25" s="10" t="s">
        <v>29</v>
      </c>
      <c r="N25" s="10" t="s">
        <v>37</v>
      </c>
      <c r="O25" s="9"/>
      <c r="P25" s="9" t="s">
        <v>227</v>
      </c>
      <c r="Q25" s="32" t="s">
        <v>850</v>
      </c>
      <c r="R25" s="32"/>
      <c r="S25" s="39" t="s">
        <v>796</v>
      </c>
      <c r="T25" s="9" t="s">
        <v>228</v>
      </c>
      <c r="U25"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25" s="8" t="s">
        <v>29</v>
      </c>
      <c r="W25" s="9" t="s">
        <v>31</v>
      </c>
      <c r="X25" s="10">
        <v>100</v>
      </c>
      <c r="Y25" s="11" t="s">
        <v>32</v>
      </c>
      <c r="Z25" s="19">
        <v>95</v>
      </c>
      <c r="AA25" s="10">
        <v>2</v>
      </c>
      <c r="AB25" s="12">
        <v>50</v>
      </c>
      <c r="AC25" s="12">
        <v>3582810274026</v>
      </c>
      <c r="AD25" s="10" t="s">
        <v>29</v>
      </c>
      <c r="AE25" s="10" t="s">
        <v>852</v>
      </c>
      <c r="AF25" s="10" t="s">
        <v>852</v>
      </c>
      <c r="AG25" s="10" t="s">
        <v>853</v>
      </c>
      <c r="AH25" s="20" t="s">
        <v>38</v>
      </c>
      <c r="AI25" s="54" t="s">
        <v>776</v>
      </c>
      <c r="AJ25" s="54" t="s">
        <v>776</v>
      </c>
      <c r="AK25" s="55">
        <v>45609</v>
      </c>
      <c r="AL25" s="10"/>
      <c r="AM25" s="54" t="s">
        <v>854</v>
      </c>
      <c r="AN25" s="20"/>
      <c r="AO25" s="50"/>
      <c r="AP25" s="50"/>
      <c r="AQ25" s="51" t="s">
        <v>229</v>
      </c>
      <c r="AR25" s="51" t="s">
        <v>230</v>
      </c>
      <c r="AS25" s="16"/>
      <c r="AT25" s="87" t="e">
        <f>VLOOKUP(A25,TRADS,14,0)</f>
        <v>#REF!</v>
      </c>
      <c r="AU25" s="16" t="s">
        <v>851</v>
      </c>
      <c r="AV25" s="16" t="s">
        <v>231</v>
      </c>
      <c r="AW25" s="16"/>
      <c r="AX25" s="68" t="s">
        <v>29</v>
      </c>
      <c r="AY25" s="51"/>
      <c r="AZ25" s="51"/>
      <c r="BA25" s="51"/>
      <c r="BB25" s="51"/>
      <c r="BC25" s="51"/>
      <c r="BD25" s="51"/>
      <c r="BE25" s="51"/>
      <c r="BF25" s="92"/>
      <c r="BG25" s="92"/>
      <c r="BH25" s="92"/>
      <c r="BI25" s="92"/>
      <c r="BJ25" s="92"/>
      <c r="BK25" s="92"/>
      <c r="BL25" s="92"/>
      <c r="BN25" s="7" t="str">
        <f>IF(IFERROR(FIND("romatis",TableauJDG[[#This Row],[TYPE DE THÉ FR]]),0)=0,"","aromatisé")</f>
        <v>aromatisé</v>
      </c>
      <c r="BV25" s="10" t="str">
        <f t="shared" si="0"/>
        <v>L’infusion aux teintes chaudes de cette recette à base de thé noir issu de théiers anciens du Vietnam est un savoureux hymne à la Terre. Telle une caresse, les saveurs fruitées du duo myrtille-cassis viennent délicatement envelopper le palais. Une gé</v>
      </c>
      <c r="BW25" s="10" t="str">
        <f t="shared" si="1"/>
        <v>nérosité qui s’apprécie à tout instant !</v>
      </c>
      <c r="BX25" s="10" t="str">
        <f t="shared" si="2"/>
        <v/>
      </c>
      <c r="BY25" s="10" t="str">
        <f t="shared" si="3"/>
        <v/>
      </c>
      <c r="BZ25" s="10" t="str">
        <f t="shared" si="4"/>
        <v xml:space="preserve">Ingrédients : thé noir*, arômes naturels de (myrtille*, cassis*) 11%, aronia*, bruyère*, pétales de coquelicot*. * Issu de l'agriculture biologique. </v>
      </c>
      <c r="CA25" s="10" t="str">
        <f t="shared" si="5"/>
        <v/>
      </c>
      <c r="CB25" s="10" t="str">
        <f t="shared" si="6"/>
        <v/>
      </c>
      <c r="CC25" s="10" t="str">
        <f t="shared" si="7"/>
        <v/>
      </c>
      <c r="CD25" s="10" t="str">
        <f t="shared" si="8"/>
        <v>/</v>
      </c>
      <c r="CE25" s="10" t="str">
        <f t="shared" si="9"/>
        <v/>
      </c>
      <c r="CF25" s="10" t="str">
        <f t="shared" si="10"/>
        <v/>
      </c>
      <c r="CG25" s="10" t="str">
        <f t="shared" si="11"/>
        <v/>
      </c>
      <c r="CH25" s="10" t="str">
        <f t="shared" si="12"/>
        <v>Membre certifié World Fair Trade Organization, Les Jardins de Gaïa s’engagent pour un commerce plus juste et répondent aux exigences du commerce équitable. Pour en savoir plus : www.wfto.com.</v>
      </c>
      <c r="CI25" s="10" t="str">
        <f t="shared" si="13"/>
        <v/>
      </c>
      <c r="CJ25" s="10" t="str">
        <f t="shared" si="14"/>
        <v/>
      </c>
      <c r="CK25" s="10" t="str">
        <f t="shared" si="15"/>
        <v/>
      </c>
      <c r="CL25" s="10" t="str">
        <f t="shared" si="16"/>
        <v>The warmly hued infusion of this recipe, made with black tea from ancient Vietnamese tea bushes, is a delicious hymn to the earth. Like a caress, the fruity flavours of the blueberry-cassis duo delicately envelop the palate. A generosity to be enjoye</v>
      </c>
      <c r="CM25" s="10" t="str">
        <f t="shared" si="17"/>
        <v>d at any moment!</v>
      </c>
      <c r="CN25" s="10" t="str">
        <f t="shared" si="18"/>
        <v/>
      </c>
      <c r="CO25" s="10" t="str">
        <f t="shared" si="19"/>
        <v/>
      </c>
      <c r="CP25" s="10" t="str">
        <f t="shared" si="20"/>
        <v>Ingredients: black tea*, natural (blueberry*, blackcurrant*) flavourings 11%, aronia*, heather flowers*, poppy petals*. *From organic farming.</v>
      </c>
      <c r="CQ25" s="10" t="str">
        <f t="shared" si="21"/>
        <v/>
      </c>
      <c r="CR25" s="10" t="str">
        <f t="shared" si="22"/>
        <v/>
      </c>
      <c r="CS25" s="10" t="str">
        <f t="shared" si="23"/>
        <v/>
      </c>
      <c r="CT25" s="10" t="str">
        <f t="shared" si="24"/>
        <v>/</v>
      </c>
      <c r="CU25" s="10" t="str">
        <f t="shared" si="25"/>
        <v/>
      </c>
      <c r="CV25" s="10" t="str">
        <f t="shared" si="26"/>
        <v/>
      </c>
      <c r="CW25" s="10" t="str">
        <f t="shared" si="27"/>
        <v/>
      </c>
    </row>
    <row r="26" spans="1:101" ht="78">
      <c r="A26" s="129" t="s">
        <v>236</v>
      </c>
      <c r="B26" s="9" t="s">
        <v>26</v>
      </c>
      <c r="C26" s="9"/>
      <c r="D26" s="8" t="s">
        <v>233</v>
      </c>
      <c r="E26" s="9" t="s">
        <v>234</v>
      </c>
      <c r="F26" s="9" t="s">
        <v>57</v>
      </c>
      <c r="G26" s="9" t="s">
        <v>93</v>
      </c>
      <c r="H26" s="10" t="s">
        <v>5</v>
      </c>
      <c r="I26" s="10" t="s">
        <v>6</v>
      </c>
      <c r="J26" s="10" t="s">
        <v>29</v>
      </c>
      <c r="K26" s="10" t="s">
        <v>29</v>
      </c>
      <c r="L26" s="10" t="s">
        <v>29</v>
      </c>
      <c r="M26" s="10" t="s">
        <v>29</v>
      </c>
      <c r="N26" s="10" t="s">
        <v>37</v>
      </c>
      <c r="O26" s="9"/>
      <c r="P26" s="9" t="s">
        <v>235</v>
      </c>
      <c r="Q26" s="9" t="s">
        <v>855</v>
      </c>
      <c r="R26" s="9"/>
      <c r="S26" s="9"/>
      <c r="T26" s="9" t="s">
        <v>1761</v>
      </c>
      <c r="U26"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26" s="9" t="s">
        <v>29</v>
      </c>
      <c r="W26" s="9" t="s">
        <v>31</v>
      </c>
      <c r="X26" s="10">
        <v>90</v>
      </c>
      <c r="Y26" s="19" t="s">
        <v>59</v>
      </c>
      <c r="Z26" s="19">
        <v>75</v>
      </c>
      <c r="AA26" s="10">
        <v>2</v>
      </c>
      <c r="AB26" s="10">
        <v>45</v>
      </c>
      <c r="AC26" s="12">
        <v>3585810866925</v>
      </c>
      <c r="AD26" s="10" t="s">
        <v>29</v>
      </c>
      <c r="AE26" s="10" t="s">
        <v>856</v>
      </c>
      <c r="AF26" s="10" t="s">
        <v>856</v>
      </c>
      <c r="AG26" s="10" t="s">
        <v>857</v>
      </c>
      <c r="AH26" s="20" t="s">
        <v>38</v>
      </c>
      <c r="AI26" s="54" t="s">
        <v>776</v>
      </c>
      <c r="AJ26" s="54" t="s">
        <v>776</v>
      </c>
      <c r="AK26" s="55">
        <v>45758</v>
      </c>
      <c r="AL26" s="10"/>
      <c r="AM26" s="10"/>
      <c r="AN26" s="10"/>
      <c r="AO26" s="10"/>
      <c r="AP26" s="10"/>
      <c r="AQ26" s="51" t="s">
        <v>1347</v>
      </c>
      <c r="AR26" s="51" t="s">
        <v>1348</v>
      </c>
      <c r="AS26" s="82" t="s">
        <v>1555</v>
      </c>
      <c r="AT26" s="9" t="s">
        <v>1338</v>
      </c>
      <c r="AU26" s="83" t="s">
        <v>1349</v>
      </c>
      <c r="AV26" s="82" t="s">
        <v>1350</v>
      </c>
      <c r="AW26" s="52"/>
      <c r="AX26" s="51"/>
      <c r="AY26" s="51"/>
      <c r="AZ26" s="51"/>
      <c r="BA26" s="51"/>
      <c r="BB26" s="51"/>
      <c r="BC26" s="51"/>
      <c r="BD26" s="51"/>
      <c r="BE26" s="51"/>
      <c r="BF26" s="92"/>
      <c r="BG26" s="92"/>
      <c r="BH26" s="92"/>
      <c r="BI26" s="92"/>
      <c r="BJ26" s="92"/>
      <c r="BK26" s="92"/>
      <c r="BL26" s="92"/>
      <c r="BN26" s="7" t="str">
        <f>IF(IFERROR(FIND("romatis",TableauJDG[[#This Row],[TYPE DE THÉ FR]]),0)=0,"","aromatisé")</f>
        <v>aromatisé</v>
      </c>
      <c r="BV26" s="10" t="str">
        <f t="shared" si="0"/>
        <v>Comme un présent venu de contrées lointaines, ce thé vert est une divine gourmandise à partager. L’association généreuse de la figue, de l’amande et de l’orange d’une grande douceur est accompagnée d’une légère note acidulée. Pour des instants divin</v>
      </c>
      <c r="BW26" s="10" t="str">
        <f t="shared" si="1"/>
        <v xml:space="preserve">s de détente et d’évasion. </v>
      </c>
      <c r="BX26" s="10" t="str">
        <f t="shared" si="2"/>
        <v/>
      </c>
      <c r="BY26" s="10" t="str">
        <f t="shared" si="3"/>
        <v/>
      </c>
      <c r="BZ26" s="10" t="str">
        <f t="shared" si="4"/>
        <v>Ingrédients : thé vert*, marc de raisin*, gingembre*, feuilles de cannelier*, écorces d'orange*, arômes naturels de (figue, amande*) 7% , huile essentielle d'orange*, pétales de bleuet*. *Issu de l'agriculture biologique.</v>
      </c>
      <c r="CA26" s="10" t="str">
        <f t="shared" si="5"/>
        <v/>
      </c>
      <c r="CB26" s="10" t="str">
        <f t="shared" si="6"/>
        <v/>
      </c>
      <c r="CC26" s="10" t="str">
        <f t="shared" si="7"/>
        <v/>
      </c>
      <c r="CD26" s="10" t="str">
        <f t="shared" si="8"/>
        <v>/</v>
      </c>
      <c r="CE26" s="10" t="str">
        <f t="shared" si="9"/>
        <v/>
      </c>
      <c r="CF26" s="10" t="str">
        <f t="shared" si="10"/>
        <v/>
      </c>
      <c r="CG26" s="10" t="str">
        <f t="shared" si="11"/>
        <v/>
      </c>
      <c r="CH26" s="10" t="str">
        <f t="shared" si="12"/>
        <v>Membre certifié World Fair Trade Organization, Les Jardins de Gaïa s’engagent pour un commerce plus juste et répondent aux exigences du commerce équitable. Pour en savoir plus : www.wfto.com.</v>
      </c>
      <c r="CI26" s="10" t="str">
        <f t="shared" si="13"/>
        <v/>
      </c>
      <c r="CJ26" s="10" t="str">
        <f t="shared" si="14"/>
        <v/>
      </c>
      <c r="CK26" s="10" t="str">
        <f t="shared" si="15"/>
        <v/>
      </c>
      <c r="CL26" s="10" t="str">
        <f t="shared" si="16"/>
        <v xml:space="preserve">Like a gift from faraway lands, this green tea is a divine treat to share. The generous combination of sweet fig, almond and orange is accompanied by a lightly acidic note. For divine moments of relaxation and escape. </v>
      </c>
      <c r="CM26" s="10" t="str">
        <f t="shared" si="17"/>
        <v/>
      </c>
      <c r="CN26" s="10" t="str">
        <f t="shared" si="18"/>
        <v/>
      </c>
      <c r="CO26" s="10" t="str">
        <f t="shared" si="19"/>
        <v/>
      </c>
      <c r="CP26" s="10" t="str">
        <f t="shared" si="20"/>
        <v xml:space="preserve">Ingredients: green tea*, grape pomace*, ginger*, cinnamon leaves*, orange peels*, natural (fig, almond*) flavourings 7%, orange essential oil*, cornflower petals*. *From organic farming. </v>
      </c>
      <c r="CQ26" s="10" t="str">
        <f t="shared" si="21"/>
        <v/>
      </c>
      <c r="CR26" s="10" t="str">
        <f t="shared" si="22"/>
        <v/>
      </c>
      <c r="CS26" s="10" t="str">
        <f t="shared" si="23"/>
        <v/>
      </c>
      <c r="CT26" s="10" t="str">
        <f t="shared" si="24"/>
        <v/>
      </c>
      <c r="CU26" s="10" t="str">
        <f t="shared" si="25"/>
        <v/>
      </c>
      <c r="CV26" s="10" t="str">
        <f t="shared" si="26"/>
        <v/>
      </c>
      <c r="CW26" s="10" t="str">
        <f t="shared" si="27"/>
        <v/>
      </c>
    </row>
    <row r="27" spans="1:101" ht="93.6">
      <c r="A27" s="129" t="s">
        <v>241</v>
      </c>
      <c r="B27" s="9" t="s">
        <v>26</v>
      </c>
      <c r="C27" s="9"/>
      <c r="D27" s="8" t="s">
        <v>237</v>
      </c>
      <c r="E27" s="9" t="s">
        <v>238</v>
      </c>
      <c r="F27" s="9" t="s">
        <v>35</v>
      </c>
      <c r="G27" s="9" t="s">
        <v>67</v>
      </c>
      <c r="H27" s="10" t="s">
        <v>5</v>
      </c>
      <c r="I27" s="10" t="s">
        <v>6</v>
      </c>
      <c r="J27" s="10" t="s">
        <v>29</v>
      </c>
      <c r="K27" s="10" t="s">
        <v>29</v>
      </c>
      <c r="L27" s="10" t="s">
        <v>29</v>
      </c>
      <c r="M27" s="10" t="s">
        <v>29</v>
      </c>
      <c r="N27" s="10" t="s">
        <v>37</v>
      </c>
      <c r="O27" s="9"/>
      <c r="P27" s="9" t="s">
        <v>239</v>
      </c>
      <c r="Q27" s="9" t="s">
        <v>858</v>
      </c>
      <c r="R27" s="9"/>
      <c r="S27" s="9"/>
      <c r="T27" s="9" t="s">
        <v>240</v>
      </c>
      <c r="U27"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27" s="9" t="s">
        <v>29</v>
      </c>
      <c r="W27" s="9" t="s">
        <v>31</v>
      </c>
      <c r="X27" s="10">
        <v>100</v>
      </c>
      <c r="Y27" s="11" t="s">
        <v>32</v>
      </c>
      <c r="Z27" s="19">
        <v>90</v>
      </c>
      <c r="AA27" s="10">
        <v>2</v>
      </c>
      <c r="AB27" s="10">
        <v>50</v>
      </c>
      <c r="AC27" s="12">
        <v>3582810470428</v>
      </c>
      <c r="AD27" s="10" t="s">
        <v>29</v>
      </c>
      <c r="AE27" s="10" t="s">
        <v>859</v>
      </c>
      <c r="AF27" s="10" t="s">
        <v>859</v>
      </c>
      <c r="AG27" s="10" t="s">
        <v>860</v>
      </c>
      <c r="AH27" s="20" t="s">
        <v>38</v>
      </c>
      <c r="AI27" s="54" t="s">
        <v>776</v>
      </c>
      <c r="AJ27" s="54" t="s">
        <v>776</v>
      </c>
      <c r="AK27" s="55">
        <v>45688</v>
      </c>
      <c r="AL27" s="10"/>
      <c r="AM27" s="10" t="s">
        <v>1655</v>
      </c>
      <c r="AN27" s="10"/>
      <c r="AO27" s="10"/>
      <c r="AP27" s="10"/>
      <c r="AQ27" s="51" t="s">
        <v>1376</v>
      </c>
      <c r="AR27" s="51" t="s">
        <v>1377</v>
      </c>
      <c r="AS27" s="82" t="s">
        <v>1549</v>
      </c>
      <c r="AT27" s="9" t="s">
        <v>67</v>
      </c>
      <c r="AU27" s="96" t="s">
        <v>1378</v>
      </c>
      <c r="AV27" s="82" t="s">
        <v>1379</v>
      </c>
      <c r="AW27" s="52"/>
      <c r="AX27" s="51"/>
      <c r="AY27" s="51"/>
      <c r="AZ27" s="51"/>
      <c r="BA27" s="51"/>
      <c r="BB27" s="51"/>
      <c r="BC27" s="51"/>
      <c r="BD27" s="51"/>
      <c r="BE27" s="51"/>
      <c r="BF27" s="92"/>
      <c r="BG27" s="92"/>
      <c r="BH27" s="92"/>
      <c r="BI27" s="92"/>
      <c r="BJ27" s="92"/>
      <c r="BK27" s="92"/>
      <c r="BL27" s="92"/>
      <c r="BN27" s="7" t="str">
        <f>IF(IFERROR(FIND("romatis",TableauJDG[[#This Row],[TYPE DE THÉ FR]]),0)=0,"","aromatisé")</f>
        <v>aromatisé</v>
      </c>
      <c r="BV27" s="10" t="str">
        <f t="shared" si="0"/>
        <v>Cette recette originale à base de thé noir et de honeybush associe des saveurs miellées à la légère amertume du cacao et la douceur de la noisette. Agrémenté d’une pointe de guarana, ce thé promet des instants à la fois gourmands et délicieusement sa</v>
      </c>
      <c r="BW27" s="10" t="str">
        <f t="shared" si="1"/>
        <v>uvages.</v>
      </c>
      <c r="BX27" s="10" t="str">
        <f t="shared" si="2"/>
        <v/>
      </c>
      <c r="BY27" s="10" t="str">
        <f t="shared" si="3"/>
        <v/>
      </c>
      <c r="BZ27" s="10" t="str">
        <f t="shared" si="4"/>
        <v>Ingrédients : thé noir*, honeybush*, écorces de cacao* 10%, noisettes concassées* 5%, arôme naturel de noisette* 5%, guarana*, fleurs d'osmanthe*. *Issu de l'agriculture biologique.</v>
      </c>
      <c r="CA27" s="10" t="str">
        <f t="shared" si="5"/>
        <v/>
      </c>
      <c r="CB27" s="10" t="str">
        <f t="shared" si="6"/>
        <v/>
      </c>
      <c r="CC27" s="10" t="str">
        <f t="shared" si="7"/>
        <v/>
      </c>
      <c r="CD27" s="10" t="str">
        <f t="shared" si="8"/>
        <v>/</v>
      </c>
      <c r="CE27" s="10" t="str">
        <f t="shared" si="9"/>
        <v/>
      </c>
      <c r="CF27" s="10" t="str">
        <f t="shared" si="10"/>
        <v/>
      </c>
      <c r="CG27" s="10" t="str">
        <f t="shared" si="11"/>
        <v/>
      </c>
      <c r="CH27" s="10" t="str">
        <f t="shared" si="12"/>
        <v>Membre certifié World Fair Trade Organization, Les Jardins de Gaïa s’engagent pour un commerce plus juste et répondent aux exigences du commerce équitable. Pour en savoir plus : www.wfto.com.</v>
      </c>
      <c r="CI27" s="10" t="str">
        <f t="shared" si="13"/>
        <v/>
      </c>
      <c r="CJ27" s="10" t="str">
        <f t="shared" si="14"/>
        <v/>
      </c>
      <c r="CK27" s="10" t="str">
        <f t="shared" si="15"/>
        <v/>
      </c>
      <c r="CL27" s="10" t="str">
        <f t="shared" si="16"/>
        <v>This original recipe based on black tea and honeybush combines honeyed flavours with the slight bitterness of cocoa and the sweetness of hazelnut. Enhanced with a hint of guarana, this tea promises moments that are both tasty and deliciously wild.</v>
      </c>
      <c r="CM27" s="10" t="str">
        <f t="shared" si="17"/>
        <v/>
      </c>
      <c r="CN27" s="10" t="str">
        <f t="shared" si="18"/>
        <v/>
      </c>
      <c r="CO27" s="10" t="str">
        <f t="shared" si="19"/>
        <v/>
      </c>
      <c r="CP27" s="10" t="str">
        <f t="shared" si="20"/>
        <v>Ingredients: black tea*, honeybush*, cocoa barks* 10%, crushed hazelnuts* 5%, natural hazelnut flavouring* 5%, guarana*, osmanthus flowers*. *From organic farming.</v>
      </c>
      <c r="CQ27" s="10" t="str">
        <f t="shared" si="21"/>
        <v/>
      </c>
      <c r="CR27" s="10" t="str">
        <f t="shared" si="22"/>
        <v/>
      </c>
      <c r="CS27" s="10" t="str">
        <f t="shared" si="23"/>
        <v/>
      </c>
      <c r="CT27" s="10" t="str">
        <f t="shared" si="24"/>
        <v/>
      </c>
      <c r="CU27" s="10" t="str">
        <f t="shared" si="25"/>
        <v/>
      </c>
      <c r="CV27" s="10" t="str">
        <f t="shared" si="26"/>
        <v/>
      </c>
      <c r="CW27" s="10" t="str">
        <f t="shared" si="27"/>
        <v/>
      </c>
    </row>
    <row r="28" spans="1:101" ht="86.4">
      <c r="A28" s="129" t="s">
        <v>245</v>
      </c>
      <c r="B28" s="9" t="s">
        <v>782</v>
      </c>
      <c r="C28" s="29" t="s">
        <v>1785</v>
      </c>
      <c r="D28" s="8" t="s">
        <v>242</v>
      </c>
      <c r="E28" s="9" t="s">
        <v>243</v>
      </c>
      <c r="F28" s="9" t="s">
        <v>244</v>
      </c>
      <c r="G28" s="9" t="s">
        <v>215</v>
      </c>
      <c r="H28" s="10" t="s">
        <v>5</v>
      </c>
      <c r="I28" s="10" t="s">
        <v>6</v>
      </c>
      <c r="J28" s="10" t="s">
        <v>29</v>
      </c>
      <c r="K28" s="10" t="s">
        <v>29</v>
      </c>
      <c r="L28" s="10" t="s">
        <v>29</v>
      </c>
      <c r="M28" s="10" t="s">
        <v>29</v>
      </c>
      <c r="N28" s="10" t="s">
        <v>47</v>
      </c>
      <c r="O28" s="9"/>
      <c r="P28" s="9" t="s">
        <v>861</v>
      </c>
      <c r="Q28" s="121" t="s">
        <v>1792</v>
      </c>
      <c r="R28" s="121" t="s">
        <v>1793</v>
      </c>
      <c r="S28" s="9"/>
      <c r="T28" s="9" t="s">
        <v>56</v>
      </c>
      <c r="U28"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28" s="9" t="s">
        <v>29</v>
      </c>
      <c r="W28" s="9" t="s">
        <v>31</v>
      </c>
      <c r="X28" s="10">
        <v>50</v>
      </c>
      <c r="Y28" s="19" t="s">
        <v>59</v>
      </c>
      <c r="Z28" s="19">
        <v>75</v>
      </c>
      <c r="AA28" s="10">
        <v>2</v>
      </c>
      <c r="AB28" s="10">
        <v>25</v>
      </c>
      <c r="AC28" s="12">
        <v>3582810313466</v>
      </c>
      <c r="AD28" s="10" t="s">
        <v>50</v>
      </c>
      <c r="AE28" s="10" t="s">
        <v>246</v>
      </c>
      <c r="AF28" s="10" t="s">
        <v>862</v>
      </c>
      <c r="AG28" s="10" t="s">
        <v>52</v>
      </c>
      <c r="AH28" s="20" t="s">
        <v>51</v>
      </c>
      <c r="AI28" s="10"/>
      <c r="AJ28" s="54" t="s">
        <v>776</v>
      </c>
      <c r="AK28" s="10"/>
      <c r="AL28" s="10"/>
      <c r="AM28" s="10"/>
      <c r="AN28" s="10"/>
      <c r="AO28" s="10"/>
      <c r="AP28" s="10"/>
      <c r="AQ28" s="51"/>
      <c r="AR28" s="51"/>
      <c r="AS28" s="51"/>
      <c r="AT28" s="51"/>
      <c r="AU28" s="16" t="s">
        <v>1801</v>
      </c>
      <c r="AV28" s="52"/>
      <c r="AW28" s="52" t="s">
        <v>1796</v>
      </c>
      <c r="AX28" s="51"/>
      <c r="AY28" s="51"/>
      <c r="AZ28" s="51"/>
      <c r="BA28" s="51"/>
      <c r="BB28" s="51"/>
      <c r="BC28" s="51"/>
      <c r="BD28" s="51"/>
      <c r="BE28" s="51"/>
      <c r="BF28" s="92"/>
      <c r="BG28" s="92"/>
      <c r="BH28" s="92"/>
      <c r="BI28" s="92"/>
      <c r="BJ28" s="92"/>
      <c r="BK28" s="92"/>
      <c r="BL28" s="92"/>
      <c r="BN28" s="7" t="str">
        <f>IF(IFERROR(FIND("romatis",TableauJDG[[#This Row],[TYPE DE THÉ FR]]),0)=0,"","aromatisé")</f>
        <v/>
      </c>
      <c r="BV28" s="10" t="str">
        <f t="shared" si="0"/>
        <v>Ce thé vert primeur transformé à la vapeur est le fruit d'un savoir-faire très ancien, devenu rare en Chine. Ses bourgeons printaniers roulés en fines aiguilles délivrent une liqueur cristalline et dense aux saveurs de fruits exotiques accompagnées d</v>
      </c>
      <c r="BW28" s="10" t="str">
        <f t="shared" si="1"/>
        <v xml:space="preserve">e notes beurrées, minérales et zestées.
</v>
      </c>
      <c r="BX28" s="10" t="str">
        <f t="shared" si="2"/>
        <v/>
      </c>
      <c r="BY28" s="10" t="str">
        <f t="shared" si="3"/>
        <v/>
      </c>
      <c r="BZ28" s="10" t="str">
        <f t="shared" si="4"/>
        <v>Ingrédient : thé vert*. *Issu de l'agriculture biologique.</v>
      </c>
      <c r="CA28" s="10" t="str">
        <f t="shared" si="5"/>
        <v/>
      </c>
      <c r="CB28" s="10" t="str">
        <f t="shared" si="6"/>
        <v/>
      </c>
      <c r="CC28" s="10" t="str">
        <f t="shared" si="7"/>
        <v/>
      </c>
      <c r="CD28" s="10" t="str">
        <f t="shared" si="8"/>
        <v>/</v>
      </c>
      <c r="CE28" s="10" t="str">
        <f t="shared" si="9"/>
        <v/>
      </c>
      <c r="CF28" s="10" t="str">
        <f t="shared" si="10"/>
        <v/>
      </c>
      <c r="CG28" s="10" t="str">
        <f t="shared" si="11"/>
        <v/>
      </c>
      <c r="CH28" s="10" t="str">
        <f t="shared" si="12"/>
        <v>Membre certifié World Fair Trade Organization, Les Jardins de Gaïa s’engagent pour un commerce plus juste et répondent aux exigences du commerce équitable. Pour en savoir plus : www.wfto.com.</v>
      </c>
      <c r="CI28" s="10" t="str">
        <f t="shared" si="13"/>
        <v/>
      </c>
      <c r="CJ28" s="10" t="str">
        <f t="shared" si="14"/>
        <v/>
      </c>
      <c r="CK28" s="10" t="str">
        <f t="shared" si="15"/>
        <v/>
      </c>
      <c r="CL28" s="10" t="str">
        <f t="shared" si="16"/>
        <v>This early steamed green tea is the fruit of ancient know-how that has become rare in China. Its spring buds, rolled into fine needles, deliver a dense, crystalline liquor with exotic fruit flavors and buttery, mineral and zesty notes.</v>
      </c>
      <c r="CM28" s="10" t="str">
        <f t="shared" si="17"/>
        <v/>
      </c>
      <c r="CN28" s="10" t="str">
        <f t="shared" si="18"/>
        <v/>
      </c>
      <c r="CO28" s="10" t="str">
        <f t="shared" si="19"/>
        <v/>
      </c>
      <c r="CP28" s="10" t="str">
        <f t="shared" si="20"/>
        <v/>
      </c>
      <c r="CQ28" s="10" t="str">
        <f t="shared" si="21"/>
        <v/>
      </c>
      <c r="CR28" s="10" t="str">
        <f t="shared" si="22"/>
        <v/>
      </c>
      <c r="CS28" s="10" t="str">
        <f t="shared" si="23"/>
        <v/>
      </c>
      <c r="CT28" s="10" t="str">
        <f t="shared" si="24"/>
        <v/>
      </c>
      <c r="CU28" s="10" t="str">
        <f t="shared" si="25"/>
        <v/>
      </c>
      <c r="CV28" s="10" t="str">
        <f t="shared" si="26"/>
        <v/>
      </c>
      <c r="CW28" s="10" t="str">
        <f t="shared" si="27"/>
        <v/>
      </c>
    </row>
    <row r="29" spans="1:101" ht="93.6">
      <c r="A29" s="129" t="s">
        <v>249</v>
      </c>
      <c r="B29" s="9" t="s">
        <v>26</v>
      </c>
      <c r="C29" s="9"/>
      <c r="D29" s="8" t="s">
        <v>863</v>
      </c>
      <c r="E29" s="9" t="s">
        <v>247</v>
      </c>
      <c r="F29" s="9" t="s">
        <v>784</v>
      </c>
      <c r="G29" s="9" t="s">
        <v>215</v>
      </c>
      <c r="H29" s="10" t="s">
        <v>5</v>
      </c>
      <c r="I29" s="10" t="s">
        <v>6</v>
      </c>
      <c r="J29" s="10" t="s">
        <v>29</v>
      </c>
      <c r="K29" s="10" t="s">
        <v>29</v>
      </c>
      <c r="L29" s="10" t="s">
        <v>29</v>
      </c>
      <c r="M29" s="10" t="s">
        <v>29</v>
      </c>
      <c r="N29" s="10" t="s">
        <v>47</v>
      </c>
      <c r="O29" s="9"/>
      <c r="P29" s="9" t="s">
        <v>248</v>
      </c>
      <c r="Q29" s="9" t="s">
        <v>864</v>
      </c>
      <c r="R29" s="9"/>
      <c r="S29" s="9"/>
      <c r="T29" s="9" t="s">
        <v>785</v>
      </c>
      <c r="U29"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29" s="9" t="s">
        <v>29</v>
      </c>
      <c r="W29" s="9" t="s">
        <v>31</v>
      </c>
      <c r="X29" s="10">
        <v>100</v>
      </c>
      <c r="Y29" s="11" t="s">
        <v>78</v>
      </c>
      <c r="Z29" s="19">
        <v>95</v>
      </c>
      <c r="AA29" s="10">
        <v>2</v>
      </c>
      <c r="AB29" s="10">
        <v>50</v>
      </c>
      <c r="AC29" s="12">
        <v>3582810711323</v>
      </c>
      <c r="AD29" s="10" t="s">
        <v>29</v>
      </c>
      <c r="AE29" s="10" t="s">
        <v>865</v>
      </c>
      <c r="AF29" s="10" t="s">
        <v>865</v>
      </c>
      <c r="AG29" s="10" t="s">
        <v>866</v>
      </c>
      <c r="AH29" s="20" t="s">
        <v>51</v>
      </c>
      <c r="AI29" s="54" t="s">
        <v>776</v>
      </c>
      <c r="AJ29" s="54" t="s">
        <v>776</v>
      </c>
      <c r="AK29" s="55">
        <v>45693</v>
      </c>
      <c r="AL29" s="10"/>
      <c r="AM29" s="10">
        <v>25029</v>
      </c>
      <c r="AN29" s="10"/>
      <c r="AO29" s="10"/>
      <c r="AP29" s="10"/>
      <c r="AQ29" s="51" t="s">
        <v>863</v>
      </c>
      <c r="AR29" s="51" t="s">
        <v>247</v>
      </c>
      <c r="AS29" s="82" t="s">
        <v>1654</v>
      </c>
      <c r="AT29" s="82" t="s">
        <v>1481</v>
      </c>
      <c r="AU29" s="140" t="s">
        <v>1662</v>
      </c>
      <c r="AV29" s="82" t="s">
        <v>1615</v>
      </c>
      <c r="AW29" s="52"/>
      <c r="AX29" s="51"/>
      <c r="AY29" s="51"/>
      <c r="AZ29" s="51"/>
      <c r="BA29" s="51"/>
      <c r="BB29" s="51"/>
      <c r="BC29" s="51"/>
      <c r="BD29" s="51"/>
      <c r="BE29" s="51"/>
      <c r="BF29" s="92"/>
      <c r="BG29" s="92"/>
      <c r="BH29" s="92"/>
      <c r="BI29" s="92"/>
      <c r="BJ29" s="92"/>
      <c r="BK29" s="92"/>
      <c r="BL29" s="92"/>
      <c r="BN29" s="7" t="str">
        <f>IF(IFERROR(FIND("romatis",TableauJDG[[#This Row],[TYPE DE THÉ FR]]),0)=0,"","aromatisé")</f>
        <v/>
      </c>
      <c r="BP29" s="137"/>
      <c r="BV29" s="10" t="str">
        <f t="shared" si="0"/>
        <v>Les grandes feuilles roulées de ce wulong originaire des montagnes du Hubei libèrent une liqueur jaune vif de laquelle émane un parfum floral intense. Il soit son nom « Jade » à sa faible oxydation qui le rapproche d’un thé vert et qui lui permet d’o</v>
      </c>
      <c r="BW29" s="10" t="str">
        <f t="shared" si="1"/>
        <v xml:space="preserve">ffrir d’agréables saveurs végétales et fruitées. </v>
      </c>
      <c r="BX29" s="10" t="str">
        <f t="shared" si="2"/>
        <v/>
      </c>
      <c r="BY29" s="10" t="str">
        <f t="shared" si="3"/>
        <v/>
      </c>
      <c r="BZ29" s="10" t="str">
        <f t="shared" si="4"/>
        <v>Ingrédient : thé wulong*. *Issu de l'agriculture biologique.</v>
      </c>
      <c r="CA29" s="10" t="str">
        <f t="shared" si="5"/>
        <v/>
      </c>
      <c r="CB29" s="10" t="str">
        <f t="shared" si="6"/>
        <v/>
      </c>
      <c r="CC29" s="10" t="str">
        <f t="shared" si="7"/>
        <v/>
      </c>
      <c r="CD29" s="10" t="str">
        <f t="shared" si="8"/>
        <v>/</v>
      </c>
      <c r="CE29" s="10" t="str">
        <f t="shared" si="9"/>
        <v/>
      </c>
      <c r="CF29" s="10" t="str">
        <f t="shared" si="10"/>
        <v/>
      </c>
      <c r="CG29" s="10" t="str">
        <f t="shared" si="11"/>
        <v/>
      </c>
      <c r="CH29" s="10" t="str">
        <f t="shared" si="12"/>
        <v>Membre certifié World Fair Trade Organization, Les Jardins de Gaïa s’engagent pour un commerce plus juste et répondent aux exigences du commerce équitable. Pour en savoir plus : www.wfto.com.</v>
      </c>
      <c r="CI29" s="10" t="str">
        <f t="shared" si="13"/>
        <v/>
      </c>
      <c r="CJ29" s="10" t="str">
        <f t="shared" si="14"/>
        <v/>
      </c>
      <c r="CK29" s="10" t="str">
        <f t="shared" si="15"/>
        <v/>
      </c>
      <c r="CL29" s="10" t="str">
        <f t="shared" si="16"/>
        <v>The large, rolled leaves of this wulong from the Hubei mountains release a bright yellow brew with an intense floral fragrance. Its name "Jade" comes from its low oxidation, which makes it similar to a green tea and gives it pleasant fruity, vegeta</v>
      </c>
      <c r="CM29" s="10" t="str">
        <f t="shared" si="17"/>
        <v xml:space="preserve">l flavours. </v>
      </c>
      <c r="CN29" s="10" t="str">
        <f t="shared" si="18"/>
        <v/>
      </c>
      <c r="CO29" s="10" t="str">
        <f t="shared" si="19"/>
        <v/>
      </c>
      <c r="CP29" s="10" t="str">
        <f t="shared" si="20"/>
        <v>Ingredient: wulong tea*. *From organic farming.</v>
      </c>
      <c r="CQ29" s="10" t="str">
        <f t="shared" si="21"/>
        <v/>
      </c>
      <c r="CR29" s="10" t="str">
        <f t="shared" si="22"/>
        <v/>
      </c>
      <c r="CS29" s="10" t="str">
        <f t="shared" si="23"/>
        <v/>
      </c>
      <c r="CT29" s="10" t="str">
        <f t="shared" si="24"/>
        <v/>
      </c>
      <c r="CU29" s="10" t="str">
        <f t="shared" si="25"/>
        <v/>
      </c>
      <c r="CV29" s="10" t="str">
        <f t="shared" si="26"/>
        <v/>
      </c>
      <c r="CW29" s="10" t="str">
        <f t="shared" si="27"/>
        <v/>
      </c>
    </row>
    <row r="30" spans="1:101" ht="187.2">
      <c r="A30" s="130" t="s">
        <v>255</v>
      </c>
      <c r="B30" s="9" t="s">
        <v>26</v>
      </c>
      <c r="C30" s="9" t="s">
        <v>39</v>
      </c>
      <c r="D30" s="8" t="s">
        <v>250</v>
      </c>
      <c r="E30" s="9" t="s">
        <v>867</v>
      </c>
      <c r="F30" s="9" t="s">
        <v>40</v>
      </c>
      <c r="G30" s="56" t="s">
        <v>29</v>
      </c>
      <c r="H30" s="10" t="s">
        <v>5</v>
      </c>
      <c r="I30" s="10" t="s">
        <v>29</v>
      </c>
      <c r="J30" s="10" t="s">
        <v>29</v>
      </c>
      <c r="K30" s="10" t="s">
        <v>29</v>
      </c>
      <c r="L30" s="10" t="s">
        <v>29</v>
      </c>
      <c r="M30" s="10" t="s">
        <v>29</v>
      </c>
      <c r="N30" s="10" t="s">
        <v>251</v>
      </c>
      <c r="O30" s="9"/>
      <c r="P30" s="9" t="s">
        <v>252</v>
      </c>
      <c r="Q30" s="9" t="s">
        <v>252</v>
      </c>
      <c r="R30" s="9"/>
      <c r="S30" s="9"/>
      <c r="T30" s="15" t="s">
        <v>1684</v>
      </c>
      <c r="U30" s="15"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30" s="8" t="s">
        <v>29</v>
      </c>
      <c r="W30" s="9" t="s">
        <v>29</v>
      </c>
      <c r="X30" s="10">
        <v>40</v>
      </c>
      <c r="Y30" s="11" t="s">
        <v>42</v>
      </c>
      <c r="Z30" s="19">
        <v>95</v>
      </c>
      <c r="AA30" s="10">
        <v>2</v>
      </c>
      <c r="AB30" s="10">
        <v>20</v>
      </c>
      <c r="AC30" s="12">
        <v>3582811005117</v>
      </c>
      <c r="AD30" s="10" t="s">
        <v>29</v>
      </c>
      <c r="AE30" s="10" t="s">
        <v>1685</v>
      </c>
      <c r="AF30" s="10" t="s">
        <v>1685</v>
      </c>
      <c r="AG30" s="10" t="s">
        <v>29</v>
      </c>
      <c r="AH30" s="20"/>
      <c r="AI30" s="10"/>
      <c r="AJ30" s="54" t="s">
        <v>776</v>
      </c>
      <c r="AK30" s="55">
        <v>45615</v>
      </c>
      <c r="AL30" s="10" t="s">
        <v>774</v>
      </c>
      <c r="AM30" s="10">
        <v>24332</v>
      </c>
      <c r="AN30" s="10"/>
      <c r="AO30" s="10"/>
      <c r="AP30" s="10"/>
      <c r="AQ30" s="51" t="s">
        <v>254</v>
      </c>
      <c r="AR30" s="51" t="s">
        <v>868</v>
      </c>
      <c r="AS30" s="68"/>
      <c r="AT30" s="87" t="e">
        <f>VLOOKUP(A30,TRADS,14,0)</f>
        <v>#REF!</v>
      </c>
      <c r="AU30" s="16" t="s">
        <v>253</v>
      </c>
      <c r="AV30" s="52" t="s">
        <v>869</v>
      </c>
      <c r="AW30" s="52"/>
      <c r="AX30" s="51"/>
      <c r="AY30" s="51"/>
      <c r="AZ30" s="51"/>
      <c r="BA30" s="51"/>
      <c r="BB30" s="51"/>
      <c r="BC30" s="51"/>
      <c r="BD30" s="51"/>
      <c r="BE30" s="51"/>
      <c r="BF30" s="92"/>
      <c r="BG30" s="92"/>
      <c r="BH30" s="92"/>
      <c r="BI30" s="92"/>
      <c r="BJ30" s="92"/>
      <c r="BK30" s="92"/>
      <c r="BL30" s="92"/>
      <c r="BN30" s="7" t="str">
        <f>IF(IFERROR(FIND("romatis",TableauJDG[[#This Row],[TYPE DE THÉ FR]]),0)=0,"","aromatisé")</f>
        <v/>
      </c>
      <c r="BO30" s="35" t="s">
        <v>1686</v>
      </c>
      <c r="BV30" s="10" t="str">
        <f t="shared" si="0"/>
        <v>Cette infusion de fleurs et de plantes haute en couleur et pleine de saveurs est un enchantement pour les yeux et le palais. Chaque gorgée offre une sensation de pureté et de fraîcheur comparable à une balade pieds nus dans la rosée matinale.</v>
      </c>
      <c r="BW30" s="10" t="str">
        <f t="shared" si="1"/>
        <v/>
      </c>
      <c r="BX30" s="10" t="str">
        <f t="shared" si="2"/>
        <v/>
      </c>
      <c r="BY30" s="10" t="str">
        <f t="shared" si="3"/>
        <v/>
      </c>
      <c r="BZ30" s="10" t="str">
        <f t="shared" si="4"/>
        <v>Ingrédients : menthe odorante* (Mentha rotundifolia) 35%, feuille de tournesol* (Helianthus annuus) 25%, pétales de souci* (Calendula officinalis) 13%, pétales de tournesol* (Helianthus annuus), origan* (Origanum vulgare), camomille* (Matricaria cham</v>
      </c>
      <c r="CA30" s="10" t="str">
        <f t="shared" si="5"/>
        <v xml:space="preserve">omilla), pétales de bleuet* (Centaurea cyanus), pétales de rose* (Rosa damascena), fleurs de lilas* (Syringa vulgaris). *Issu de l'agriculture biologique. </v>
      </c>
      <c r="CB30" s="10" t="str">
        <f t="shared" si="6"/>
        <v/>
      </c>
      <c r="CC30" s="10" t="str">
        <f t="shared" si="7"/>
        <v/>
      </c>
      <c r="CD30" s="10" t="str">
        <f t="shared" si="8"/>
        <v>/</v>
      </c>
      <c r="CE30" s="10" t="str">
        <f t="shared" si="9"/>
        <v/>
      </c>
      <c r="CF30" s="10" t="str">
        <f t="shared" si="10"/>
        <v/>
      </c>
      <c r="CG30" s="10" t="str">
        <f t="shared" si="11"/>
        <v/>
      </c>
      <c r="CH30" s="10" t="str">
        <f t="shared" si="12"/>
        <v>/</v>
      </c>
      <c r="CI30" s="10" t="str">
        <f t="shared" si="13"/>
        <v/>
      </c>
      <c r="CJ30" s="10" t="str">
        <f t="shared" si="14"/>
        <v/>
      </c>
      <c r="CK30" s="10" t="str">
        <f t="shared" si="15"/>
        <v/>
      </c>
      <c r="CL30" s="10" t="str">
        <f t="shared" si="16"/>
        <v>This very colourful herbal tea made of flowers and plants and full of flavour, is a true delight for the eyes and the tastebuds. Each sip leaves you feeling as pure and fresh as a barefoot walk in the morning dew.</v>
      </c>
      <c r="CM30" s="10" t="str">
        <f t="shared" si="17"/>
        <v/>
      </c>
      <c r="CN30" s="10" t="str">
        <f t="shared" si="18"/>
        <v/>
      </c>
      <c r="CO30" s="10" t="str">
        <f t="shared" si="19"/>
        <v/>
      </c>
      <c r="CP30" s="10" t="str">
        <f t="shared" si="20"/>
        <v>Ingredients: apple mint* (Mentha rotundifolia) 35%, sunflower leaves* (Helianthus annuus - Folium) 25%, marigold petals* (Calendula officinalis) 13%, sunflower petals* (Helianthus annuus - Flores Folia), oregano* (Origanum vulgare - Flos), chamomile</v>
      </c>
      <c r="CQ30" s="10" t="str">
        <f t="shared" si="21"/>
        <v xml:space="preserve">* (Matricaria chamomilla), cornflower petals* (Centaurea cyanus), rose petals* (Rosa damascena), lilac flowers* (Syringa vulgaris). *From organic farming. </v>
      </c>
      <c r="CR30" s="10" t="str">
        <f t="shared" si="22"/>
        <v/>
      </c>
      <c r="CS30" s="10" t="str">
        <f t="shared" si="23"/>
        <v/>
      </c>
      <c r="CT30" s="10" t="str">
        <f t="shared" si="24"/>
        <v/>
      </c>
      <c r="CU30" s="10" t="str">
        <f t="shared" si="25"/>
        <v/>
      </c>
      <c r="CV30" s="10" t="str">
        <f t="shared" si="26"/>
        <v/>
      </c>
      <c r="CW30" s="10" t="str">
        <f t="shared" si="27"/>
        <v/>
      </c>
    </row>
    <row r="31" spans="1:101" ht="115.2">
      <c r="A31" s="130" t="s">
        <v>259</v>
      </c>
      <c r="B31" s="9" t="s">
        <v>787</v>
      </c>
      <c r="C31" s="9" t="s">
        <v>788</v>
      </c>
      <c r="D31" s="18" t="s">
        <v>256</v>
      </c>
      <c r="E31" s="9" t="s">
        <v>257</v>
      </c>
      <c r="F31" s="9" t="s">
        <v>81</v>
      </c>
      <c r="G31" s="10" t="s">
        <v>82</v>
      </c>
      <c r="H31" s="10" t="s">
        <v>5</v>
      </c>
      <c r="I31" s="10" t="s">
        <v>6</v>
      </c>
      <c r="J31" s="40" t="s">
        <v>7</v>
      </c>
      <c r="K31" s="10" t="s">
        <v>29</v>
      </c>
      <c r="L31" s="10" t="s">
        <v>29</v>
      </c>
      <c r="M31" s="10" t="s">
        <v>29</v>
      </c>
      <c r="N31" s="10" t="s">
        <v>37</v>
      </c>
      <c r="O31" s="9"/>
      <c r="P31" s="9" t="s">
        <v>258</v>
      </c>
      <c r="Q31" s="60" t="s">
        <v>870</v>
      </c>
      <c r="R31" s="60"/>
      <c r="S31" s="9" t="s">
        <v>797</v>
      </c>
      <c r="T31" s="72" t="s">
        <v>871</v>
      </c>
      <c r="U31" s="15"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31" s="8" t="s">
        <v>29</v>
      </c>
      <c r="W31" s="9" t="s">
        <v>31</v>
      </c>
      <c r="X31" s="10">
        <v>100</v>
      </c>
      <c r="Y31" s="11" t="s">
        <v>59</v>
      </c>
      <c r="Z31" s="19">
        <v>85</v>
      </c>
      <c r="AA31" s="10">
        <v>2</v>
      </c>
      <c r="AB31" s="12">
        <v>50</v>
      </c>
      <c r="AC31" s="12">
        <v>3582810362129</v>
      </c>
      <c r="AD31" s="10" t="s">
        <v>29</v>
      </c>
      <c r="AE31" s="10" t="s">
        <v>260</v>
      </c>
      <c r="AF31" s="10" t="s">
        <v>1939</v>
      </c>
      <c r="AG31" s="10" t="s">
        <v>1940</v>
      </c>
      <c r="AH31" s="20" t="s">
        <v>38</v>
      </c>
      <c r="AI31" s="54" t="s">
        <v>776</v>
      </c>
      <c r="AJ31" s="54" t="s">
        <v>776</v>
      </c>
      <c r="AK31" s="55">
        <v>45758</v>
      </c>
      <c r="AL31" s="10"/>
      <c r="AM31" s="10"/>
      <c r="AN31" s="10"/>
      <c r="AO31" s="10"/>
      <c r="AP31" s="10"/>
      <c r="AQ31" s="51" t="s">
        <v>1339</v>
      </c>
      <c r="AR31" s="51" t="s">
        <v>1340</v>
      </c>
      <c r="AS31" s="82" t="s">
        <v>1559</v>
      </c>
      <c r="AT31" s="9" t="s">
        <v>1317</v>
      </c>
      <c r="AU31" s="96" t="s">
        <v>1341</v>
      </c>
      <c r="AV31" s="82" t="s">
        <v>1343</v>
      </c>
      <c r="AW31" s="52"/>
      <c r="AX31" s="51"/>
      <c r="AY31" s="51"/>
      <c r="AZ31" s="51"/>
      <c r="BA31" s="34" t="s">
        <v>1342</v>
      </c>
      <c r="BB31" s="51"/>
      <c r="BC31" s="51"/>
      <c r="BD31" s="51"/>
      <c r="BE31" s="51"/>
      <c r="BF31" s="92"/>
      <c r="BG31" s="92"/>
      <c r="BH31" s="92"/>
      <c r="BI31" s="92"/>
      <c r="BJ31" s="92"/>
      <c r="BK31" s="92"/>
      <c r="BL31" s="92"/>
      <c r="BN31" s="7" t="str">
        <f>IF(IFERROR(FIND("romatis",TableauJDG[[#This Row],[TYPE DE THÉ FR]]),0)=0,"","aromatisé")</f>
        <v/>
      </c>
      <c r="BO31" s="71" t="s">
        <v>1965</v>
      </c>
      <c r="BP31" s="72" t="s">
        <v>1938</v>
      </c>
      <c r="BV31" s="10" t="str">
        <f t="shared" si="0"/>
        <v>Clin d’œil à la lune dont l’influence subtile a de tout temps fasciné, ce thé vert se distingue par les arômes épicés du basilic sacré, soulignés de délicieuses notes de mandarine et de cardamome. Une recette qui nous rappelle que prendre soin de l</v>
      </c>
      <c r="BW31" s="10" t="str">
        <f t="shared" si="1"/>
        <v>a planète, c’est prendre soin de nous.</v>
      </c>
      <c r="BX31" s="10" t="str">
        <f t="shared" si="2"/>
        <v/>
      </c>
      <c r="BY31" s="10" t="str">
        <f t="shared" si="3"/>
        <v/>
      </c>
      <c r="BZ31" s="10" t="str">
        <f t="shared" si="4"/>
        <v xml:space="preserve">Ingrédients : thé vert**, écorces de mandarine*, tulsi* 10%, cardamome* 9%, amarante*. *Issu de l’agriculture biologique. **Issu de l’agriculture biologique et biodynamique. demeter est le label des produits issus de l'agriculture biodynamique. </v>
      </c>
      <c r="CA31" s="10" t="str">
        <f t="shared" si="5"/>
        <v/>
      </c>
      <c r="CB31" s="10" t="str">
        <f t="shared" si="6"/>
        <v/>
      </c>
      <c r="CC31" s="10" t="str">
        <f t="shared" si="7"/>
        <v/>
      </c>
      <c r="CD31" s="10" t="str">
        <f t="shared" si="8"/>
        <v>/</v>
      </c>
      <c r="CE31" s="10" t="str">
        <f t="shared" si="9"/>
        <v/>
      </c>
      <c r="CF31" s="10" t="str">
        <f t="shared" si="10"/>
        <v/>
      </c>
      <c r="CG31" s="10" t="str">
        <f t="shared" si="11"/>
        <v/>
      </c>
      <c r="CH31" s="10" t="str">
        <f t="shared" si="12"/>
        <v>Membre certifié World Fair Trade Organization, Les Jardins de Gaïa s’engagent pour un commerce plus juste et répondent aux exigences du commerce équitable. Pour en savoir plus : www.wfto.com.</v>
      </c>
      <c r="CI31" s="10" t="str">
        <f t="shared" si="13"/>
        <v/>
      </c>
      <c r="CJ31" s="10" t="str">
        <f t="shared" si="14"/>
        <v/>
      </c>
      <c r="CK31" s="10" t="str">
        <f t="shared" si="15"/>
        <v/>
      </c>
      <c r="CL31" s="10" t="str">
        <f t="shared" si="16"/>
        <v>This green tea is a nod to the moon, whose subtle influence has always been fascinating. The spicy aromas of holy basil, underlined by delicious notes of mandarin and cardamom characterize this blend. A recipe that reminds us that taking care of th</v>
      </c>
      <c r="CM31" s="10" t="str">
        <f t="shared" si="17"/>
        <v>e planet means taking care of ourselves.</v>
      </c>
      <c r="CN31" s="10" t="str">
        <f t="shared" si="18"/>
        <v/>
      </c>
      <c r="CO31" s="10" t="str">
        <f t="shared" si="19"/>
        <v/>
      </c>
      <c r="CP31" s="10" t="str">
        <f t="shared" si="20"/>
        <v>Ingredients: green tea**, mandarin peels*, tulsi* 10%, cardamom* 9%, amaranth*. *From organic farming. **From organic and biodynamic farming. demeter is the brand for products from biodynamic agriculture.</v>
      </c>
      <c r="CQ31" s="10" t="str">
        <f t="shared" si="21"/>
        <v/>
      </c>
      <c r="CR31" s="10" t="str">
        <f t="shared" si="22"/>
        <v/>
      </c>
      <c r="CS31" s="10" t="str">
        <f t="shared" si="23"/>
        <v/>
      </c>
      <c r="CT31" s="10" t="str">
        <f t="shared" si="24"/>
        <v/>
      </c>
      <c r="CU31" s="10" t="str">
        <f t="shared" si="25"/>
        <v/>
      </c>
      <c r="CV31" s="10" t="str">
        <f t="shared" si="26"/>
        <v/>
      </c>
      <c r="CW31" s="10" t="str">
        <f t="shared" si="27"/>
        <v/>
      </c>
    </row>
    <row r="32" spans="1:101" ht="86.4">
      <c r="A32" s="129" t="s">
        <v>267</v>
      </c>
      <c r="B32" s="9" t="s">
        <v>782</v>
      </c>
      <c r="C32" s="9"/>
      <c r="D32" s="8" t="s">
        <v>261</v>
      </c>
      <c r="E32" s="9" t="s">
        <v>262</v>
      </c>
      <c r="F32" s="9" t="s">
        <v>263</v>
      </c>
      <c r="G32" s="9" t="s">
        <v>63</v>
      </c>
      <c r="H32" s="10" t="s">
        <v>5</v>
      </c>
      <c r="I32" s="10" t="s">
        <v>29</v>
      </c>
      <c r="J32" s="10" t="s">
        <v>29</v>
      </c>
      <c r="K32" s="10" t="s">
        <v>29</v>
      </c>
      <c r="L32" s="10" t="s">
        <v>29</v>
      </c>
      <c r="M32" s="10" t="s">
        <v>29</v>
      </c>
      <c r="N32" s="10" t="s">
        <v>47</v>
      </c>
      <c r="O32" s="9"/>
      <c r="P32" s="9" t="s">
        <v>264</v>
      </c>
      <c r="Q32" s="75" t="s">
        <v>1629</v>
      </c>
      <c r="R32" s="75" t="s">
        <v>1628</v>
      </c>
      <c r="S32" s="9"/>
      <c r="T32" s="9" t="s">
        <v>265</v>
      </c>
      <c r="U32"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32" s="9" t="s">
        <v>29</v>
      </c>
      <c r="W32" s="9"/>
      <c r="X32" s="10">
        <v>100</v>
      </c>
      <c r="Y32" s="11" t="s">
        <v>72</v>
      </c>
      <c r="Z32" s="19" t="s">
        <v>66</v>
      </c>
      <c r="AA32" s="10">
        <v>2</v>
      </c>
      <c r="AB32" s="10">
        <v>50</v>
      </c>
      <c r="AC32" s="12">
        <v>3582810246429</v>
      </c>
      <c r="AD32" s="10" t="s">
        <v>29</v>
      </c>
      <c r="AE32" s="10" t="s">
        <v>872</v>
      </c>
      <c r="AF32" s="10" t="s">
        <v>872</v>
      </c>
      <c r="AG32" s="10" t="s">
        <v>873</v>
      </c>
      <c r="AH32" s="20" t="s">
        <v>266</v>
      </c>
      <c r="AI32" s="54" t="s">
        <v>776</v>
      </c>
      <c r="AJ32" s="54" t="s">
        <v>776</v>
      </c>
      <c r="AK32" s="55">
        <v>45758</v>
      </c>
      <c r="AL32" s="10"/>
      <c r="AM32" s="10"/>
      <c r="AN32" s="10"/>
      <c r="AO32" s="10"/>
      <c r="AP32" s="10"/>
      <c r="AQ32" s="51" t="s">
        <v>261</v>
      </c>
      <c r="AR32" s="51" t="s">
        <v>1740</v>
      </c>
      <c r="AS32" s="51" t="s">
        <v>1497</v>
      </c>
      <c r="AT32" s="51" t="s">
        <v>1400</v>
      </c>
      <c r="AU32" s="51" t="s">
        <v>1667</v>
      </c>
      <c r="AV32" s="52" t="s">
        <v>1498</v>
      </c>
      <c r="AW32" s="52" t="s">
        <v>1668</v>
      </c>
      <c r="AX32" s="51"/>
      <c r="AY32" s="51"/>
      <c r="AZ32" s="51"/>
      <c r="BA32" s="51"/>
      <c r="BB32" s="51"/>
      <c r="BC32" s="51"/>
      <c r="BD32" s="51"/>
      <c r="BE32" s="51"/>
      <c r="BF32" s="92"/>
      <c r="BG32" s="92"/>
      <c r="BH32" s="92"/>
      <c r="BI32" s="92"/>
      <c r="BJ32" s="92"/>
      <c r="BK32" s="92"/>
      <c r="BL32" s="92"/>
      <c r="BN32" s="7" t="str">
        <f>IF(IFERROR(FIND("romatis",TableauJDG[[#This Row],[TYPE DE THÉ FR]]),0)=0,"","aromatisé")</f>
        <v/>
      </c>
      <c r="BV32" s="10" t="str">
        <f t="shared" si="0"/>
        <v>Parfumé de manière traditionnelle avec des fleurs fraîchement cueillies, ce thé noir au jasmin singulier se présente sous forme d’élégantes perles tigrées couleur taupe et or. Son infusion douce et veloutée offre des arômes floraux profonds accompagn</v>
      </c>
      <c r="BW32" s="10" t="str">
        <f t="shared" si="1"/>
        <v xml:space="preserve">és de notes chaudes de caramel et de cacao. Superbe !
</v>
      </c>
      <c r="BX32" s="10" t="str">
        <f t="shared" si="2"/>
        <v/>
      </c>
      <c r="BY32" s="10" t="str">
        <f t="shared" si="3"/>
        <v/>
      </c>
      <c r="BZ32" s="10" t="str">
        <f t="shared" si="4"/>
        <v>Ingrédient : thé noir au jasmin*. *Issu de l'agriculture biologique.</v>
      </c>
      <c r="CA32" s="10" t="str">
        <f t="shared" si="5"/>
        <v/>
      </c>
      <c r="CB32" s="10" t="str">
        <f t="shared" si="6"/>
        <v/>
      </c>
      <c r="CC32" s="10" t="str">
        <f t="shared" si="7"/>
        <v/>
      </c>
      <c r="CD32" s="10" t="str">
        <f t="shared" si="8"/>
        <v>/</v>
      </c>
      <c r="CE32" s="10" t="str">
        <f t="shared" si="9"/>
        <v/>
      </c>
      <c r="CF32" s="10" t="str">
        <f t="shared" si="10"/>
        <v/>
      </c>
      <c r="CG32" s="10" t="str">
        <f t="shared" si="11"/>
        <v/>
      </c>
      <c r="CH32" s="10" t="str">
        <f t="shared" si="12"/>
        <v/>
      </c>
      <c r="CI32" s="10" t="str">
        <f t="shared" si="13"/>
        <v/>
      </c>
      <c r="CJ32" s="10" t="str">
        <f t="shared" si="14"/>
        <v/>
      </c>
      <c r="CK32" s="10" t="str">
        <f t="shared" si="15"/>
        <v/>
      </c>
      <c r="CL32" s="10" t="str">
        <f t="shared" si="16"/>
        <v xml:space="preserve">Traditionally scented with freshly plucked flowers, this singular jasmine black tea comes in elegant taupe and gold tiger pearls. Its smooth, velvety infusion offers deep floral aromas accompanied by warm notes of caramel and cocoa. </v>
      </c>
      <c r="CM32" s="10" t="str">
        <f t="shared" si="17"/>
        <v/>
      </c>
      <c r="CN32" s="10" t="str">
        <f t="shared" si="18"/>
        <v/>
      </c>
      <c r="CO32" s="10" t="str">
        <f t="shared" si="19"/>
        <v/>
      </c>
      <c r="CP32" s="10" t="str">
        <f t="shared" si="20"/>
        <v>Ingredient: jasmine black tea*. *From organic farming.</v>
      </c>
      <c r="CQ32" s="10" t="str">
        <f t="shared" si="21"/>
        <v/>
      </c>
      <c r="CR32" s="10" t="str">
        <f t="shared" si="22"/>
        <v/>
      </c>
      <c r="CS32" s="10" t="str">
        <f t="shared" si="23"/>
        <v/>
      </c>
      <c r="CT32" s="10" t="str">
        <f t="shared" si="24"/>
        <v/>
      </c>
      <c r="CU32" s="10" t="str">
        <f t="shared" si="25"/>
        <v/>
      </c>
      <c r="CV32" s="10" t="str">
        <f t="shared" si="26"/>
        <v/>
      </c>
      <c r="CW32" s="10" t="str">
        <f t="shared" si="27"/>
        <v/>
      </c>
    </row>
    <row r="33" spans="1:101" ht="86.4">
      <c r="A33" s="129" t="s">
        <v>273</v>
      </c>
      <c r="B33" s="9" t="s">
        <v>782</v>
      </c>
      <c r="C33" s="9"/>
      <c r="D33" s="8" t="s">
        <v>268</v>
      </c>
      <c r="E33" s="9" t="s">
        <v>269</v>
      </c>
      <c r="F33" s="9" t="s">
        <v>270</v>
      </c>
      <c r="G33" s="9" t="s">
        <v>63</v>
      </c>
      <c r="H33" s="10" t="s">
        <v>5</v>
      </c>
      <c r="I33" s="10" t="s">
        <v>29</v>
      </c>
      <c r="J33" s="10" t="s">
        <v>29</v>
      </c>
      <c r="K33" s="10" t="s">
        <v>29</v>
      </c>
      <c r="L33" s="10" t="s">
        <v>29</v>
      </c>
      <c r="M33" s="10" t="s">
        <v>29</v>
      </c>
      <c r="N33" s="10" t="s">
        <v>47</v>
      </c>
      <c r="O33" s="9"/>
      <c r="P33" s="9" t="s">
        <v>271</v>
      </c>
      <c r="Q33" s="30" t="s">
        <v>1631</v>
      </c>
      <c r="R33" s="30" t="s">
        <v>1630</v>
      </c>
      <c r="S33" s="9"/>
      <c r="T33" s="9" t="s">
        <v>272</v>
      </c>
      <c r="U33"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33" s="9" t="s">
        <v>29</v>
      </c>
      <c r="W33" s="9" t="s">
        <v>29</v>
      </c>
      <c r="X33" s="10">
        <v>80</v>
      </c>
      <c r="Y33" s="19" t="s">
        <v>78</v>
      </c>
      <c r="Z33" s="19">
        <v>80</v>
      </c>
      <c r="AA33" s="10">
        <v>2</v>
      </c>
      <c r="AB33" s="10">
        <v>40</v>
      </c>
      <c r="AC33" s="12">
        <v>3582810681428</v>
      </c>
      <c r="AD33" s="10" t="s">
        <v>50</v>
      </c>
      <c r="AE33" s="10" t="s">
        <v>874</v>
      </c>
      <c r="AF33" s="10" t="s">
        <v>874</v>
      </c>
      <c r="AG33" s="10" t="s">
        <v>52</v>
      </c>
      <c r="AH33" s="20" t="s">
        <v>60</v>
      </c>
      <c r="AI33" s="54" t="s">
        <v>776</v>
      </c>
      <c r="AJ33" s="54" t="s">
        <v>776</v>
      </c>
      <c r="AK33" s="55">
        <v>45936</v>
      </c>
      <c r="AL33" s="10"/>
      <c r="AM33" s="10"/>
      <c r="AN33" s="10"/>
      <c r="AO33" s="10"/>
      <c r="AP33" s="10"/>
      <c r="AQ33" s="51" t="s">
        <v>268</v>
      </c>
      <c r="AR33" s="51" t="s">
        <v>1915</v>
      </c>
      <c r="AS33" s="82" t="s">
        <v>1401</v>
      </c>
      <c r="AT33" s="9" t="s">
        <v>1400</v>
      </c>
      <c r="AU33" s="51" t="s">
        <v>1916</v>
      </c>
      <c r="AV33" s="52" t="s">
        <v>1402</v>
      </c>
      <c r="AW33" s="52" t="s">
        <v>1918</v>
      </c>
      <c r="AX33" s="51"/>
      <c r="AY33" s="51"/>
      <c r="AZ33" s="51"/>
      <c r="BA33" s="51"/>
      <c r="BB33" s="51"/>
      <c r="BC33" s="51"/>
      <c r="BD33" s="51"/>
      <c r="BE33" s="51"/>
      <c r="BF33" s="92"/>
      <c r="BG33" s="92"/>
      <c r="BH33" s="92"/>
      <c r="BI33" s="92"/>
      <c r="BJ33" s="92"/>
      <c r="BK33" s="92"/>
      <c r="BL33" s="92"/>
      <c r="BN33" s="7" t="str">
        <f>IF(IFERROR(FIND("romatis",TableauJDG[[#This Row],[TYPE DE THÉ FR]]),0)=0,"","aromatisé")</f>
        <v/>
      </c>
      <c r="BV33" s="10" t="str">
        <f t="shared" si="0"/>
        <v>Ce thé blanc au jasmin de montagne dont les bourgeons ont été façonnés en de précieuses perles a été parfumé de manière traditionnelle avec des fleurs fraîchement cueillies. Son infusion offre une tasse veloutée, suave et fraîche aux arômes floraux d</v>
      </c>
      <c r="BW33" s="10" t="str">
        <f t="shared" si="1"/>
        <v xml:space="preserve">’une profondeur incomparable. Divin !
</v>
      </c>
      <c r="BX33" s="10" t="str">
        <f t="shared" si="2"/>
        <v/>
      </c>
      <c r="BY33" s="10" t="str">
        <f t="shared" si="3"/>
        <v/>
      </c>
      <c r="BZ33" s="10" t="str">
        <f t="shared" si="4"/>
        <v>Ingrédient : thé blanc au jasmin*. *Issu de l'agriculture biologique.</v>
      </c>
      <c r="CA33" s="10" t="str">
        <f t="shared" si="5"/>
        <v/>
      </c>
      <c r="CB33" s="10" t="str">
        <f t="shared" si="6"/>
        <v/>
      </c>
      <c r="CC33" s="10" t="str">
        <f t="shared" si="7"/>
        <v/>
      </c>
      <c r="CD33" s="10" t="str">
        <f t="shared" si="8"/>
        <v>/</v>
      </c>
      <c r="CE33" s="10" t="str">
        <f t="shared" si="9"/>
        <v/>
      </c>
      <c r="CF33" s="10" t="str">
        <f t="shared" si="10"/>
        <v/>
      </c>
      <c r="CG33" s="10" t="str">
        <f t="shared" si="11"/>
        <v/>
      </c>
      <c r="CH33" s="10" t="str">
        <f t="shared" si="12"/>
        <v>/</v>
      </c>
      <c r="CI33" s="10" t="str">
        <f t="shared" si="13"/>
        <v/>
      </c>
      <c r="CJ33" s="10" t="str">
        <f t="shared" si="14"/>
        <v/>
      </c>
      <c r="CK33" s="10" t="str">
        <f t="shared" si="15"/>
        <v/>
      </c>
      <c r="CL33" s="10" t="str">
        <f t="shared" si="16"/>
        <v xml:space="preserve">This white mountain jasmine tea, whose buds have been shaped into precious pearls, has been traditionally scented with freshly picked flowers. Its infusion offers a velvety, smooth and fresh cup with floral aromas of incomparable depth. </v>
      </c>
      <c r="CM33" s="10" t="str">
        <f t="shared" si="17"/>
        <v/>
      </c>
      <c r="CN33" s="10" t="str">
        <f t="shared" si="18"/>
        <v/>
      </c>
      <c r="CO33" s="10" t="str">
        <f t="shared" si="19"/>
        <v/>
      </c>
      <c r="CP33" s="10" t="str">
        <f t="shared" si="20"/>
        <v>Ingredient: jasmine white tea*. *From organic farming.</v>
      </c>
      <c r="CQ33" s="10" t="str">
        <f t="shared" si="21"/>
        <v/>
      </c>
      <c r="CR33" s="10" t="str">
        <f t="shared" si="22"/>
        <v/>
      </c>
      <c r="CS33" s="10" t="str">
        <f t="shared" si="23"/>
        <v/>
      </c>
      <c r="CT33" s="10" t="str">
        <f t="shared" si="24"/>
        <v/>
      </c>
      <c r="CU33" s="10" t="str">
        <f t="shared" si="25"/>
        <v/>
      </c>
      <c r="CV33" s="10" t="str">
        <f t="shared" si="26"/>
        <v/>
      </c>
      <c r="CW33" s="10" t="str">
        <f t="shared" si="27"/>
        <v/>
      </c>
    </row>
    <row r="34" spans="1:101" ht="72">
      <c r="A34" s="129" t="s">
        <v>279</v>
      </c>
      <c r="B34" s="9" t="s">
        <v>26</v>
      </c>
      <c r="C34" s="9"/>
      <c r="D34" s="8" t="s">
        <v>274</v>
      </c>
      <c r="E34" s="9" t="s">
        <v>275</v>
      </c>
      <c r="F34" s="9" t="s">
        <v>276</v>
      </c>
      <c r="G34" s="9" t="s">
        <v>36</v>
      </c>
      <c r="H34" s="10" t="s">
        <v>5</v>
      </c>
      <c r="I34" s="10" t="s">
        <v>6</v>
      </c>
      <c r="J34" s="10" t="s">
        <v>29</v>
      </c>
      <c r="K34" s="10" t="s">
        <v>29</v>
      </c>
      <c r="L34" s="10" t="s">
        <v>29</v>
      </c>
      <c r="M34" s="10" t="s">
        <v>29</v>
      </c>
      <c r="N34" s="10" t="s">
        <v>46</v>
      </c>
      <c r="O34" s="9"/>
      <c r="P34" s="9" t="s">
        <v>277</v>
      </c>
      <c r="Q34" s="9" t="s">
        <v>875</v>
      </c>
      <c r="R34" s="9"/>
      <c r="S34" s="9"/>
      <c r="T34" s="9" t="s">
        <v>278</v>
      </c>
      <c r="U34"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34" s="9" t="s">
        <v>29</v>
      </c>
      <c r="W34" s="9" t="s">
        <v>31</v>
      </c>
      <c r="X34" s="10">
        <v>100</v>
      </c>
      <c r="Y34" s="11" t="s">
        <v>32</v>
      </c>
      <c r="Z34" s="19">
        <v>90</v>
      </c>
      <c r="AA34" s="10">
        <v>2</v>
      </c>
      <c r="AB34" s="10">
        <v>50</v>
      </c>
      <c r="AC34" s="12">
        <v>3582810471623</v>
      </c>
      <c r="AD34" s="10" t="s">
        <v>29</v>
      </c>
      <c r="AE34" s="10" t="s">
        <v>280</v>
      </c>
      <c r="AF34" s="10" t="s">
        <v>876</v>
      </c>
      <c r="AG34" s="10" t="s">
        <v>877</v>
      </c>
      <c r="AH34" s="20" t="s">
        <v>38</v>
      </c>
      <c r="AI34" s="54" t="s">
        <v>776</v>
      </c>
      <c r="AJ34" s="54" t="s">
        <v>776</v>
      </c>
      <c r="AK34" s="55">
        <v>45698</v>
      </c>
      <c r="AL34" s="10"/>
      <c r="AM34" s="10">
        <v>25031</v>
      </c>
      <c r="AN34" s="10"/>
      <c r="AO34" s="10"/>
      <c r="AP34" s="10"/>
      <c r="AQ34" s="51" t="s">
        <v>1386</v>
      </c>
      <c r="AR34" s="51" t="s">
        <v>1387</v>
      </c>
      <c r="AS34" s="82" t="s">
        <v>1550</v>
      </c>
      <c r="AT34" s="82" t="s">
        <v>1383</v>
      </c>
      <c r="AU34" s="96" t="s">
        <v>1917</v>
      </c>
      <c r="AV34" s="82" t="s">
        <v>1388</v>
      </c>
      <c r="AW34" s="52"/>
      <c r="AX34" s="51"/>
      <c r="AY34" s="51"/>
      <c r="AZ34" s="51"/>
      <c r="BA34" s="51"/>
      <c r="BB34" s="51"/>
      <c r="BC34" s="51"/>
      <c r="BD34" s="51"/>
      <c r="BE34" s="51"/>
      <c r="BF34" s="92"/>
      <c r="BG34" s="92"/>
      <c r="BH34" s="92"/>
      <c r="BI34" s="92"/>
      <c r="BJ34" s="92"/>
      <c r="BK34" s="92"/>
      <c r="BL34" s="92"/>
      <c r="BN34" s="7" t="str">
        <f>IF(IFERROR(FIND("romatis",TableauJDG[[#This Row],[TYPE DE THÉ FR]]),0)=0,"","aromatisé")</f>
        <v/>
      </c>
      <c r="BV34" s="10" t="s">
        <v>1952</v>
      </c>
      <c r="BW34" s="10" t="s">
        <v>1953</v>
      </c>
      <c r="BX34" s="10" t="str">
        <f t="shared" ref="BX34:BX64" si="28">IF(MID($Q34,251,1)=" ",IF(MID($Q34,500,1)=" ",IF(MID($Q34,749,1)=" ",MID($Q34,499,249),IF(MID($Q34,748,1)=" ",MID($Q34,499,248),MID($Q34,499,250))),IF(MID($Q34,499,1)=" ",IF(MID($Q34,748,1)=" ",MID($Q34,498,249),IF(MID($Q34,747,1)=" ",MID($Q34,498,248),MID($Q34,498,250))),IF(MID($Q34,750,1)=" ",MID($Q34,500,249),IF(MID($Q34,749,1)=" ",MID($Q34,500,248),MID($Q34,500,250))))),IF(MID($Q34,250,1)=" ",IF(MID($Q34,499,1)=" ",IF(MID($Q34,746,1)=" ",MID($Q34,498,247),IF(MID($Q34,745,1)=" ",MID($Q34,498,246),MID($Q34,498,248))),IF(MID($Q34,498,1)=" ",IF(MID($Q34,745,1)=" ",MID($Q34,497,247),IF(MID($Q34,744,1)=" ",MID($Q34,497,246),MID($Q34,497,248))),IF(MID($Q34,749,1)=" ",MID($Q34,499,249),IF(MID($Q34,748,1)=" ",MID($Q34,499,248),MID($Q34,499,250))))),IF(MID($Q34,501,1)=" ",IF(MID($Q34,750,1)=" ",MID($Q34,500,249),IF(MID($Q34,749,1)=" ",MID($Q34,500,248),MID($Q34,500,250))),IF(MID($Q34,500,1)=" ",IF(MID($Q34,749,1)=" ",MID($Q34,499,249),IF(MID($Q34,750,1)=" ",MID($Q34,499,249),MID($Q34,499,250))),IF(MID($Q34,751,1)=" ",MID($Q34,501,249),IF(MID($Q34,750,1)=" ",MID($Q34,501,248),MID($Q34,501,250)))))))</f>
        <v/>
      </c>
      <c r="BY34" s="10" t="str">
        <f t="shared" ref="BY34:BY64" si="29">IF(MID($Q34,251,1)=" ",IF(MID($Q34,500,1)=" ",IF(MID($Q34,749,1)=" ",MID($Q34,748,250),IF(MID($Q34,748,1)=" ",MID($Q34,747,250),MID($Q34,749,250))),IF(MID($Q34,499,1)=" ",IF(MID($Q34,748,1)=" ",MID($Q34,747,250),IF(MID($Q34,747,1)=" ",MID($Q34,746,250),MID($Q34,748,250))),IF(MID($Q34,750,1)=" ",MID($Q34,749,250),IF(MID($Q34,749,1)=" ",MID($Q34,748,250),MID($Q34,750,250))))),IF(MID($Q34,250,1)=" ",IF(MID($Q34,499,1)=" ",IF(MID($Q34,746,1)=" ",MID($Q34,745,250),IF(MID($Q34,745,1)=" ",MID($Q34,744,250),MID($Q34,746,250))),IF(MID($Q34,498,1)=" ",IF(MID($Q34,745,1)=" ",MID($Q34,744,250),IF(MID($Q34,744,1)=" ",MID($Q34,743,250),MID($Q34,745,250))),IF(MID($Q34,749,1)=" ",MID($Q34,748,250),IF(MID($Q34,748,1)=" ",MID($Q34,747,250),MID($Q34,749,250))))),IF(MID($Q34,501,1)=" ",IF(MID($Q34,750,1)=" ",MID($Q34,749,250),IF(MID($Q34,749,1)=" ",MID($Q34,748,250),MID($Q34,750,250))),IF(MID($Q34,500,1)=" ",IF(MID($Q34,749,1)=" ",MID($Q34,748,250),IF(MID($Q34,750,1)=" ",MID($Q34,749,250),MID($Q34,750,250))),IF(MID($Q34,751,1)=" ",MID($Q34,750,250),IF(MID($Q34,750,1)=" ",MID($Q34,749,250),MID($Q34,751,250)))))))</f>
        <v/>
      </c>
      <c r="BZ34" s="10" t="str">
        <f t="shared" ref="BZ34:BZ64" si="30">IF(MID($T34,251,1)=" ",MID($T34,1,249),IF(MID($T34,250,1)=" ",MID($T34,1,248),MID($T34,1,250)))</f>
        <v>Ingrédients : thé noir*, cannelle* 24%, feuilles de cannellier*. *Issu de l'agriculture biologique.</v>
      </c>
      <c r="CA34" s="10" t="str">
        <f t="shared" ref="CA34:CA64" si="31">IF(MID($T34,251,1)=" ",IF(MID($T34,500,1)=" ",MID($T34,250,249),IF(MID($T34,499,1)=" ",MID($T34,250,248),MID($T34,250,250))),IF(MID($T34,250,1)=" ",IF(MID($T34,499,1)=" ",MID($T34,249,249),IF(MID($T34,498,1)=" ",MID($T34,249,248),MID($T34,249,250))),IF(MID($T34,501,1)=" ",MID($T34,251,249),IF(MID($T34,500,1)=" ",MID($T34,251,248),MID($T34,251,250)))))</f>
        <v/>
      </c>
      <c r="CB34" s="10" t="str">
        <f t="shared" ref="CB34:CB64" si="32">IF(MID($T34,251,1)=" ",IF(MID($T34,500,1)=" ",IF(MID($T34,749,1)=" ",MID($T34,499,249),IF(MID($T34,748,1)=" ",MID($T34,499,248),MID($T34,499,250))),IF(MID($T34,499,1)=" ",IF(MID($T34,748,1)=" ",MID($T34,498,249),IF(MID($T34,747,1)=" ",MID($T34,498,248),MID($T34,498,250))),IF(MID($T34,750,1)=" ",MID($T34,500,249),IF(MID($T34,749,1)=" ",MID($T34,500,248),MID($T34,500,250))))),IF(MID($T34,250,1)=" ",IF(MID($T34,499,1)=" ",IF(MID($T34,746,1)=" ",MID($T34,498,247),IF(MID($T34,745,1)=" ",MID($T34,498,246),MID($T34,498,248))),IF(MID($T34,498,1)=" ",IF(MID($T34,745,1)=" ",MID($T34,497,247),IF(MID($T34,744,1)=" ",MID($T34,497,246),MID($T34,497,248))),IF(MID($T34,749,1)=" ",MID($T34,499,249),IF(MID($T34,748,1)=" ",MID($T34,499,248),MID($T34,499,250))))),IF(MID($T34,501,1)=" ",IF(MID($T34,750,1)=" ",MID($T34,500,249),IF(MID($T34,749,1)=" ",MID($T34,500,248),MID($T34,500,250))),IF(MID($T34,500,1)=" ",IF(MID($T34,749,1)=" ",MID($T34,499,249),IF(MID($T34,750,1)=" ",MID($T34,499,249),MID($T34,499,250))),IF(MID($T34,751,1)=" ",MID($T34,501,249),IF(MID($T34,750,1)=" ",MID($T34,501,248),MID($T34,501,250)))))))</f>
        <v/>
      </c>
      <c r="CC34" s="10" t="str">
        <f t="shared" ref="CC34:CC64" si="33">IF(MID($T34,251,1)=" ",IF(MID($T34,500,1)=" ",IF(MID($T34,749,1)=" ",MID($T34,748,250),IF(MID($T34,748,1)=" ",MID($T34,747,250),MID($T34,749,250))),IF(MID($T34,499,1)=" ",IF(MID($T34,748,1)=" ",MID($T34,747,250),IF(MID($T34,747,1)=" ",MID($T34,746,250),MID($T34,748,250))),IF(MID($T34,750,1)=" ",MID($T34,749,250),IF(MID($T34,749,1)=" ",MID($T34,748,250),MID($T34,750,250))))),IF(MID($T34,250,1)=" ",IF(MID($T34,499,1)=" ",IF(MID($T34,746,1)=" ",MID($T34,745,250),IF(MID($T34,745,1)=" ",MID($T34,744,250),MID($T34,746,250))),IF(MID($T34,498,1)=" ",IF(MID($T34,745,1)=" ",MID($T34,744,250),IF(MID($T34,744,1)=" ",MID($T34,743,250),MID($T34,745,250))),IF(MID($T34,749,1)=" ",MID($T34,748,250),IF(MID($T34,748,1)=" ",MID($T34,747,250),MID($T34,749,250))))),IF(MID($T34,501,1)=" ",IF(MID($T34,750,1)=" ",MID($T34,749,250),IF(MID($T34,749,1)=" ",MID($T34,748,250),MID($T34,750,250))),IF(MID($T34,500,1)=" ",IF(MID($T34,749,1)=" ",MID($T34,748,250),IF(MID($T34,750,1)=" ",MID($T34,749,250),MID($T34,750,250))),IF(MID($T34,751,1)=" ",MID($T34,750,250),IF(MID($T34,750,1)=" ",MID($T34,749,250),MID($T34,751,250)))))))</f>
        <v/>
      </c>
      <c r="CD34" s="10" t="str">
        <f t="shared" ref="CD34:CD64" si="34">IF(MID($V34,251,1)=" ",MID($V34,1,249),IF(MID($V34,250,1)=" ",MID($V34,1,248),MID($V34,1,250)))</f>
        <v>/</v>
      </c>
      <c r="CE34" s="10" t="str">
        <f t="shared" ref="CE34:CE64" si="35">IF(MID($V34,251,1)=" ",IF(MID($V34,500,1)=" ",MID($V34,250,249),IF(MID($V34,499,1)=" ",MID($V34,250,248),MID($V34,250,250))),IF(MID($V34,250,1)=" ",IF(MID($V34,499,1)=" ",MID($V34,249,249),IF(MID($V34,498,1)=" ",MID($V34,249,248),MID($V34,249,250))),IF(MID($V34,501,1)=" ",MID($V34,251,249),IF(MID($V34,500,1)=" ",MID($V34,251,248),MID($V34,251,250)))))</f>
        <v/>
      </c>
      <c r="CF34" s="10" t="str">
        <f t="shared" ref="CF34:CF64" si="36">IF(MID($V34,251,1)=" ",IF(MID($V34,500,1)=" ",IF(MID($V34,749,1)=" ",MID($V34,499,249),IF(MID($V34,748,1)=" ",MID($V34,499,248),MID($V34,499,250))),IF(MID($V34,499,1)=" ",IF(MID($V34,748,1)=" ",MID($V34,498,249),IF(MID($V34,747,1)=" ",MID($V34,498,248),MID($V34,498,250))),IF(MID($V34,750,1)=" ",MID($V34,500,249),IF(MID($V34,749,1)=" ",MID($V34,500,248),MID($V34,500,250))))),IF(MID($V34,250,1)=" ",IF(MID($V34,499,1)=" ",IF(MID($V34,746,1)=" ",MID($V34,498,247),IF(MID($V34,745,1)=" ",MID($V34,498,246),MID($V34,498,248))),IF(MID($V34,498,1)=" ",IF(MID($V34,745,1)=" ",MID($V34,497,247),IF(MID($V34,744,1)=" ",MID($V34,497,246),MID($V34,497,248))),IF(MID($V34,749,1)=" ",MID($V34,499,249),IF(MID($V34,748,1)=" ",MID($V34,499,248),MID($V34,499,250))))),IF(MID($V34,501,1)=" ",IF(MID($V34,750,1)=" ",MID($V34,500,249),IF(MID($V34,749,1)=" ",MID($V34,500,248),MID($V34,500,250))),IF(MID($V34,500,1)=" ",IF(MID($V34,749,1)=" ",MID($V34,499,249),IF(MID($V34,750,1)=" ",MID($V34,499,249),MID($V34,499,250))),IF(MID($V34,751,1)=" ",MID($V34,501,249),IF(MID($V34,750,1)=" ",MID($V34,501,248),MID($V34,501,250)))))))</f>
        <v/>
      </c>
      <c r="CG34" s="10" t="str">
        <f t="shared" ref="CG34:CG64" si="37">IF(MID($V34,251,1)=" ",IF(MID($V34,500,1)=" ",IF(MID($V34,749,1)=" ",MID($V34,748,250),IF(MID($V34,748,1)=" ",MID($V34,747,250),MID($V34,749,250))),IF(MID($V34,499,1)=" ",IF(MID($V34,748,1)=" ",MID($V34,747,250),IF(MID($V34,747,1)=" ",MID($V34,746,250),MID($V34,748,250))),IF(MID($V34,750,1)=" ",MID($V34,749,250),IF(MID($V34,749,1)=" ",MID($V34,748,250),MID($V34,750,250))))),IF(MID($V34,250,1)=" ",IF(MID($V34,499,1)=" ",IF(MID($V34,746,1)=" ",MID($V34,745,250),IF(MID($V34,745,1)=" ",MID($V34,744,250),MID($V34,746,250))),IF(MID($V34,498,1)=" ",IF(MID($V34,745,1)=" ",MID($V34,744,250),IF(MID($V34,744,1)=" ",MID($V34,743,250),MID($V34,745,250))),IF(MID($V34,749,1)=" ",MID($V34,748,250),IF(MID($V34,748,1)=" ",MID($V34,747,250),MID($V34,749,250))))),IF(MID($V34,501,1)=" ",IF(MID($V34,750,1)=" ",MID($V34,749,250),IF(MID($V34,749,1)=" ",MID($V34,748,250),MID($V34,750,250))),IF(MID($V34,500,1)=" ",IF(MID($V34,749,1)=" ",MID($V34,748,250),IF(MID($V34,750,1)=" ",MID($V34,749,250),MID($V34,750,250))),IF(MID($V34,751,1)=" ",MID($V34,750,250),IF(MID($V34,750,1)=" ",MID($V34,749,250),MID($V34,751,250)))))))</f>
        <v/>
      </c>
      <c r="CH34" s="10" t="str">
        <f t="shared" ref="CH34:CH64" si="38">IF(MID($W34,251,1)=" ",MID($W34,1,249),IF(MID($W34,250,1)=" ",MID($W34,1,248),MID($W34,1,250)))</f>
        <v>Membre certifié World Fair Trade Organization, Les Jardins de Gaïa s’engagent pour un commerce plus juste et répondent aux exigences du commerce équitable. Pour en savoir plus : www.wfto.com.</v>
      </c>
      <c r="CI34" s="10" t="str">
        <f t="shared" ref="CI34:CI64" si="39">IF(MID($W34,251,1)=" ",IF(MID($W34,500,1)=" ",MID($W34,250,249),IF(MID($W34,499,1)=" ",MID($W34,250,248),MID($W34,250,250))),IF(MID($W34,250,1)=" ",IF(MID($W34,499,1)=" ",MID($W34,249,249),IF(MID($W34,498,1)=" ",MID($W34,249,248),MID($W34,249,250))),IF(MID($W34,501,1)=" ",MID($W34,251,249),IF(MID($W34,500,1)=" ",MID($W34,251,248),MID($W34,251,250)))))</f>
        <v/>
      </c>
      <c r="CJ34" s="10" t="str">
        <f t="shared" ref="CJ34:CJ64" si="40">IF(MID($W34,251,1)=" ",IF(MID($W34,500,1)=" ",IF(MID($W34,749,1)=" ",MID($W34,499,249),IF(MID($W34,748,1)=" ",MID($W34,499,248),MID($W34,499,250))),IF(MID($W34,499,1)=" ",IF(MID($W34,748,1)=" ",MID($W34,498,249),IF(MID($W34,747,1)=" ",MID($W34,498,248),MID($W34,498,250))),IF(MID($W34,750,1)=" ",MID($W34,500,249),IF(MID($W34,749,1)=" ",MID($W34,500,248),MID($W34,500,250))))),IF(MID($W34,250,1)=" ",IF(MID($W34,499,1)=" ",IF(MID($W34,746,1)=" ",MID($W34,498,247),IF(MID($W34,745,1)=" ",MID($W34,498,246),MID($W34,498,248))),IF(MID($W34,498,1)=" ",IF(MID($W34,745,1)=" ",MID($W34,497,247),IF(MID($W34,744,1)=" ",MID($W34,497,246),MID($W34,497,248))),IF(MID($W34,749,1)=" ",MID($W34,499,249),IF(MID($W34,748,1)=" ",MID($W34,499,248),MID($W34,499,250))))),IF(MID($W34,501,1)=" ",IF(MID($W34,750,1)=" ",MID($W34,500,249),IF(MID($W34,749,1)=" ",MID($W34,500,248),MID($W34,500,250))),IF(MID($W34,500,1)=" ",IF(MID($W34,749,1)=" ",MID($W34,499,249),IF(MID($W34,750,1)=" ",MID($W34,499,249),MID($W34,499,250))),IF(MID($W34,751,1)=" ",MID($W34,501,249),IF(MID($W34,750,1)=" ",MID($W34,501,248),MID($W34,501,250)))))))</f>
        <v/>
      </c>
      <c r="CK34" s="10" t="str">
        <f t="shared" ref="CK34:CK64" si="41">IF(MID($W34,251,1)=" ",IF(MID($W34,500,1)=" ",IF(MID($W34,749,1)=" ",MID($W34,748,250),IF(MID($W34,748,1)=" ",MID($W34,747,250),MID($W34,749,250))),IF(MID($W34,499,1)=" ",IF(MID($W34,748,1)=" ",MID($W34,747,250),IF(MID($W34,747,1)=" ",MID($W34,746,250),MID($W34,748,250))),IF(MID($W34,750,1)=" ",MID($W34,749,250),IF(MID($W34,749,1)=" ",MID($W34,748,250),MID($W34,750,250))))),IF(MID($W34,250,1)=" ",IF(MID($W34,499,1)=" ",IF(MID($W34,746,1)=" ",MID($W34,745,250),IF(MID($W34,745,1)=" ",MID($W34,744,250),MID($W34,746,250))),IF(MID($W34,498,1)=" ",IF(MID($W34,745,1)=" ",MID($W34,744,250),IF(MID($W34,744,1)=" ",MID($W34,743,250),MID($W34,745,250))),IF(MID($W34,749,1)=" ",MID($W34,748,250),IF(MID($W34,748,1)=" ",MID($W34,747,250),MID($W34,749,250))))),IF(MID($W34,501,1)=" ",IF(MID($W34,750,1)=" ",MID($W34,749,250),IF(MID($W34,749,1)=" ",MID($W34,748,250),MID($W34,750,250))),IF(MID($W34,500,1)=" ",IF(MID($W34,749,1)=" ",MID($W34,748,250),IF(MID($W34,750,1)=" ",MID($W34,749,250),MID($W34,750,250))),IF(MID($W34,751,1)=" ",MID($W34,750,250),IF(MID($W34,750,1)=" ",MID($W34,749,250),MID($W34,751,250)))))))</f>
        <v/>
      </c>
      <c r="CL34" s="10" t="str">
        <f t="shared" ref="CL34:CL64" si="42">IF(MID($AU34,251,1)=" ",MID($AU34,1,249),IF(MID($AU34,250,1)=" ",MID($AU34,1,248),MID($AU34,1,250)))</f>
        <v>Short text: Mountain white tea pearls scented with fresh jasmine flowers, using the traditional method. Smooth and fresh.</v>
      </c>
      <c r="CM34" s="10" t="str">
        <f t="shared" ref="CM34:CM64" si="43">IF(MID($AU34,251,1)=" ",IF(MID($AU34,500,1)=" ",MID($AU34,250,249),IF(MID($AU34,499,1)=" ",MID($AU34,250,248),MID($AU34,250,250))),IF(MID($AU34,250,1)=" ",IF(MID($AU34,499,1)=" ",MID($AU34,249,249),IF(MID($AU34,498,1)=" ",MID($AU34,249,248),MID($AU34,249,250))),IF(MID($AU34,501,1)=" ",MID($AU34,251,249),IF(MID($AU34,500,1)=" ",MID($AU34,251,248),MID($AU34,251,250)))))</f>
        <v/>
      </c>
      <c r="CN34" s="10" t="str">
        <f t="shared" ref="CN34:CN64" si="44">IF(MID($AU34,251,1)=" ",IF(MID($AU34,500,1)=" ",IF(MID($AU34,749,1)=" ",MID($AU34,499,249),IF(MID($AU34,748,1)=" ",MID($AU34,499,248),MID($AU34,499,250))),IF(MID($AU34,499,1)=" ",IF(MID($AU34,748,1)=" ",MID($AU34,498,249),IF(MID($AU34,747,1)=" ",MID($AU34,498,248),MID($AU34,498,250))),IF(MID($AU34,750,1)=" ",MID($AU34,500,249),IF(MID($AU34,749,1)=" ",MID($AU34,500,248),MID($AU34,500,250))))),IF(MID($AU34,250,1)=" ",IF(MID($AU34,499,1)=" ",IF(MID($AU34,746,1)=" ",MID($AU34,498,247),IF(MID($AU34,745,1)=" ",MID($AU34,498,246),MID($AU34,498,248))),IF(MID($AU34,498,1)=" ",IF(MID($AU34,745,1)=" ",MID($AU34,497,247),IF(MID($AU34,744,1)=" ",MID($AU34,497,246),MID($AU34,497,248))),IF(MID($AU34,749,1)=" ",MID($AU34,499,249),IF(MID($AU34,748,1)=" ",MID($AU34,499,248),MID($AU34,499,250))))),IF(MID($AU34,501,1)=" ",IF(MID($AU34,750,1)=" ",MID($AU34,500,249),IF(MID($AU34,749,1)=" ",MID($AU34,500,248),MID($AU34,500,250))),IF(MID($AU34,500,1)=" ",IF(MID($AU34,749,1)=" ",MID($AU34,499,249),IF(MID($AU34,750,1)=" ",MID($AU34,499,249),MID($AU34,499,250))),IF(MID($AU34,751,1)=" ",MID($AU34,501,249),IF(MID($AU34,750,1)=" ",MID($AU34,501,248),MID($AU34,501,250)))))))</f>
        <v/>
      </c>
      <c r="CO34" s="10" t="str">
        <f t="shared" ref="CO34:CO64" si="45">IF(MID($AU34,251,1)=" ",IF(MID($AU34,500,1)=" ",IF(MID($AU34,749,1)=" ",MID($AU34,748,250),IF(MID($AU34,748,1)=" ",MID($AU34,747,250),MID($AU34,749,250))),IF(MID($AU34,499,1)=" ",IF(MID($AU34,748,1)=" ",MID($AU34,747,250),IF(MID($AU34,747,1)=" ",MID($AU34,746,250),MID($AU34,748,250))),IF(MID($AU34,750,1)=" ",MID($AU34,749,250),IF(MID($AU34,749,1)=" ",MID($AU34,748,250),MID($AU34,750,250))))),IF(MID($AU34,250,1)=" ",IF(MID($AU34,499,1)=" ",IF(MID($AU34,746,1)=" ",MID($AU34,745,250),IF(MID($AU34,745,1)=" ",MID($AU34,744,250),MID($AU34,746,250))),IF(MID($AU34,498,1)=" ",IF(MID($AU34,745,1)=" ",MID($AU34,744,250),IF(MID($AU34,744,1)=" ",MID($AU34,743,250),MID($AU34,745,250))),IF(MID($AU34,749,1)=" ",MID($AU34,748,250),IF(MID($AU34,748,1)=" ",MID($AU34,747,250),MID($AU34,749,250))))),IF(MID($AU34,501,1)=" ",IF(MID($AU34,750,1)=" ",MID($AU34,749,250),IF(MID($AU34,749,1)=" ",MID($AU34,748,250),MID($AU34,750,250))),IF(MID($AU34,500,1)=" ",IF(MID($AU34,749,1)=" ",MID($AU34,748,250),IF(MID($AU34,750,1)=" ",MID($AU34,749,250),MID($AU34,750,250))),IF(MID($AU34,751,1)=" ",MID($AU34,750,250),IF(MID($AU34,750,1)=" ",MID($AU34,749,250),MID($AU34,751,250)))))))</f>
        <v/>
      </c>
      <c r="CP34" s="10" t="str">
        <f t="shared" ref="CP34:CP64" si="46">IF(MID($AV34,251,1)=" ",MID($AV34,1,249),IF(MID($AV34,250,1)=" ",MID($AV34,1,248),MID($AV34,1,250)))</f>
        <v xml:space="preserve">Ingredients: black tea*, cinnamon* 24%, cinnamon leaves*. *From organic farming. </v>
      </c>
      <c r="CQ34" s="10" t="str">
        <f t="shared" ref="CQ34:CQ64" si="47">IF(MID($AV34,251,1)=" ",IF(MID($AV34,500,1)=" ",MID($AV34,250,249),IF(MID($AV34,499,1)=" ",MID($AV34,250,248),MID($AV34,250,250))),IF(MID($AV34,250,1)=" ",IF(MID($AV34,499,1)=" ",MID($AV34,249,249),IF(MID($AV34,498,1)=" ",MID($AV34,249,248),MID($AV34,249,250))),IF(MID($AV34,501,1)=" ",MID($AV34,251,249),IF(MID($AV34,500,1)=" ",MID($AV34,251,248),MID($AV34,251,250)))))</f>
        <v/>
      </c>
      <c r="CR34" s="10" t="str">
        <f t="shared" ref="CR34:CR64" si="48">IF(MID($AV34,251,1)=" ",IF(MID($AV34,500,1)=" ",IF(MID($AV34,749,1)=" ",MID($AV34,499,249),IF(MID($AV34,748,1)=" ",MID($AV34,499,248),MID($AV34,499,250))),IF(MID($AV34,499,1)=" ",IF(MID($AV34,748,1)=" ",MID($AV34,498,249),IF(MID($AV34,747,1)=" ",MID($AV34,498,248),MID($AV34,498,250))),IF(MID($AV34,750,1)=" ",MID($AV34,500,249),IF(MID($AV34,749,1)=" ",MID($AV34,500,248),MID($AV34,500,250))))),IF(MID($AV34,250,1)=" ",IF(MID($AV34,499,1)=" ",IF(MID($AV34,746,1)=" ",MID($AV34,498,247),IF(MID($AV34,745,1)=" ",MID($AV34,498,246),MID($AV34,498,248))),IF(MID($AV34,498,1)=" ",IF(MID($AV34,745,1)=" ",MID($AV34,497,247),IF(MID($AV34,744,1)=" ",MID($AV34,497,246),MID($AV34,497,248))),IF(MID($AV34,749,1)=" ",MID($AV34,499,249),IF(MID($AV34,748,1)=" ",MID($AV34,499,248),MID($AV34,499,250))))),IF(MID($AV34,501,1)=" ",IF(MID($AV34,750,1)=" ",MID($AV34,500,249),IF(MID($AV34,749,1)=" ",MID($AV34,500,248),MID($AV34,500,250))),IF(MID($AV34,500,1)=" ",IF(MID($AV34,749,1)=" ",MID($AV34,499,249),IF(MID($AV34,750,1)=" ",MID($AV34,499,249),MID($AV34,499,250))),IF(MID($AV34,751,1)=" ",MID($AV34,501,249),IF(MID($AV34,750,1)=" ",MID($AV34,501,248),MID($AV34,501,250)))))))</f>
        <v/>
      </c>
      <c r="CS34" s="10" t="str">
        <f t="shared" ref="CS34:CS64" si="49">IF(MID($AV34,251,1)=" ",IF(MID($AV34,500,1)=" ",IF(MID($AV34,749,1)=" ",MID($AV34,748,250),IF(MID($AV34,748,1)=" ",MID($AV34,747,250),MID($AV34,749,250))),IF(MID($AV34,499,1)=" ",IF(MID($AV34,748,1)=" ",MID($AV34,747,250),IF(MID($AV34,747,1)=" ",MID($AV34,746,250),MID($AV34,748,250))),IF(MID($AV34,750,1)=" ",MID($AV34,749,250),IF(MID($AV34,749,1)=" ",MID($AV34,748,250),MID($AV34,750,250))))),IF(MID($AV34,250,1)=" ",IF(MID($AV34,499,1)=" ",IF(MID($AV34,746,1)=" ",MID($AV34,745,250),IF(MID($AV34,745,1)=" ",MID($AV34,744,250),MID($AV34,746,250))),IF(MID($AV34,498,1)=" ",IF(MID($AV34,745,1)=" ",MID($AV34,744,250),IF(MID($AV34,744,1)=" ",MID($AV34,743,250),MID($AV34,745,250))),IF(MID($AV34,749,1)=" ",MID($AV34,748,250),IF(MID($AV34,748,1)=" ",MID($AV34,747,250),MID($AV34,749,250))))),IF(MID($AV34,501,1)=" ",IF(MID($AV34,750,1)=" ",MID($AV34,749,250),IF(MID($AV34,749,1)=" ",MID($AV34,748,250),MID($AV34,750,250))),IF(MID($AV34,500,1)=" ",IF(MID($AV34,749,1)=" ",MID($AV34,748,250),IF(MID($AV34,750,1)=" ",MID($AV34,749,250),MID($AV34,750,250))),IF(MID($AV34,751,1)=" ",MID($AV34,750,250),IF(MID($AV34,750,1)=" ",MID($AV34,749,250),MID($AV34,751,250)))))))</f>
        <v/>
      </c>
      <c r="CT34" s="10" t="str">
        <f t="shared" ref="CT34:CT64" si="50">IF(MID($AX34,251,1)=" ",MID($AX34,1,249),IF(MID($AX34,250,1)=" ",MID($AX34,1,248),MID($AX34,1,250)))</f>
        <v/>
      </c>
      <c r="CU34" s="10" t="str">
        <f t="shared" ref="CU34:CU64" si="51">IF(MID($AX34,251,1)=" ",IF(MID($AX34,500,1)=" ",MID($AX34,250,249),IF(MID($AX34,499,1)=" ",MID($AX34,250,248),MID($AX34,250,250))),IF(MID($AX34,250,1)=" ",IF(MID($AX34,499,1)=" ",MID($AX34,249,249),IF(MID($AX34,498,1)=" ",MID($AX34,249,248),MID($AX34,249,250))),IF(MID($AX34,501,1)=" ",MID($AX34,251,249),IF(MID($AX34,500,1)=" ",MID($AX34,251,248),MID($AX34,251,250)))))</f>
        <v/>
      </c>
      <c r="CV34" s="10" t="str">
        <f t="shared" ref="CV34:CV64" si="52">IF(MID($AX34,251,1)=" ",IF(MID($AX34,500,1)=" ",IF(MID($AX34,749,1)=" ",MID($AX34,499,249),IF(MID($AX34,748,1)=" ",MID($AX34,499,248),MID($AX34,499,250))),IF(MID($AX34,499,1)=" ",IF(MID($AX34,748,1)=" ",MID($AX34,498,249),IF(MID($AX34,747,1)=" ",MID($AX34,498,248),MID($AX34,498,250))),IF(MID($AX34,750,1)=" ",MID($AX34,500,249),IF(MID($AX34,749,1)=" ",MID($AX34,500,248),MID($AX34,500,250))))),IF(MID($AX34,250,1)=" ",IF(MID($AX34,499,1)=" ",IF(MID($AX34,746,1)=" ",MID($AX34,498,247),IF(MID($AX34,745,1)=" ",MID($AX34,498,246),MID($AX34,498,248))),IF(MID($AX34,498,1)=" ",IF(MID($AX34,745,1)=" ",MID($AX34,497,247),IF(MID($AX34,744,1)=" ",MID($AX34,497,246),MID($AX34,497,248))),IF(MID($AX34,749,1)=" ",MID($AX34,499,249),IF(MID($AX34,748,1)=" ",MID($AX34,499,248),MID($AX34,499,250))))),IF(MID($AX34,501,1)=" ",IF(MID($AX34,750,1)=" ",MID($AX34,500,249),IF(MID($AX34,749,1)=" ",MID($AX34,500,248),MID($AX34,500,250))),IF(MID($AX34,500,1)=" ",IF(MID($AX34,749,1)=" ",MID($AX34,499,249),IF(MID($AX34,750,1)=" ",MID($AX34,499,249),MID($AX34,499,250))),IF(MID($AX34,751,1)=" ",MID($AX34,501,249),IF(MID($AX34,750,1)=" ",MID($AX34,501,248),MID($AX34,501,250)))))))</f>
        <v/>
      </c>
      <c r="CW34" s="10" t="str">
        <f t="shared" ref="CW34:CW64" si="53">IF(MID($AX34,251,1)=" ",IF(MID($AX34,500,1)=" ",IF(MID($AX34,749,1)=" ",MID($AX34,748,250),IF(MID($AX34,748,1)=" ",MID($AX34,747,250),MID($AX34,749,250))),IF(MID($AX34,499,1)=" ",IF(MID($AX34,748,1)=" ",MID($AX34,747,250),IF(MID($AX34,747,1)=" ",MID($AX34,746,250),MID($AX34,748,250))),IF(MID($AX34,750,1)=" ",MID($AX34,749,250),IF(MID($AX34,749,1)=" ",MID($AX34,748,250),MID($AX34,750,250))))),IF(MID($AX34,250,1)=" ",IF(MID($AX34,499,1)=" ",IF(MID($AX34,746,1)=" ",MID($AX34,745,250),IF(MID($AX34,745,1)=" ",MID($AX34,744,250),MID($AX34,746,250))),IF(MID($AX34,498,1)=" ",IF(MID($AX34,745,1)=" ",MID($AX34,744,250),IF(MID($AX34,744,1)=" ",MID($AX34,743,250),MID($AX34,745,250))),IF(MID($AX34,749,1)=" ",MID($AX34,748,250),IF(MID($AX34,748,1)=" ",MID($AX34,747,250),MID($AX34,749,250))))),IF(MID($AX34,501,1)=" ",IF(MID($AX34,750,1)=" ",MID($AX34,749,250),IF(MID($AX34,749,1)=" ",MID($AX34,748,250),MID($AX34,750,250))),IF(MID($AX34,500,1)=" ",IF(MID($AX34,749,1)=" ",MID($AX34,748,250),IF(MID($AX34,750,1)=" ",MID($AX34,749,250),MID($AX34,750,250))),IF(MID($AX34,751,1)=" ",MID($AX34,750,250),IF(MID($AX34,750,1)=" ",MID($AX34,749,250),MID($AX34,751,250)))))))</f>
        <v/>
      </c>
    </row>
    <row r="35" spans="1:101" ht="115.2">
      <c r="A35" s="129" t="s">
        <v>284</v>
      </c>
      <c r="B35" s="9" t="s">
        <v>26</v>
      </c>
      <c r="C35" s="9"/>
      <c r="D35" s="8" t="s">
        <v>281</v>
      </c>
      <c r="E35" s="9" t="s">
        <v>282</v>
      </c>
      <c r="F35" s="9" t="s">
        <v>27</v>
      </c>
      <c r="G35" s="9" t="s">
        <v>215</v>
      </c>
      <c r="H35" s="10" t="s">
        <v>5</v>
      </c>
      <c r="I35" s="10" t="s">
        <v>6</v>
      </c>
      <c r="J35" s="10" t="s">
        <v>29</v>
      </c>
      <c r="K35" s="10" t="s">
        <v>29</v>
      </c>
      <c r="L35" s="10" t="s">
        <v>29</v>
      </c>
      <c r="M35" s="10" t="s">
        <v>29</v>
      </c>
      <c r="N35" s="10" t="s">
        <v>47</v>
      </c>
      <c r="O35" s="9"/>
      <c r="P35" s="9" t="s">
        <v>283</v>
      </c>
      <c r="Q35" s="98" t="s">
        <v>878</v>
      </c>
      <c r="R35" s="26"/>
      <c r="S35" s="9"/>
      <c r="T35" s="9" t="s">
        <v>69</v>
      </c>
      <c r="U35"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35" s="9" t="s">
        <v>29</v>
      </c>
      <c r="W35" s="9" t="s">
        <v>31</v>
      </c>
      <c r="X35" s="10">
        <v>100</v>
      </c>
      <c r="Y35" s="11" t="s">
        <v>32</v>
      </c>
      <c r="Z35" s="19">
        <v>95</v>
      </c>
      <c r="AA35" s="10">
        <v>2</v>
      </c>
      <c r="AB35" s="10">
        <v>50</v>
      </c>
      <c r="AC35" s="12">
        <v>3582810240328</v>
      </c>
      <c r="AD35" s="10" t="s">
        <v>29</v>
      </c>
      <c r="AE35" s="10" t="s">
        <v>285</v>
      </c>
      <c r="AF35" s="10" t="s">
        <v>879</v>
      </c>
      <c r="AG35" s="10" t="s">
        <v>880</v>
      </c>
      <c r="AH35" s="20" t="s">
        <v>51</v>
      </c>
      <c r="AI35" s="54" t="s">
        <v>776</v>
      </c>
      <c r="AJ35" s="54" t="s">
        <v>776</v>
      </c>
      <c r="AK35" s="55">
        <v>45701</v>
      </c>
      <c r="AL35" s="10"/>
      <c r="AM35" s="10">
        <v>24034</v>
      </c>
      <c r="AN35" s="10"/>
      <c r="AO35" s="50" t="s">
        <v>774</v>
      </c>
      <c r="AP35" s="50" t="s">
        <v>1581</v>
      </c>
      <c r="AQ35" s="51" t="s">
        <v>281</v>
      </c>
      <c r="AR35" s="51" t="s">
        <v>282</v>
      </c>
      <c r="AS35" s="87" t="s">
        <v>1562</v>
      </c>
      <c r="AT35" s="87" t="e">
        <f>VLOOKUP(A35,TRADS,14,0)</f>
        <v>#REF!</v>
      </c>
      <c r="AU35" s="87" t="s">
        <v>1490</v>
      </c>
      <c r="AV35" s="87" t="s">
        <v>1482</v>
      </c>
      <c r="AW35" s="87"/>
      <c r="AX35" s="87" t="s">
        <v>29</v>
      </c>
      <c r="AY35" s="51" t="s">
        <v>1262</v>
      </c>
      <c r="AZ35" s="51" t="s">
        <v>1263</v>
      </c>
      <c r="BA35" s="51">
        <v>0</v>
      </c>
      <c r="BB35" s="51" t="s">
        <v>1642</v>
      </c>
      <c r="BC35" s="51" t="s">
        <v>1574</v>
      </c>
      <c r="BD35" s="51" t="s">
        <v>1287</v>
      </c>
      <c r="BE35" s="51"/>
      <c r="BF35" s="92"/>
      <c r="BG35" s="92"/>
      <c r="BH35" s="92"/>
      <c r="BI35" s="92"/>
      <c r="BJ35" s="92"/>
      <c r="BK35" s="92"/>
      <c r="BL35" s="92"/>
      <c r="BN35" s="7" t="str">
        <f>IF(IFERROR(FIND("romatis",TableauJDG[[#This Row],[TYPE DE THÉ FR]]),0)=0,"","aromatisé")</f>
        <v/>
      </c>
      <c r="BV35" s="10" t="str">
        <f t="shared" ref="BV35:BV65" si="54">IF(MID($Q35,251,1)=" ",MID($Q35,1,249),IF(MID($Q35,250,1)=" ",MID($Q35,1,248),MID($Q35,1,250)))</f>
        <v>Cette excellente récolte de thé noir Keemun, très populaire en Chine pour sa gourmandise, offre une infusion longue en bouche, moelleuse et savoureuse. On apprécie son parfum subtil d’orchidée, légèrement sucré et ses saveurs profondes aux notes d’ép</v>
      </c>
      <c r="BW35" s="10" t="str">
        <f t="shared" ref="BW35:BW65" si="55">IF(MID($Q35,251,1)=" ",IF(MID($Q35,500,1)=" ",MID($Q35,250,249),IF(MID($Q35,499,1)=" ",MID($Q35,250,248),MID($Q35,250,250))),IF(MID($Q35,250,1)=" ",IF(MID($Q35,499,1)=" ",MID($Q35,249,249),IF(MID($Q35,498,1)=" ",MID($Q35,249,248),MID($Q35,249,250))),IF(MID($Q35,501,1)=" ",MID($Q35,251,249),IF(MID($Q35,500,1)=" ",MID($Q35,251,248),MID($Q35,251,250)))))</f>
        <v>ices et de chocolat noir typiques.</v>
      </c>
      <c r="BX35" s="10" t="str">
        <f t="shared" si="28"/>
        <v/>
      </c>
      <c r="BY35" s="10" t="str">
        <f t="shared" si="29"/>
        <v/>
      </c>
      <c r="BZ35" s="10" t="str">
        <f t="shared" si="30"/>
        <v>Ingrédient : thé noir*. *Issu de l'agriculture biologique.</v>
      </c>
      <c r="CA35" s="10" t="str">
        <f t="shared" si="31"/>
        <v/>
      </c>
      <c r="CB35" s="10" t="str">
        <f t="shared" si="32"/>
        <v/>
      </c>
      <c r="CC35" s="10" t="str">
        <f t="shared" si="33"/>
        <v/>
      </c>
      <c r="CD35" s="10" t="str">
        <f t="shared" si="34"/>
        <v>/</v>
      </c>
      <c r="CE35" s="10" t="str">
        <f t="shared" si="35"/>
        <v/>
      </c>
      <c r="CF35" s="10" t="str">
        <f t="shared" si="36"/>
        <v/>
      </c>
      <c r="CG35" s="10" t="str">
        <f t="shared" si="37"/>
        <v/>
      </c>
      <c r="CH35" s="10" t="str">
        <f t="shared" si="38"/>
        <v>Membre certifié World Fair Trade Organization, Les Jardins de Gaïa s’engagent pour un commerce plus juste et répondent aux exigences du commerce équitable. Pour en savoir plus : www.wfto.com.</v>
      </c>
      <c r="CI35" s="10" t="str">
        <f t="shared" si="39"/>
        <v/>
      </c>
      <c r="CJ35" s="10" t="str">
        <f t="shared" si="40"/>
        <v/>
      </c>
      <c r="CK35" s="10" t="str">
        <f t="shared" si="41"/>
        <v/>
      </c>
      <c r="CL35" s="10" t="str">
        <f t="shared" si="42"/>
        <v>This excellent crop of Keemun black tea, very popular in China for its indulgent taste, offers a long-lasting, mellow and flavourful infusion. It has a subtle, slightly sweet orchid fragrance and deep flavours with typical spice and dark chocolate no</v>
      </c>
      <c r="CM35" s="10" t="str">
        <f t="shared" si="43"/>
        <v>tes.</v>
      </c>
      <c r="CN35" s="10" t="str">
        <f t="shared" si="44"/>
        <v/>
      </c>
      <c r="CO35" s="10" t="str">
        <f t="shared" si="45"/>
        <v/>
      </c>
      <c r="CP35" s="10" t="str">
        <f t="shared" si="46"/>
        <v xml:space="preserve">Ingredient: black tea*. *From organic farming. </v>
      </c>
      <c r="CQ35" s="10" t="str">
        <f t="shared" si="47"/>
        <v/>
      </c>
      <c r="CR35" s="10" t="str">
        <f t="shared" si="48"/>
        <v/>
      </c>
      <c r="CS35" s="10" t="str">
        <f t="shared" si="49"/>
        <v/>
      </c>
      <c r="CT35" s="10" t="str">
        <f t="shared" si="50"/>
        <v>/</v>
      </c>
      <c r="CU35" s="10" t="str">
        <f t="shared" si="51"/>
        <v/>
      </c>
      <c r="CV35" s="10" t="str">
        <f t="shared" si="52"/>
        <v/>
      </c>
      <c r="CW35" s="10" t="str">
        <f t="shared" si="53"/>
        <v/>
      </c>
    </row>
    <row r="36" spans="1:101" ht="78">
      <c r="A36" s="129" t="s">
        <v>291</v>
      </c>
      <c r="B36" s="9" t="s">
        <v>26</v>
      </c>
      <c r="C36" s="9"/>
      <c r="D36" s="8" t="s">
        <v>286</v>
      </c>
      <c r="E36" s="9" t="s">
        <v>287</v>
      </c>
      <c r="F36" s="9" t="s">
        <v>27</v>
      </c>
      <c r="G36" s="9" t="s">
        <v>288</v>
      </c>
      <c r="H36" s="10" t="s">
        <v>5</v>
      </c>
      <c r="I36" s="10" t="s">
        <v>6</v>
      </c>
      <c r="J36" s="10" t="s">
        <v>29</v>
      </c>
      <c r="K36" s="10" t="s">
        <v>29</v>
      </c>
      <c r="L36" s="10" t="s">
        <v>29</v>
      </c>
      <c r="M36" s="10" t="s">
        <v>29</v>
      </c>
      <c r="N36" s="10" t="s">
        <v>30</v>
      </c>
      <c r="O36" s="9"/>
      <c r="P36" s="9" t="s">
        <v>289</v>
      </c>
      <c r="Q36" s="9" t="s">
        <v>881</v>
      </c>
      <c r="R36" s="9"/>
      <c r="S36" s="9"/>
      <c r="T36" s="9" t="s">
        <v>69</v>
      </c>
      <c r="U36"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36" s="9" t="s">
        <v>29</v>
      </c>
      <c r="W36" s="9" t="s">
        <v>31</v>
      </c>
      <c r="X36" s="10">
        <v>100</v>
      </c>
      <c r="Y36" s="11" t="s">
        <v>59</v>
      </c>
      <c r="Z36" s="19">
        <v>95</v>
      </c>
      <c r="AA36" s="10">
        <v>2</v>
      </c>
      <c r="AB36" s="10">
        <v>50</v>
      </c>
      <c r="AC36" s="12">
        <v>3582810252024</v>
      </c>
      <c r="AD36" s="10" t="s">
        <v>29</v>
      </c>
      <c r="AE36" s="10" t="s">
        <v>292</v>
      </c>
      <c r="AF36" s="10" t="s">
        <v>882</v>
      </c>
      <c r="AG36" s="10" t="s">
        <v>883</v>
      </c>
      <c r="AH36" s="20" t="s">
        <v>290</v>
      </c>
      <c r="AI36" s="54" t="s">
        <v>776</v>
      </c>
      <c r="AJ36" s="54" t="s">
        <v>776</v>
      </c>
      <c r="AK36" s="55">
        <v>45674</v>
      </c>
      <c r="AL36" s="10"/>
      <c r="AM36" s="10">
        <v>25013</v>
      </c>
      <c r="AN36" s="10"/>
      <c r="AO36" s="10"/>
      <c r="AP36" s="10"/>
      <c r="AQ36" s="51" t="s">
        <v>286</v>
      </c>
      <c r="AR36" s="51" t="s">
        <v>287</v>
      </c>
      <c r="AS36" s="51" t="s">
        <v>1562</v>
      </c>
      <c r="AT36" s="51" t="s">
        <v>1477</v>
      </c>
      <c r="AU36" s="96" t="s">
        <v>1501</v>
      </c>
      <c r="AV36" s="82" t="s">
        <v>741</v>
      </c>
      <c r="AW36" s="52"/>
      <c r="AX36" s="51"/>
      <c r="AY36" s="51"/>
      <c r="AZ36" s="51"/>
      <c r="BA36" s="51"/>
      <c r="BB36" s="51"/>
      <c r="BC36" s="51"/>
      <c r="BD36" s="51"/>
      <c r="BE36" s="51"/>
      <c r="BF36" s="92"/>
      <c r="BG36" s="92"/>
      <c r="BH36" s="92"/>
      <c r="BI36" s="92"/>
      <c r="BJ36" s="92"/>
      <c r="BK36" s="92"/>
      <c r="BL36" s="92"/>
      <c r="BN36" s="7" t="str">
        <f>IF(IFERROR(FIND("romatis",TableauJDG[[#This Row],[TYPE DE THÉ FR]]),0)=0,"","aromatisé")</f>
        <v/>
      </c>
      <c r="BV36" s="10" t="str">
        <f t="shared" si="54"/>
        <v>Cultivé sur des terres traditionnellement dédiées aux épices, ce thé noir issu de jardins de petits producteurs est une belle réussite. Sa liqueur souple couleur châtaigne aux notes de gingembre et de poivre doux reflète agréablement la grande riches</v>
      </c>
      <c r="BW36" s="10" t="str">
        <f t="shared" si="55"/>
        <v>se de son terroir.</v>
      </c>
      <c r="BX36" s="10" t="str">
        <f t="shared" si="28"/>
        <v/>
      </c>
      <c r="BY36" s="10" t="str">
        <f t="shared" si="29"/>
        <v/>
      </c>
      <c r="BZ36" s="10" t="str">
        <f t="shared" si="30"/>
        <v>Ingrédient : thé noir*. *Issu de l'agriculture biologique.</v>
      </c>
      <c r="CA36" s="10" t="str">
        <f t="shared" si="31"/>
        <v/>
      </c>
      <c r="CB36" s="10" t="str">
        <f t="shared" si="32"/>
        <v/>
      </c>
      <c r="CC36" s="10" t="str">
        <f t="shared" si="33"/>
        <v/>
      </c>
      <c r="CD36" s="10" t="str">
        <f t="shared" si="34"/>
        <v>/</v>
      </c>
      <c r="CE36" s="10" t="str">
        <f t="shared" si="35"/>
        <v/>
      </c>
      <c r="CF36" s="10" t="str">
        <f t="shared" si="36"/>
        <v/>
      </c>
      <c r="CG36" s="10" t="str">
        <f t="shared" si="37"/>
        <v/>
      </c>
      <c r="CH36" s="10" t="str">
        <f t="shared" si="38"/>
        <v>Membre certifié World Fair Trade Organization, Les Jardins de Gaïa s’engagent pour un commerce plus juste et répondent aux exigences du commerce équitable. Pour en savoir plus : www.wfto.com.</v>
      </c>
      <c r="CI36" s="10" t="str">
        <f t="shared" si="39"/>
        <v/>
      </c>
      <c r="CJ36" s="10" t="str">
        <f t="shared" si="40"/>
        <v/>
      </c>
      <c r="CK36" s="10" t="str">
        <f t="shared" si="41"/>
        <v/>
      </c>
      <c r="CL36" s="10" t="str">
        <f t="shared" si="42"/>
        <v>Grown on land traditionally dedicated to spices, this black tea from smallholder gardens is a great success. Its supple chestnut-colored cup, with notes of ginger and sweet pepper, pleasantly reflects the richness of its terroir.</v>
      </c>
      <c r="CM36" s="10" t="str">
        <f t="shared" si="43"/>
        <v/>
      </c>
      <c r="CN36" s="10" t="str">
        <f t="shared" si="44"/>
        <v/>
      </c>
      <c r="CO36" s="10" t="str">
        <f t="shared" si="45"/>
        <v/>
      </c>
      <c r="CP36" s="10" t="str">
        <f t="shared" si="46"/>
        <v>Ingredient: black tea*. *From organic farming.</v>
      </c>
      <c r="CQ36" s="10" t="str">
        <f t="shared" si="47"/>
        <v/>
      </c>
      <c r="CR36" s="10" t="str">
        <f t="shared" si="48"/>
        <v/>
      </c>
      <c r="CS36" s="10" t="str">
        <f t="shared" si="49"/>
        <v/>
      </c>
      <c r="CT36" s="10" t="str">
        <f t="shared" si="50"/>
        <v/>
      </c>
      <c r="CU36" s="10" t="str">
        <f t="shared" si="51"/>
        <v/>
      </c>
      <c r="CV36" s="10" t="str">
        <f t="shared" si="52"/>
        <v/>
      </c>
      <c r="CW36" s="10" t="str">
        <f t="shared" si="53"/>
        <v/>
      </c>
    </row>
    <row r="37" spans="1:101" ht="93.6">
      <c r="A37" s="129" t="s">
        <v>297</v>
      </c>
      <c r="B37" s="9" t="s">
        <v>26</v>
      </c>
      <c r="C37" s="9"/>
      <c r="D37" s="8" t="s">
        <v>293</v>
      </c>
      <c r="E37" s="9" t="s">
        <v>294</v>
      </c>
      <c r="F37" s="9" t="s">
        <v>53</v>
      </c>
      <c r="G37" s="9" t="s">
        <v>295</v>
      </c>
      <c r="H37" s="10" t="s">
        <v>5</v>
      </c>
      <c r="I37" s="10" t="s">
        <v>29</v>
      </c>
      <c r="J37" s="10" t="s">
        <v>29</v>
      </c>
      <c r="K37" s="10" t="s">
        <v>29</v>
      </c>
      <c r="L37" s="10" t="s">
        <v>29</v>
      </c>
      <c r="M37" s="10" t="s">
        <v>29</v>
      </c>
      <c r="N37" s="10" t="s">
        <v>55</v>
      </c>
      <c r="O37" s="9"/>
      <c r="P37" s="9" t="s">
        <v>296</v>
      </c>
      <c r="Q37" s="9" t="s">
        <v>884</v>
      </c>
      <c r="R37" s="9"/>
      <c r="S37" s="9"/>
      <c r="T37" s="9" t="s">
        <v>56</v>
      </c>
      <c r="U37"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37" s="9" t="s">
        <v>29</v>
      </c>
      <c r="W37" s="9" t="s">
        <v>29</v>
      </c>
      <c r="X37" s="10">
        <v>80</v>
      </c>
      <c r="Y37" s="19" t="s">
        <v>111</v>
      </c>
      <c r="Z37" s="19">
        <v>80</v>
      </c>
      <c r="AA37" s="10">
        <v>2</v>
      </c>
      <c r="AB37" s="10">
        <v>40</v>
      </c>
      <c r="AC37" s="12">
        <v>3582810322529</v>
      </c>
      <c r="AD37" s="10" t="s">
        <v>50</v>
      </c>
      <c r="AE37" s="10" t="s">
        <v>885</v>
      </c>
      <c r="AF37" s="10" t="s">
        <v>885</v>
      </c>
      <c r="AG37" s="10" t="s">
        <v>886</v>
      </c>
      <c r="AH37" s="20" t="s">
        <v>54</v>
      </c>
      <c r="AI37" s="54" t="s">
        <v>776</v>
      </c>
      <c r="AJ37" s="54" t="s">
        <v>776</v>
      </c>
      <c r="AK37" s="55">
        <v>45701</v>
      </c>
      <c r="AL37" s="10"/>
      <c r="AM37" s="10">
        <v>25035</v>
      </c>
      <c r="AN37" s="10"/>
      <c r="AO37" s="10"/>
      <c r="AP37" s="10"/>
      <c r="AQ37" s="51" t="s">
        <v>293</v>
      </c>
      <c r="AR37" s="51" t="s">
        <v>1455</v>
      </c>
      <c r="AS37" s="82" t="s">
        <v>1563</v>
      </c>
      <c r="AT37" s="9" t="s">
        <v>1456</v>
      </c>
      <c r="AU37" s="96" t="s">
        <v>1457</v>
      </c>
      <c r="AV37" s="82" t="s">
        <v>145</v>
      </c>
      <c r="AW37" s="52"/>
      <c r="AX37" s="51"/>
      <c r="AY37" s="51"/>
      <c r="AZ37" s="51"/>
      <c r="BA37" s="51"/>
      <c r="BB37" s="51"/>
      <c r="BC37" s="51"/>
      <c r="BD37" s="51"/>
      <c r="BE37" s="51"/>
      <c r="BF37" s="92"/>
      <c r="BG37" s="92"/>
      <c r="BH37" s="92"/>
      <c r="BI37" s="92"/>
      <c r="BJ37" s="92"/>
      <c r="BK37" s="92"/>
      <c r="BL37" s="92"/>
      <c r="BN37" s="7" t="str">
        <f>IF(IFERROR(FIND("romatis",TableauJDG[[#This Row],[TYPE DE THÉ FR]]),0)=0,"","aromatisé")</f>
        <v/>
      </c>
      <c r="BV37" s="10" t="str">
        <f t="shared" si="54"/>
        <v>Très populaire au Japon, le kuki hojicha est un thé vert torréfié qui a la particularité d’être composé de brindilles et de tiges de feuilles. Ses saveurs de pain grillé et de noisettes, accompagnées de notes végétales et fruitées accompagnent à merv</v>
      </c>
      <c r="BW37" s="10" t="str">
        <f t="shared" si="55"/>
        <v>eille un repas.</v>
      </c>
      <c r="BX37" s="10" t="str">
        <f t="shared" si="28"/>
        <v/>
      </c>
      <c r="BY37" s="10" t="str">
        <f t="shared" si="29"/>
        <v/>
      </c>
      <c r="BZ37" s="10" t="str">
        <f t="shared" si="30"/>
        <v>Ingrédient : thé vert*. *Issu de l'agriculture biologique.</v>
      </c>
      <c r="CA37" s="10" t="str">
        <f t="shared" si="31"/>
        <v/>
      </c>
      <c r="CB37" s="10" t="str">
        <f t="shared" si="32"/>
        <v/>
      </c>
      <c r="CC37" s="10" t="str">
        <f t="shared" si="33"/>
        <v/>
      </c>
      <c r="CD37" s="10" t="str">
        <f t="shared" si="34"/>
        <v>/</v>
      </c>
      <c r="CE37" s="10" t="str">
        <f t="shared" si="35"/>
        <v/>
      </c>
      <c r="CF37" s="10" t="str">
        <f t="shared" si="36"/>
        <v/>
      </c>
      <c r="CG37" s="10" t="str">
        <f t="shared" si="37"/>
        <v/>
      </c>
      <c r="CH37" s="10" t="str">
        <f t="shared" si="38"/>
        <v>/</v>
      </c>
      <c r="CI37" s="10" t="str">
        <f t="shared" si="39"/>
        <v/>
      </c>
      <c r="CJ37" s="10" t="str">
        <f t="shared" si="40"/>
        <v/>
      </c>
      <c r="CK37" s="10" t="str">
        <f t="shared" si="41"/>
        <v/>
      </c>
      <c r="CL37" s="10" t="str">
        <f t="shared" si="42"/>
        <v>Very popular in Japan, kuki hojicha is a roasted green tea that has the particularity of being composed of twigs and leaf stems. Its toasted bread and hazelnut flavours, accompanied by vegetal and fruity notes, are perfect with a meal.</v>
      </c>
      <c r="CM37" s="10" t="str">
        <f t="shared" si="43"/>
        <v/>
      </c>
      <c r="CN37" s="10" t="str">
        <f t="shared" si="44"/>
        <v/>
      </c>
      <c r="CO37" s="10" t="str">
        <f t="shared" si="45"/>
        <v/>
      </c>
      <c r="CP37" s="10" t="str">
        <f t="shared" si="46"/>
        <v>Ingredient: green tea*. *From organic farming.</v>
      </c>
      <c r="CQ37" s="10" t="str">
        <f t="shared" si="47"/>
        <v/>
      </c>
      <c r="CR37" s="10" t="str">
        <f t="shared" si="48"/>
        <v/>
      </c>
      <c r="CS37" s="10" t="str">
        <f t="shared" si="49"/>
        <v/>
      </c>
      <c r="CT37" s="10" t="str">
        <f t="shared" si="50"/>
        <v/>
      </c>
      <c r="CU37" s="10" t="str">
        <f t="shared" si="51"/>
        <v/>
      </c>
      <c r="CV37" s="10" t="str">
        <f t="shared" si="52"/>
        <v/>
      </c>
      <c r="CW37" s="10" t="str">
        <f t="shared" si="53"/>
        <v/>
      </c>
    </row>
    <row r="38" spans="1:101" ht="86.4">
      <c r="A38" s="129" t="s">
        <v>300</v>
      </c>
      <c r="B38" s="9" t="s">
        <v>26</v>
      </c>
      <c r="C38" s="9"/>
      <c r="D38" s="8" t="s">
        <v>298</v>
      </c>
      <c r="E38" s="9" t="s">
        <v>29</v>
      </c>
      <c r="F38" s="9" t="s">
        <v>53</v>
      </c>
      <c r="G38" s="9" t="s">
        <v>108</v>
      </c>
      <c r="H38" s="10" t="s">
        <v>5</v>
      </c>
      <c r="I38" s="10" t="s">
        <v>29</v>
      </c>
      <c r="J38" s="10" t="s">
        <v>29</v>
      </c>
      <c r="K38" s="10" t="s">
        <v>29</v>
      </c>
      <c r="L38" s="10" t="s">
        <v>29</v>
      </c>
      <c r="M38" s="10" t="s">
        <v>29</v>
      </c>
      <c r="N38" s="10" t="s">
        <v>109</v>
      </c>
      <c r="O38" s="9"/>
      <c r="P38" s="9" t="s">
        <v>299</v>
      </c>
      <c r="Q38" s="9" t="s">
        <v>887</v>
      </c>
      <c r="R38" s="9"/>
      <c r="S38" s="9"/>
      <c r="T38" s="9" t="s">
        <v>56</v>
      </c>
      <c r="U38"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38" s="9" t="s">
        <v>29</v>
      </c>
      <c r="W38" s="9" t="s">
        <v>29</v>
      </c>
      <c r="X38" s="10">
        <v>100</v>
      </c>
      <c r="Y38" s="19" t="s">
        <v>111</v>
      </c>
      <c r="Z38" s="19">
        <v>80</v>
      </c>
      <c r="AA38" s="10">
        <v>2</v>
      </c>
      <c r="AB38" s="10">
        <v>50</v>
      </c>
      <c r="AC38" s="12">
        <v>3582810312728</v>
      </c>
      <c r="AD38" s="10" t="s">
        <v>29</v>
      </c>
      <c r="AE38" s="10" t="s">
        <v>301</v>
      </c>
      <c r="AF38" s="10" t="s">
        <v>888</v>
      </c>
      <c r="AG38" s="10" t="s">
        <v>889</v>
      </c>
      <c r="AH38" s="20" t="s">
        <v>799</v>
      </c>
      <c r="AI38" s="54" t="s">
        <v>776</v>
      </c>
      <c r="AJ38" s="54" t="s">
        <v>776</v>
      </c>
      <c r="AK38" s="55">
        <v>45665</v>
      </c>
      <c r="AL38" s="10"/>
      <c r="AM38" s="10">
        <v>25008</v>
      </c>
      <c r="AN38" s="10"/>
      <c r="AO38" s="10"/>
      <c r="AP38" s="10"/>
      <c r="AQ38" s="51" t="s">
        <v>1538</v>
      </c>
      <c r="AR38" s="51"/>
      <c r="AS38" s="51" t="s">
        <v>1563</v>
      </c>
      <c r="AT38" s="51"/>
      <c r="AU38" s="63" t="s">
        <v>1539</v>
      </c>
      <c r="AV38" s="52" t="s">
        <v>145</v>
      </c>
      <c r="AW38" s="52"/>
      <c r="AX38" s="51"/>
      <c r="AY38" s="51"/>
      <c r="AZ38" s="51"/>
      <c r="BA38" s="51"/>
      <c r="BB38" s="51"/>
      <c r="BC38" s="51"/>
      <c r="BD38" s="51"/>
      <c r="BE38" s="51"/>
      <c r="BF38" s="92"/>
      <c r="BG38" s="92"/>
      <c r="BH38" s="92"/>
      <c r="BI38" s="92"/>
      <c r="BJ38" s="92"/>
      <c r="BK38" s="92"/>
      <c r="BL38" s="92"/>
      <c r="BN38" s="7" t="str">
        <f>IF(IFERROR(FIND("romatis",TableauJDG[[#This Row],[TYPE DE THÉ FR]]),0)=0,"","aromatisé")</f>
        <v/>
      </c>
      <c r="BV38" s="10" t="str">
        <f t="shared" si="54"/>
        <v>Cultivé et travaillé dans le respect des traditions japonaises, ce thé vert sud-coréen issu de l’île de Jeju est composé de fines feuilles et de tiges soigneusement sélectionnées. Sa tasse lumineuse et équilibrée offre d’agréables saveurs minérales e</v>
      </c>
      <c r="BW38" s="10" t="str">
        <f t="shared" si="55"/>
        <v>t herbacées à la fois douces et rafraîchissantes.</v>
      </c>
      <c r="BX38" s="10" t="str">
        <f t="shared" si="28"/>
        <v/>
      </c>
      <c r="BY38" s="10" t="str">
        <f t="shared" si="29"/>
        <v/>
      </c>
      <c r="BZ38" s="10" t="str">
        <f t="shared" si="30"/>
        <v>Ingrédient : thé vert*. *Issu de l'agriculture biologique.</v>
      </c>
      <c r="CA38" s="10" t="str">
        <f t="shared" si="31"/>
        <v/>
      </c>
      <c r="CB38" s="10" t="str">
        <f t="shared" si="32"/>
        <v/>
      </c>
      <c r="CC38" s="10" t="str">
        <f t="shared" si="33"/>
        <v/>
      </c>
      <c r="CD38" s="10" t="str">
        <f t="shared" si="34"/>
        <v>/</v>
      </c>
      <c r="CE38" s="10" t="str">
        <f t="shared" si="35"/>
        <v/>
      </c>
      <c r="CF38" s="10" t="str">
        <f t="shared" si="36"/>
        <v/>
      </c>
      <c r="CG38" s="10" t="str">
        <f t="shared" si="37"/>
        <v/>
      </c>
      <c r="CH38" s="10" t="str">
        <f t="shared" si="38"/>
        <v>/</v>
      </c>
      <c r="CI38" s="10" t="str">
        <f t="shared" si="39"/>
        <v/>
      </c>
      <c r="CJ38" s="10" t="str">
        <f t="shared" si="40"/>
        <v/>
      </c>
      <c r="CK38" s="10" t="str">
        <f t="shared" si="41"/>
        <v/>
      </c>
      <c r="CL38" s="10" t="str">
        <f t="shared" si="42"/>
        <v>Grown and processed according to Japanese traditions, this South Korean green tea from Jeju Island is made from carefully selected fine leaves and stems. Its bright, well-balanced cup offers pleasant mineral and herbaceous flavours that are both swee</v>
      </c>
      <c r="CM38" s="10" t="str">
        <f t="shared" si="43"/>
        <v>t and refreshing.</v>
      </c>
      <c r="CN38" s="10" t="str">
        <f t="shared" si="44"/>
        <v/>
      </c>
      <c r="CO38" s="10" t="str">
        <f t="shared" si="45"/>
        <v/>
      </c>
      <c r="CP38" s="10" t="str">
        <f t="shared" si="46"/>
        <v>Ingredient: green tea*. *From organic farming.</v>
      </c>
      <c r="CQ38" s="10" t="str">
        <f t="shared" si="47"/>
        <v/>
      </c>
      <c r="CR38" s="10" t="str">
        <f t="shared" si="48"/>
        <v/>
      </c>
      <c r="CS38" s="10" t="str">
        <f t="shared" si="49"/>
        <v/>
      </c>
      <c r="CT38" s="10" t="str">
        <f t="shared" si="50"/>
        <v/>
      </c>
      <c r="CU38" s="10" t="str">
        <f t="shared" si="51"/>
        <v/>
      </c>
      <c r="CV38" s="10" t="str">
        <f t="shared" si="52"/>
        <v/>
      </c>
      <c r="CW38" s="10" t="str">
        <f t="shared" si="53"/>
        <v/>
      </c>
    </row>
    <row r="39" spans="1:101" ht="115.2">
      <c r="A39" s="129" t="s">
        <v>306</v>
      </c>
      <c r="B39" s="9" t="s">
        <v>26</v>
      </c>
      <c r="C39" s="9"/>
      <c r="D39" s="8" t="s">
        <v>302</v>
      </c>
      <c r="E39" s="9" t="s">
        <v>303</v>
      </c>
      <c r="F39" s="9" t="s">
        <v>57</v>
      </c>
      <c r="G39" s="17" t="s">
        <v>110</v>
      </c>
      <c r="H39" s="10" t="s">
        <v>5</v>
      </c>
      <c r="I39" s="10" t="s">
        <v>6</v>
      </c>
      <c r="J39" s="10" t="s">
        <v>29</v>
      </c>
      <c r="K39" s="10" t="s">
        <v>29</v>
      </c>
      <c r="L39" s="10" t="s">
        <v>29</v>
      </c>
      <c r="M39" s="10" t="s">
        <v>29</v>
      </c>
      <c r="N39" s="10" t="s">
        <v>37</v>
      </c>
      <c r="O39" s="9"/>
      <c r="P39" s="9" t="s">
        <v>304</v>
      </c>
      <c r="Q39" s="69" t="s">
        <v>891</v>
      </c>
      <c r="R39" s="69"/>
      <c r="S39" s="9"/>
      <c r="T39" s="9" t="s">
        <v>892</v>
      </c>
      <c r="U39"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39" s="9" t="s">
        <v>29</v>
      </c>
      <c r="W39" s="9" t="s">
        <v>31</v>
      </c>
      <c r="X39" s="10">
        <v>100</v>
      </c>
      <c r="Y39" s="19" t="s">
        <v>59</v>
      </c>
      <c r="Z39" s="19">
        <v>75</v>
      </c>
      <c r="AA39" s="10">
        <v>2</v>
      </c>
      <c r="AB39" s="10">
        <v>50</v>
      </c>
      <c r="AC39" s="12">
        <v>3582810868225</v>
      </c>
      <c r="AD39" s="10" t="s">
        <v>29</v>
      </c>
      <c r="AE39" s="10" t="s">
        <v>307</v>
      </c>
      <c r="AF39" s="10" t="s">
        <v>895</v>
      </c>
      <c r="AG39" s="10" t="s">
        <v>896</v>
      </c>
      <c r="AH39" s="20" t="s">
        <v>38</v>
      </c>
      <c r="AI39" s="54" t="s">
        <v>776</v>
      </c>
      <c r="AJ39" s="54" t="s">
        <v>776</v>
      </c>
      <c r="AK39" s="55">
        <v>45621</v>
      </c>
      <c r="AL39" s="10"/>
      <c r="AM39" s="10">
        <v>24348</v>
      </c>
      <c r="AN39" s="10"/>
      <c r="AO39" s="50" t="s">
        <v>774</v>
      </c>
      <c r="AP39" s="50" t="s">
        <v>1582</v>
      </c>
      <c r="AQ39" s="51" t="s">
        <v>305</v>
      </c>
      <c r="AR39" s="51" t="s">
        <v>303</v>
      </c>
      <c r="AS39" s="87" t="s">
        <v>1555</v>
      </c>
      <c r="AT39" s="87" t="e">
        <f>VLOOKUP(A39,TRADS,14,0)</f>
        <v>#REF!</v>
      </c>
      <c r="AU39" s="63" t="s">
        <v>893</v>
      </c>
      <c r="AV39" s="52" t="s">
        <v>894</v>
      </c>
      <c r="AW39" s="52"/>
      <c r="AX39" s="51"/>
      <c r="AY39" s="51" t="s">
        <v>1248</v>
      </c>
      <c r="AZ39" s="51" t="s">
        <v>1249</v>
      </c>
      <c r="BA39" s="51">
        <v>0</v>
      </c>
      <c r="BB39" s="51" t="s">
        <v>1642</v>
      </c>
      <c r="BC39" s="51" t="s">
        <v>1573</v>
      </c>
      <c r="BD39" s="51" t="s">
        <v>1287</v>
      </c>
      <c r="BE39" s="51"/>
      <c r="BF39" s="92"/>
      <c r="BG39" s="92"/>
      <c r="BH39" s="92"/>
      <c r="BI39" s="92"/>
      <c r="BJ39" s="92"/>
      <c r="BK39" s="92"/>
      <c r="BL39" s="92"/>
      <c r="BM39" s="93">
        <v>1</v>
      </c>
      <c r="BN39" s="7" t="str">
        <f>IF(IFERROR(FIND("romatis",TableauJDG[[#This Row],[TYPE DE THÉ FR]]),0)=0,"","aromatisé")</f>
        <v>aromatisé</v>
      </c>
      <c r="BV39" s="10" t="str">
        <f t="shared" si="54"/>
        <v>Mettez-vous l’eau à la bouche avec ce mariage délicieusement fruité d’un thé vert tout en fraîcheur et de notes d’orange sensuellement fruitées. Une expérience voluptueuse qui s’apprécie aussi bien dans une infusion chaude que glacée.</v>
      </c>
      <c r="BW39" s="10" t="str">
        <f t="shared" si="55"/>
        <v/>
      </c>
      <c r="BX39" s="10" t="str">
        <f t="shared" si="28"/>
        <v/>
      </c>
      <c r="BY39" s="10" t="str">
        <f t="shared" si="29"/>
        <v/>
      </c>
      <c r="BZ39" s="10" t="str">
        <f t="shared" si="30"/>
        <v xml:space="preserve">Ingrédients : thé vert*, écorces d'orange* 4%, huiles essentielles de (orange douce*, orange sanguine*) 3%. *Issu de l'agriculture biologique. </v>
      </c>
      <c r="CA39" s="10" t="str">
        <f t="shared" si="31"/>
        <v/>
      </c>
      <c r="CB39" s="10" t="str">
        <f t="shared" si="32"/>
        <v/>
      </c>
      <c r="CC39" s="10" t="str">
        <f t="shared" si="33"/>
        <v/>
      </c>
      <c r="CD39" s="10" t="str">
        <f t="shared" si="34"/>
        <v>/</v>
      </c>
      <c r="CE39" s="10" t="str">
        <f t="shared" si="35"/>
        <v/>
      </c>
      <c r="CF39" s="10" t="str">
        <f t="shared" si="36"/>
        <v/>
      </c>
      <c r="CG39" s="10" t="str">
        <f t="shared" si="37"/>
        <v/>
      </c>
      <c r="CH39" s="10" t="str">
        <f t="shared" si="38"/>
        <v>Membre certifié World Fair Trade Organization, Les Jardins de Gaïa s’engagent pour un commerce plus juste et répondent aux exigences du commerce équitable. Pour en savoir plus : www.wfto.com.</v>
      </c>
      <c r="CI39" s="10" t="str">
        <f t="shared" si="39"/>
        <v/>
      </c>
      <c r="CJ39" s="10" t="str">
        <f t="shared" si="40"/>
        <v/>
      </c>
      <c r="CK39" s="10" t="str">
        <f t="shared" si="41"/>
        <v/>
      </c>
      <c r="CL39" s="10" t="str">
        <f t="shared" si="42"/>
        <v>Make your mouth water with this deliciously fruity marriage of fresh green tea and sensually fruity orange notes. A voluptuous experience that can be enjoyed either as a hot or iced infusion.</v>
      </c>
      <c r="CM39" s="10" t="str">
        <f t="shared" si="43"/>
        <v/>
      </c>
      <c r="CN39" s="10" t="str">
        <f t="shared" si="44"/>
        <v/>
      </c>
      <c r="CO39" s="10" t="str">
        <f t="shared" si="45"/>
        <v/>
      </c>
      <c r="CP39" s="10" t="str">
        <f t="shared" si="46"/>
        <v xml:space="preserve">Ingredients: green tea*, orange peels* 4%, essential oils (sweet orange*, blood orange*) 3%. *From organic farming. </v>
      </c>
      <c r="CQ39" s="10" t="str">
        <f t="shared" si="47"/>
        <v/>
      </c>
      <c r="CR39" s="10" t="str">
        <f t="shared" si="48"/>
        <v/>
      </c>
      <c r="CS39" s="10" t="str">
        <f t="shared" si="49"/>
        <v/>
      </c>
      <c r="CT39" s="10" t="str">
        <f t="shared" si="50"/>
        <v/>
      </c>
      <c r="CU39" s="10" t="str">
        <f t="shared" si="51"/>
        <v/>
      </c>
      <c r="CV39" s="10" t="str">
        <f t="shared" si="52"/>
        <v/>
      </c>
      <c r="CW39" s="10" t="str">
        <f t="shared" si="53"/>
        <v/>
      </c>
    </row>
    <row r="40" spans="1:101" ht="86.4">
      <c r="A40" s="130" t="s">
        <v>310</v>
      </c>
      <c r="B40" s="9" t="s">
        <v>26</v>
      </c>
      <c r="C40" s="9"/>
      <c r="D40" s="8" t="s">
        <v>308</v>
      </c>
      <c r="E40" s="9" t="s">
        <v>303</v>
      </c>
      <c r="F40" s="9" t="s">
        <v>35</v>
      </c>
      <c r="G40" s="9" t="s">
        <v>781</v>
      </c>
      <c r="H40" s="10" t="s">
        <v>5</v>
      </c>
      <c r="I40" s="10" t="s">
        <v>6</v>
      </c>
      <c r="J40" s="10" t="s">
        <v>29</v>
      </c>
      <c r="K40" s="10" t="s">
        <v>29</v>
      </c>
      <c r="L40" s="10" t="s">
        <v>29</v>
      </c>
      <c r="M40" s="10" t="s">
        <v>29</v>
      </c>
      <c r="N40" s="10" t="s">
        <v>37</v>
      </c>
      <c r="O40" s="9"/>
      <c r="P40" s="9" t="s">
        <v>309</v>
      </c>
      <c r="Q40" s="69" t="s">
        <v>897</v>
      </c>
      <c r="R40" s="69"/>
      <c r="S40" s="9"/>
      <c r="T40" s="15" t="s">
        <v>898</v>
      </c>
      <c r="U40" s="15"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40" s="9" t="s">
        <v>29</v>
      </c>
      <c r="W40" s="9" t="s">
        <v>31</v>
      </c>
      <c r="X40" s="10">
        <v>100</v>
      </c>
      <c r="Y40" s="11" t="s">
        <v>32</v>
      </c>
      <c r="Z40" s="19">
        <v>90</v>
      </c>
      <c r="AA40" s="10">
        <v>2</v>
      </c>
      <c r="AB40" s="10">
        <v>50</v>
      </c>
      <c r="AC40" s="12">
        <v>3582810471128</v>
      </c>
      <c r="AD40" s="10" t="s">
        <v>29</v>
      </c>
      <c r="AE40" s="10" t="s">
        <v>311</v>
      </c>
      <c r="AF40" s="35" t="s">
        <v>899</v>
      </c>
      <c r="AG40" s="35" t="s">
        <v>900</v>
      </c>
      <c r="AH40" s="20" t="s">
        <v>901</v>
      </c>
      <c r="AI40" s="54" t="s">
        <v>776</v>
      </c>
      <c r="AJ40" s="54" t="s">
        <v>776</v>
      </c>
      <c r="AK40" s="55">
        <v>45665</v>
      </c>
      <c r="AL40" s="10"/>
      <c r="AM40" s="10">
        <v>25006</v>
      </c>
      <c r="AN40" s="10"/>
      <c r="AO40" s="10"/>
      <c r="AP40" s="10"/>
      <c r="AQ40" s="51" t="s">
        <v>1384</v>
      </c>
      <c r="AR40" s="51" t="s">
        <v>1620</v>
      </c>
      <c r="AS40" s="51" t="s">
        <v>1549</v>
      </c>
      <c r="AT40" s="51"/>
      <c r="AU40" s="63" t="s">
        <v>1621</v>
      </c>
      <c r="AV40" s="52" t="s">
        <v>1385</v>
      </c>
      <c r="AW40" s="52"/>
      <c r="AX40" s="51"/>
      <c r="AY40" s="51"/>
      <c r="AZ40" s="51"/>
      <c r="BA40" s="51"/>
      <c r="BB40" s="51"/>
      <c r="BC40" s="51"/>
      <c r="BD40" s="51"/>
      <c r="BE40" s="51"/>
      <c r="BF40" s="92"/>
      <c r="BG40" s="92"/>
      <c r="BH40" s="92"/>
      <c r="BI40" s="92"/>
      <c r="BJ40" s="92"/>
      <c r="BK40" s="92"/>
      <c r="BL40" s="92"/>
      <c r="BN40" s="7" t="str">
        <f>IF(IFERROR(FIND("romatis",TableauJDG[[#This Row],[TYPE DE THÉ FR]]),0)=0,"","aromatisé")</f>
        <v>aromatisé</v>
      </c>
      <c r="BO40" s="10" t="s">
        <v>1816</v>
      </c>
      <c r="BV40" s="10" t="str">
        <f t="shared" si="54"/>
        <v>Cette recette à base d’une sélection de crus de thés noirs associe les saveurs profondes et taniques du thé aux notes lumineuses et fruitées des agrumes. Une recette voluptueuse qui invite à faire une pause et prendre le temps de savourer l’instant p</v>
      </c>
      <c r="BW40" s="10" t="str">
        <f t="shared" si="55"/>
        <v>résent, le seul qui compte…</v>
      </c>
      <c r="BX40" s="10" t="str">
        <f t="shared" si="28"/>
        <v/>
      </c>
      <c r="BY40" s="10" t="str">
        <f t="shared" si="29"/>
        <v/>
      </c>
      <c r="BZ40" s="10" t="str">
        <f t="shared" si="30"/>
        <v>Ingrédients : thé noir*, huiles essentielles de (orange douce*, orange sanguine*) 2%, écorces d'orange* 2%. *Issu de l'agriculture biologique.</v>
      </c>
      <c r="CA40" s="10" t="str">
        <f t="shared" si="31"/>
        <v/>
      </c>
      <c r="CB40" s="10" t="str">
        <f t="shared" si="32"/>
        <v/>
      </c>
      <c r="CC40" s="10" t="str">
        <f t="shared" si="33"/>
        <v/>
      </c>
      <c r="CD40" s="10" t="str">
        <f t="shared" si="34"/>
        <v>/</v>
      </c>
      <c r="CE40" s="10" t="str">
        <f t="shared" si="35"/>
        <v/>
      </c>
      <c r="CF40" s="10" t="str">
        <f t="shared" si="36"/>
        <v/>
      </c>
      <c r="CG40" s="10" t="str">
        <f t="shared" si="37"/>
        <v/>
      </c>
      <c r="CH40" s="10" t="str">
        <f t="shared" si="38"/>
        <v>Membre certifié World Fair Trade Organization, Les Jardins de Gaïa s’engagent pour un commerce plus juste et répondent aux exigences du commerce équitable. Pour en savoir plus : www.wfto.com.</v>
      </c>
      <c r="CI40" s="10" t="str">
        <f t="shared" si="39"/>
        <v/>
      </c>
      <c r="CJ40" s="10" t="str">
        <f t="shared" si="40"/>
        <v/>
      </c>
      <c r="CK40" s="10" t="str">
        <f t="shared" si="41"/>
        <v/>
      </c>
      <c r="CL40" s="10" t="str">
        <f t="shared" si="42"/>
        <v>This recipe, based on a selection of black tea vintages, combines the deep, tannic flavours of tea with the bright, fruity notes of citrus. A voluptuous recipe that invites you to take a break and enjoy the moment, the only moment that counts…</v>
      </c>
      <c r="CM40" s="10" t="str">
        <f t="shared" si="43"/>
        <v/>
      </c>
      <c r="CN40" s="10" t="str">
        <f t="shared" si="44"/>
        <v/>
      </c>
      <c r="CO40" s="10" t="str">
        <f t="shared" si="45"/>
        <v/>
      </c>
      <c r="CP40" s="10" t="str">
        <f t="shared" si="46"/>
        <v xml:space="preserve">Ingredients: black tea*, essential oils (sweet orange*, blood orange*) 2%, orange peels* 2%. *From organic farming. </v>
      </c>
      <c r="CQ40" s="10" t="str">
        <f t="shared" si="47"/>
        <v/>
      </c>
      <c r="CR40" s="10" t="str">
        <f t="shared" si="48"/>
        <v/>
      </c>
      <c r="CS40" s="10" t="str">
        <f t="shared" si="49"/>
        <v/>
      </c>
      <c r="CT40" s="10" t="str">
        <f t="shared" si="50"/>
        <v/>
      </c>
      <c r="CU40" s="10" t="str">
        <f t="shared" si="51"/>
        <v/>
      </c>
      <c r="CV40" s="10" t="str">
        <f t="shared" si="52"/>
        <v/>
      </c>
      <c r="CW40" s="10" t="str">
        <f t="shared" si="53"/>
        <v/>
      </c>
    </row>
    <row r="41" spans="1:101" ht="93.6">
      <c r="A41" s="129" t="s">
        <v>317</v>
      </c>
      <c r="B41" s="9" t="s">
        <v>26</v>
      </c>
      <c r="C41" s="9"/>
      <c r="D41" s="8" t="s">
        <v>312</v>
      </c>
      <c r="E41" s="9" t="s">
        <v>313</v>
      </c>
      <c r="F41" s="9" t="s">
        <v>314</v>
      </c>
      <c r="G41" s="9" t="s">
        <v>110</v>
      </c>
      <c r="H41" s="10" t="s">
        <v>5</v>
      </c>
      <c r="I41" s="10" t="s">
        <v>6</v>
      </c>
      <c r="J41" s="10" t="s">
        <v>29</v>
      </c>
      <c r="K41" s="10" t="s">
        <v>29</v>
      </c>
      <c r="L41" s="10" t="s">
        <v>29</v>
      </c>
      <c r="M41" s="10" t="s">
        <v>29</v>
      </c>
      <c r="N41" s="10" t="s">
        <v>37</v>
      </c>
      <c r="O41" s="9"/>
      <c r="P41" s="9" t="s">
        <v>315</v>
      </c>
      <c r="Q41" s="9" t="s">
        <v>902</v>
      </c>
      <c r="R41" s="9"/>
      <c r="S41" s="9"/>
      <c r="T41" s="9" t="s">
        <v>316</v>
      </c>
      <c r="U41"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41" s="9" t="s">
        <v>29</v>
      </c>
      <c r="W41" s="9" t="s">
        <v>31</v>
      </c>
      <c r="X41" s="10">
        <v>100</v>
      </c>
      <c r="Y41" s="19" t="s">
        <v>59</v>
      </c>
      <c r="Z41" s="19" t="s">
        <v>66</v>
      </c>
      <c r="AA41" s="10">
        <v>2</v>
      </c>
      <c r="AB41" s="10">
        <v>50</v>
      </c>
      <c r="AC41" s="12">
        <v>3582810361221</v>
      </c>
      <c r="AD41" s="10" t="s">
        <v>29</v>
      </c>
      <c r="AE41" s="10" t="s">
        <v>903</v>
      </c>
      <c r="AF41" s="10" t="s">
        <v>903</v>
      </c>
      <c r="AG41" s="10" t="s">
        <v>904</v>
      </c>
      <c r="AH41" s="20" t="s">
        <v>38</v>
      </c>
      <c r="AI41" s="54" t="s">
        <v>776</v>
      </c>
      <c r="AJ41" s="54" t="s">
        <v>776</v>
      </c>
      <c r="AK41" s="55">
        <v>45701</v>
      </c>
      <c r="AL41" s="10"/>
      <c r="AM41" s="10" t="s">
        <v>1678</v>
      </c>
      <c r="AN41" s="10"/>
      <c r="AO41" s="10"/>
      <c r="AP41" s="10"/>
      <c r="AQ41" s="51" t="s">
        <v>1323</v>
      </c>
      <c r="AR41" s="51" t="s">
        <v>1324</v>
      </c>
      <c r="AS41" s="82" t="s">
        <v>1557</v>
      </c>
      <c r="AT41" s="9" t="s">
        <v>1325</v>
      </c>
      <c r="AU41" s="96" t="s">
        <v>1326</v>
      </c>
      <c r="AV41" s="82" t="s">
        <v>1327</v>
      </c>
      <c r="AW41" s="52"/>
      <c r="AX41" s="51"/>
      <c r="AY41" s="51"/>
      <c r="AZ41" s="51"/>
      <c r="BA41" s="51"/>
      <c r="BB41" s="51"/>
      <c r="BC41" s="51"/>
      <c r="BD41" s="51"/>
      <c r="BE41" s="51"/>
      <c r="BF41" s="92"/>
      <c r="BG41" s="92"/>
      <c r="BH41" s="92"/>
      <c r="BI41" s="92"/>
      <c r="BJ41" s="92"/>
      <c r="BK41" s="92"/>
      <c r="BL41" s="92"/>
      <c r="BN41" s="7" t="str">
        <f>IF(IFERROR(FIND("romatis",TableauJDG[[#This Row],[TYPE DE THÉ FR]]),0)=0,"","aromatisé")</f>
        <v>aromatisé</v>
      </c>
      <c r="BV41" s="10" t="str">
        <f t="shared" si="54"/>
        <v>Cette recette à base de thé vert et de thé noir invite à une balade gustative dans les contrées sauvages et fruitées qu’affectionnent nos petits amis les hérissons. Le mariage des saveurs acidulées de la mûre et légèrement sucrées de la noisette es</v>
      </c>
      <c r="BW41" s="10" t="str">
        <f t="shared" si="55"/>
        <v>t aussi gourmand qu’irrésistible…</v>
      </c>
      <c r="BX41" s="10" t="str">
        <f t="shared" si="28"/>
        <v/>
      </c>
      <c r="BY41" s="10" t="str">
        <f t="shared" si="29"/>
        <v/>
      </c>
      <c r="BZ41" s="10" t="str">
        <f t="shared" si="30"/>
        <v>Ingrédients : mélange de thés 79% (thé vert*, thé noir*), arômes naturels de (mûre*, noisette*) 9%, chips de carotte*, noisettes concassées* 5%, pétales de coquelicot*. *Issu de l'agriculture biologique.</v>
      </c>
      <c r="CA41" s="10" t="str">
        <f t="shared" si="31"/>
        <v/>
      </c>
      <c r="CB41" s="10" t="str">
        <f t="shared" si="32"/>
        <v/>
      </c>
      <c r="CC41" s="10" t="str">
        <f t="shared" si="33"/>
        <v/>
      </c>
      <c r="CD41" s="10" t="str">
        <f t="shared" si="34"/>
        <v>/</v>
      </c>
      <c r="CE41" s="10" t="str">
        <f t="shared" si="35"/>
        <v/>
      </c>
      <c r="CF41" s="10" t="str">
        <f t="shared" si="36"/>
        <v/>
      </c>
      <c r="CG41" s="10" t="str">
        <f t="shared" si="37"/>
        <v/>
      </c>
      <c r="CH41" s="10" t="str">
        <f t="shared" si="38"/>
        <v>Membre certifié World Fair Trade Organization, Les Jardins de Gaïa s’engagent pour un commerce plus juste et répondent aux exigences du commerce équitable. Pour en savoir plus : www.wfto.com.</v>
      </c>
      <c r="CI41" s="10" t="str">
        <f t="shared" si="39"/>
        <v/>
      </c>
      <c r="CJ41" s="10" t="str">
        <f t="shared" si="40"/>
        <v/>
      </c>
      <c r="CK41" s="10" t="str">
        <f t="shared" si="41"/>
        <v/>
      </c>
      <c r="CL41" s="10" t="str">
        <f t="shared" si="42"/>
        <v>This recipe, based on green and black teas, invites your taste buds to travel through the wild and fruity lands that our little hedgehog friends love. The combination of tart blackberry and slightly sweet hazelnut flavours is as delicious as it is ir</v>
      </c>
      <c r="CM41" s="10" t="str">
        <f t="shared" si="43"/>
        <v>resistible..</v>
      </c>
      <c r="CN41" s="10" t="str">
        <f t="shared" si="44"/>
        <v/>
      </c>
      <c r="CO41" s="10" t="str">
        <f t="shared" si="45"/>
        <v/>
      </c>
      <c r="CP41" s="10" t="str">
        <f t="shared" si="46"/>
        <v>Ingredients: blend of teas 79% (green tea*, black tea*), natural (blackberry*, hazelnut*) flavourings 9%, carrot chips*, crushed hazelnuts* 5%, poppy petals*. *From organic farming.</v>
      </c>
      <c r="CQ41" s="10" t="str">
        <f t="shared" si="47"/>
        <v/>
      </c>
      <c r="CR41" s="10" t="str">
        <f t="shared" si="48"/>
        <v/>
      </c>
      <c r="CS41" s="10" t="str">
        <f t="shared" si="49"/>
        <v/>
      </c>
      <c r="CT41" s="10" t="str">
        <f t="shared" si="50"/>
        <v/>
      </c>
      <c r="CU41" s="10" t="str">
        <f t="shared" si="51"/>
        <v/>
      </c>
      <c r="CV41" s="10" t="str">
        <f t="shared" si="52"/>
        <v/>
      </c>
      <c r="CW41" s="10" t="str">
        <f t="shared" si="53"/>
        <v/>
      </c>
    </row>
    <row r="42" spans="1:101" ht="158.4">
      <c r="A42" s="129" t="s">
        <v>320</v>
      </c>
      <c r="B42" s="9" t="s">
        <v>26</v>
      </c>
      <c r="C42" s="9" t="s">
        <v>39</v>
      </c>
      <c r="D42" s="8" t="s">
        <v>318</v>
      </c>
      <c r="E42" s="9" t="s">
        <v>905</v>
      </c>
      <c r="F42" s="9" t="s">
        <v>40</v>
      </c>
      <c r="G42" s="56" t="s">
        <v>29</v>
      </c>
      <c r="H42" s="10" t="s">
        <v>5</v>
      </c>
      <c r="I42" s="10" t="s">
        <v>29</v>
      </c>
      <c r="J42" s="10" t="s">
        <v>29</v>
      </c>
      <c r="K42" s="10" t="s">
        <v>29</v>
      </c>
      <c r="L42" s="10" t="s">
        <v>29</v>
      </c>
      <c r="M42" s="10" t="s">
        <v>29</v>
      </c>
      <c r="N42" s="10" t="s">
        <v>85</v>
      </c>
      <c r="O42" s="9"/>
      <c r="P42" s="9" t="s">
        <v>319</v>
      </c>
      <c r="Q42" s="9" t="s">
        <v>906</v>
      </c>
      <c r="R42" s="9"/>
      <c r="S42" s="9"/>
      <c r="T42" s="9" t="s">
        <v>907</v>
      </c>
      <c r="U42"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42" s="8" t="s">
        <v>29</v>
      </c>
      <c r="W42" s="9" t="s">
        <v>29</v>
      </c>
      <c r="X42" s="10">
        <v>60</v>
      </c>
      <c r="Y42" s="11" t="s">
        <v>42</v>
      </c>
      <c r="Z42" s="19">
        <v>95</v>
      </c>
      <c r="AA42" s="10">
        <v>2</v>
      </c>
      <c r="AB42" s="12">
        <v>30</v>
      </c>
      <c r="AC42" s="12">
        <v>3582811005773</v>
      </c>
      <c r="AD42" s="10" t="s">
        <v>29</v>
      </c>
      <c r="AE42" s="10" t="s">
        <v>908</v>
      </c>
      <c r="AF42" s="10" t="s">
        <v>908</v>
      </c>
      <c r="AG42" s="10" t="s">
        <v>29</v>
      </c>
      <c r="AH42" s="20"/>
      <c r="AI42" s="54" t="s">
        <v>776</v>
      </c>
      <c r="AJ42" s="54" t="s">
        <v>776</v>
      </c>
      <c r="AK42" s="55">
        <v>45321</v>
      </c>
      <c r="AL42" s="10" t="s">
        <v>774</v>
      </c>
      <c r="AM42" s="10">
        <v>25015</v>
      </c>
      <c r="AN42" s="10"/>
      <c r="AO42" s="10"/>
      <c r="AP42" s="10"/>
      <c r="AQ42" s="51" t="s">
        <v>1441</v>
      </c>
      <c r="AR42" s="51" t="s">
        <v>1442</v>
      </c>
      <c r="AS42" s="84" t="s">
        <v>1552</v>
      </c>
      <c r="AT42" s="51"/>
      <c r="AU42" s="86" t="s">
        <v>1443</v>
      </c>
      <c r="AV42" s="82" t="s">
        <v>1444</v>
      </c>
      <c r="AW42" s="52"/>
      <c r="AX42" s="51"/>
      <c r="AY42" s="51"/>
      <c r="AZ42" s="51"/>
      <c r="BA42" s="51"/>
      <c r="BB42" s="51"/>
      <c r="BC42" s="51"/>
      <c r="BD42" s="51"/>
      <c r="BE42" s="51"/>
      <c r="BF42" s="92"/>
      <c r="BG42" s="92"/>
      <c r="BH42" s="92"/>
      <c r="BI42" s="92"/>
      <c r="BJ42" s="92"/>
      <c r="BK42" s="92"/>
      <c r="BL42" s="92"/>
      <c r="BN42" s="7" t="str">
        <f>IF(IFERROR(FIND("romatis",TableauJDG[[#This Row],[TYPE DE THÉ FR]]),0)=0,"","aromatisé")</f>
        <v/>
      </c>
      <c r="BV42" s="10" t="str">
        <f t="shared" si="54"/>
        <v>Tel le souffle d'une nature qui s'éveille, cette tisane gaie et colorée laisse une impression festive en bouche. Son florilège de saveurs à la fois fruitées, florales et herbacées se conclut avec une finale qui évoque le miel de fleurs et imprègne lo</v>
      </c>
      <c r="BW42" s="10" t="str">
        <f t="shared" si="55"/>
        <v>nguement le palais. À partager sans modération !</v>
      </c>
      <c r="BX42" s="10" t="str">
        <f t="shared" si="28"/>
        <v/>
      </c>
      <c r="BY42" s="10" t="str">
        <f t="shared" si="29"/>
        <v/>
      </c>
      <c r="BZ42" s="10" t="str">
        <f t="shared" si="30"/>
        <v>Ingrédients : morceaux de pomme* (Malus domestica) 24%, mélisse* (Melissa officinalis) 21%, avoine vert* (Avena sativa), pétales de rose* (Rosa damascena) 8%, pétales de souci* (Calendula officinalis), cranberry* (Vaccinium macrocarpon), lavande* (La</v>
      </c>
      <c r="CA42" s="10" t="str">
        <f t="shared" si="31"/>
        <v>vandula angustifolia), fleurs de tilleul* (Tilia flos), verveine odorante* (Lippia citriodora), camomille* (Matricaria chamomilla), pétales de bleuet* (Centaurea cyanus), pétales de mauve* (Malva sylvestris). * Issu de l'agriculture biologique.</v>
      </c>
      <c r="CB42" s="10" t="str">
        <f t="shared" si="32"/>
        <v/>
      </c>
      <c r="CC42" s="10" t="str">
        <f t="shared" si="33"/>
        <v/>
      </c>
      <c r="CD42" s="10" t="str">
        <f t="shared" si="34"/>
        <v>/</v>
      </c>
      <c r="CE42" s="10" t="str">
        <f t="shared" si="35"/>
        <v/>
      </c>
      <c r="CF42" s="10" t="str">
        <f t="shared" si="36"/>
        <v/>
      </c>
      <c r="CG42" s="10" t="str">
        <f t="shared" si="37"/>
        <v/>
      </c>
      <c r="CH42" s="10" t="str">
        <f t="shared" si="38"/>
        <v>/</v>
      </c>
      <c r="CI42" s="10" t="str">
        <f t="shared" si="39"/>
        <v/>
      </c>
      <c r="CJ42" s="10" t="str">
        <f t="shared" si="40"/>
        <v/>
      </c>
      <c r="CK42" s="10" t="str">
        <f t="shared" si="41"/>
        <v/>
      </c>
      <c r="CL42" s="10" t="str">
        <f t="shared" si="42"/>
        <v>Like the breath of nature awakening, this cheerful, colourful herbal tea leaves a festive impression on the palate. Its array of fruity, floral and herbaceous flavours concludes with a finish that evokes floral honey and lingers on the palate. To b</v>
      </c>
      <c r="CM42" s="10" t="str">
        <f t="shared" si="43"/>
        <v>e shared without moderation!</v>
      </c>
      <c r="CN42" s="10" t="str">
        <f t="shared" si="44"/>
        <v/>
      </c>
      <c r="CO42" s="10" t="str">
        <f t="shared" si="45"/>
        <v/>
      </c>
      <c r="CP42" s="10" t="str">
        <f t="shared" si="46"/>
        <v>Ingredients: apple pieces* 24% (Malus domestica), lemon balm* 21% (Melissa officinalis), green oat* (Avena sativa), rose petals* 8% (Rosa damescena), marigold* (Calendula officinalis), cranberry* (Vaccinium macrocarpon), lavender* (Lavandula angustif</v>
      </c>
      <c r="CQ42" s="10" t="str">
        <f t="shared" si="47"/>
        <v>olia), linden flowers* (Tiliae flos), verbena* (Lippia citriodora), chamomile* (Matricaria chamomilla), cornflower petals* (Centaurea cyanus), mallow petals* (Malva sylvestris). *From organic farming.</v>
      </c>
      <c r="CR42" s="10" t="str">
        <f t="shared" si="48"/>
        <v/>
      </c>
      <c r="CS42" s="10" t="str">
        <f t="shared" si="49"/>
        <v/>
      </c>
      <c r="CT42" s="10" t="str">
        <f t="shared" si="50"/>
        <v/>
      </c>
      <c r="CU42" s="10" t="str">
        <f t="shared" si="51"/>
        <v/>
      </c>
      <c r="CV42" s="10" t="str">
        <f t="shared" si="52"/>
        <v/>
      </c>
      <c r="CW42" s="10" t="str">
        <f t="shared" si="53"/>
        <v/>
      </c>
    </row>
    <row r="43" spans="1:101" s="106" customFormat="1" ht="92.4">
      <c r="A43" s="129" t="s">
        <v>323</v>
      </c>
      <c r="B43" s="9" t="s">
        <v>26</v>
      </c>
      <c r="C43" s="9" t="s">
        <v>39</v>
      </c>
      <c r="D43" s="8" t="s">
        <v>321</v>
      </c>
      <c r="E43" s="9" t="s">
        <v>909</v>
      </c>
      <c r="F43" s="9" t="s">
        <v>40</v>
      </c>
      <c r="G43" s="56" t="s">
        <v>29</v>
      </c>
      <c r="H43" s="10" t="s">
        <v>5</v>
      </c>
      <c r="I43" s="10" t="s">
        <v>29</v>
      </c>
      <c r="J43" s="10" t="s">
        <v>29</v>
      </c>
      <c r="K43" s="10" t="s">
        <v>29</v>
      </c>
      <c r="L43" s="10" t="s">
        <v>29</v>
      </c>
      <c r="M43" s="10" t="s">
        <v>29</v>
      </c>
      <c r="N43" s="10" t="s">
        <v>84</v>
      </c>
      <c r="O43" s="9"/>
      <c r="P43" s="9" t="s">
        <v>322</v>
      </c>
      <c r="Q43" s="9" t="s">
        <v>910</v>
      </c>
      <c r="R43" s="9"/>
      <c r="S43" s="9"/>
      <c r="T43" s="9" t="s">
        <v>911</v>
      </c>
      <c r="U43"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43" s="8" t="s">
        <v>29</v>
      </c>
      <c r="W43" s="9" t="s">
        <v>29</v>
      </c>
      <c r="X43" s="10">
        <v>40</v>
      </c>
      <c r="Y43" s="11" t="s">
        <v>42</v>
      </c>
      <c r="Z43" s="19">
        <v>95</v>
      </c>
      <c r="AA43" s="10">
        <v>2</v>
      </c>
      <c r="AB43" s="10">
        <v>20</v>
      </c>
      <c r="AC43" s="12">
        <v>3582811005094</v>
      </c>
      <c r="AD43" s="10" t="s">
        <v>29</v>
      </c>
      <c r="AE43" s="10" t="s">
        <v>912</v>
      </c>
      <c r="AF43" s="10" t="s">
        <v>912</v>
      </c>
      <c r="AG43" s="10" t="s">
        <v>29</v>
      </c>
      <c r="AH43" s="20"/>
      <c r="AI43" s="54" t="s">
        <v>776</v>
      </c>
      <c r="AJ43" s="54" t="s">
        <v>776</v>
      </c>
      <c r="AK43" s="55">
        <v>45758</v>
      </c>
      <c r="AL43" s="10" t="s">
        <v>774</v>
      </c>
      <c r="AM43" s="10"/>
      <c r="AN43" s="10"/>
      <c r="AO43" s="10"/>
      <c r="AP43" s="10"/>
      <c r="AQ43" s="51" t="s">
        <v>1427</v>
      </c>
      <c r="AR43" s="51" t="s">
        <v>1428</v>
      </c>
      <c r="AS43" s="84" t="s">
        <v>1552</v>
      </c>
      <c r="AT43" s="51"/>
      <c r="AU43" s="100" t="s">
        <v>1429</v>
      </c>
      <c r="AV43" s="82" t="s">
        <v>1430</v>
      </c>
      <c r="AW43" s="52"/>
      <c r="AX43" s="51"/>
      <c r="AY43" s="51"/>
      <c r="AZ43" s="51"/>
      <c r="BA43" s="51"/>
      <c r="BB43" s="51"/>
      <c r="BC43" s="51"/>
      <c r="BD43" s="51"/>
      <c r="BE43" s="51"/>
      <c r="BF43" s="92"/>
      <c r="BG43" s="92"/>
      <c r="BH43" s="92"/>
      <c r="BI43" s="92"/>
      <c r="BJ43" s="92"/>
      <c r="BK43" s="92"/>
      <c r="BL43" s="92"/>
      <c r="BM43" s="7"/>
      <c r="BN43" s="7" t="str">
        <f>IF(IFERROR(FIND("romatis",TableauJDG[[#This Row],[TYPE DE THÉ FR]]),0)=0,"","aromatisé")</f>
        <v/>
      </c>
      <c r="BO43" s="10"/>
      <c r="BP43" s="7"/>
      <c r="BQ43" s="7"/>
      <c r="BR43" s="7"/>
      <c r="BS43" s="7"/>
      <c r="BT43" s="7"/>
      <c r="BU43" s="7"/>
      <c r="BV43" s="10" t="str">
        <f t="shared" si="54"/>
        <v>Cette tisane de plantes, un brin mystérieuse, est inspirée de la légende de Mélusine, l’envoûtante "femme serpent" à la beauté légendaire. On tombe immédiatement sous le charme de ses notes douces et légèrement épicées. Un délice de fée !</v>
      </c>
      <c r="BW43" s="10" t="str">
        <f t="shared" si="55"/>
        <v/>
      </c>
      <c r="BX43" s="10" t="str">
        <f t="shared" si="28"/>
        <v/>
      </c>
      <c r="BY43" s="10" t="str">
        <f t="shared" si="29"/>
        <v/>
      </c>
      <c r="BZ43" s="10" t="str">
        <f t="shared" si="30"/>
        <v>Ingrédients : feuilles de chanvre* 30% (Cannabis sativa), verveine odorante* 25% (Aloysia citrodora), menthe douce* 24% (Mentha spicata), pétales de souci* (Calendula officinalis), plantain lancéolé* (Plantago lanceolata), boutons de rose* (Rosa dama</v>
      </c>
      <c r="CA43" s="10" t="str">
        <f t="shared" si="31"/>
        <v>scena), mélisse* (Melissa officinalis). *Issu de l'agriculture biologique.</v>
      </c>
      <c r="CB43" s="10" t="str">
        <f t="shared" si="32"/>
        <v/>
      </c>
      <c r="CC43" s="10" t="str">
        <f t="shared" si="33"/>
        <v/>
      </c>
      <c r="CD43" s="10" t="str">
        <f t="shared" si="34"/>
        <v>/</v>
      </c>
      <c r="CE43" s="10" t="str">
        <f t="shared" si="35"/>
        <v/>
      </c>
      <c r="CF43" s="10" t="str">
        <f t="shared" si="36"/>
        <v/>
      </c>
      <c r="CG43" s="10" t="str">
        <f t="shared" si="37"/>
        <v/>
      </c>
      <c r="CH43" s="10" t="str">
        <f t="shared" si="38"/>
        <v>/</v>
      </c>
      <c r="CI43" s="10" t="str">
        <f t="shared" si="39"/>
        <v/>
      </c>
      <c r="CJ43" s="10" t="str">
        <f t="shared" si="40"/>
        <v/>
      </c>
      <c r="CK43" s="10" t="str">
        <f t="shared" si="41"/>
        <v/>
      </c>
      <c r="CL43" s="10" t="str">
        <f t="shared" si="42"/>
        <v>This mysterious herbal tea is inspired by the legend of Mélusine, the bewitching "snake woman" of legendary beauty. You'll immediately fall under the spell of its sweet, slightly spicy notes. A fairy delight!</v>
      </c>
      <c r="CM43" s="10" t="str">
        <f t="shared" si="43"/>
        <v/>
      </c>
      <c r="CN43" s="10" t="str">
        <f t="shared" si="44"/>
        <v/>
      </c>
      <c r="CO43" s="10" t="str">
        <f t="shared" si="45"/>
        <v/>
      </c>
      <c r="CP43" s="10" t="str">
        <f t="shared" si="46"/>
        <v>Ingredients: hemp leaves* 30% (Cannabis sativa), verbena* 25% (Aloysia citrodora), apple mint* 24% (Mentha spicata), marigold petals* (Calendula officinalis), ribwort plantain* (Plantago lanceolata), rosebuds* (Rosa damascena). *From organic farming.</v>
      </c>
      <c r="CQ43" s="10" t="str">
        <f t="shared" si="47"/>
        <v/>
      </c>
      <c r="CR43" s="10" t="str">
        <f t="shared" si="48"/>
        <v/>
      </c>
      <c r="CS43" s="10" t="str">
        <f t="shared" si="49"/>
        <v/>
      </c>
      <c r="CT43" s="10" t="str">
        <f t="shared" si="50"/>
        <v/>
      </c>
      <c r="CU43" s="10" t="str">
        <f t="shared" si="51"/>
        <v/>
      </c>
      <c r="CV43" s="10" t="str">
        <f t="shared" si="52"/>
        <v/>
      </c>
      <c r="CW43" s="10" t="str">
        <f t="shared" si="53"/>
        <v/>
      </c>
    </row>
    <row r="44" spans="1:101" ht="144">
      <c r="A44" s="129" t="s">
        <v>326</v>
      </c>
      <c r="B44" s="9" t="s">
        <v>26</v>
      </c>
      <c r="C44" s="9" t="s">
        <v>39</v>
      </c>
      <c r="D44" s="8" t="s">
        <v>324</v>
      </c>
      <c r="E44" s="9" t="s">
        <v>913</v>
      </c>
      <c r="F44" s="9" t="s">
        <v>40</v>
      </c>
      <c r="G44" s="56" t="s">
        <v>29</v>
      </c>
      <c r="H44" s="10" t="s">
        <v>5</v>
      </c>
      <c r="I44" s="10" t="s">
        <v>29</v>
      </c>
      <c r="J44" s="10" t="s">
        <v>29</v>
      </c>
      <c r="K44" s="10" t="s">
        <v>29</v>
      </c>
      <c r="L44" s="10" t="s">
        <v>29</v>
      </c>
      <c r="M44" s="10" t="s">
        <v>29</v>
      </c>
      <c r="N44" s="10" t="s">
        <v>85</v>
      </c>
      <c r="O44" s="9"/>
      <c r="P44" s="9" t="s">
        <v>325</v>
      </c>
      <c r="Q44" s="9" t="s">
        <v>914</v>
      </c>
      <c r="R44" s="9"/>
      <c r="S44" s="9"/>
      <c r="T44" s="9" t="s">
        <v>915</v>
      </c>
      <c r="U44"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44" s="8" t="s">
        <v>29</v>
      </c>
      <c r="W44" s="9" t="s">
        <v>29</v>
      </c>
      <c r="X44" s="10">
        <v>80</v>
      </c>
      <c r="Y44" s="11" t="s">
        <v>42</v>
      </c>
      <c r="Z44" s="19">
        <v>95</v>
      </c>
      <c r="AA44" s="10">
        <v>2</v>
      </c>
      <c r="AB44" s="12">
        <v>40</v>
      </c>
      <c r="AC44" s="12">
        <v>3582811009740</v>
      </c>
      <c r="AD44" s="10" t="s">
        <v>29</v>
      </c>
      <c r="AE44" s="10" t="s">
        <v>916</v>
      </c>
      <c r="AF44" s="10" t="s">
        <v>916</v>
      </c>
      <c r="AG44" s="10" t="s">
        <v>29</v>
      </c>
      <c r="AH44" s="20"/>
      <c r="AI44" s="147" t="s">
        <v>776</v>
      </c>
      <c r="AJ44" s="54" t="s">
        <v>776</v>
      </c>
      <c r="AK44" s="55">
        <v>45758</v>
      </c>
      <c r="AL44" s="10" t="s">
        <v>774</v>
      </c>
      <c r="AM44" s="10"/>
      <c r="AN44" s="10"/>
      <c r="AO44" s="10"/>
      <c r="AP44" s="10"/>
      <c r="AQ44" s="51" t="s">
        <v>1447</v>
      </c>
      <c r="AR44" s="51" t="s">
        <v>1448</v>
      </c>
      <c r="AS44" s="84" t="s">
        <v>1552</v>
      </c>
      <c r="AT44" s="51"/>
      <c r="AU44" s="100" t="s">
        <v>1449</v>
      </c>
      <c r="AV44" s="82" t="s">
        <v>1450</v>
      </c>
      <c r="AW44" s="52"/>
      <c r="AX44" s="51"/>
      <c r="AY44" s="51"/>
      <c r="AZ44" s="51"/>
      <c r="BA44" s="51"/>
      <c r="BB44" s="51"/>
      <c r="BC44" s="51"/>
      <c r="BD44" s="51"/>
      <c r="BE44" s="51"/>
      <c r="BF44" s="92"/>
      <c r="BG44" s="92"/>
      <c r="BH44" s="92"/>
      <c r="BI44" s="92"/>
      <c r="BJ44" s="92"/>
      <c r="BK44" s="92"/>
      <c r="BL44" s="92"/>
      <c r="BN44" s="7" t="str">
        <f>IF(IFERROR(FIND("romatis",TableauJDG[[#This Row],[TYPE DE THÉ FR]]),0)=0,"","aromatisé")</f>
        <v/>
      </c>
      <c r="BV44" s="10" t="str">
        <f t="shared" si="54"/>
        <v>Gaie et pétillante, cette tisane est une ode aux premiers beaux jours de l’année. Ses saveurs zestées fraîches et toniques relevées d'agréables notes épicées vous emportent avec délice dans l'effervescence du printemps !</v>
      </c>
      <c r="BW44" s="10" t="str">
        <f t="shared" si="55"/>
        <v/>
      </c>
      <c r="BX44" s="10" t="str">
        <f t="shared" si="28"/>
        <v/>
      </c>
      <c r="BY44" s="10" t="str">
        <f t="shared" si="29"/>
        <v/>
      </c>
      <c r="BZ44" s="10" t="str">
        <f t="shared" si="30"/>
        <v>Ingrédients : lemongrass* (Cymbopogon citratus) 42%, menthe poivrée* (Mentha piperita) 27%, feuilles de framboisier* (Rubus idaeus) 10%, cardamome* (Elettaria cardamomum), réglisse* (Glycyrrhiza glabra), pétales de bleuet* (Centaurea cyanus), pétale</v>
      </c>
      <c r="CA44" s="10" t="str">
        <f t="shared" si="31"/>
        <v>s de rose* (Rosa damascena). *Issu de l'agriculture biologique. Contient de la réglisse : les personnes souffrant d'hypertension doivent éviter toute consommation excessive.</v>
      </c>
      <c r="CB44" s="10" t="str">
        <f t="shared" si="32"/>
        <v/>
      </c>
      <c r="CC44" s="10" t="str">
        <f t="shared" si="33"/>
        <v/>
      </c>
      <c r="CD44" s="10" t="str">
        <f t="shared" si="34"/>
        <v>/</v>
      </c>
      <c r="CE44" s="10" t="str">
        <f t="shared" si="35"/>
        <v/>
      </c>
      <c r="CF44" s="10" t="str">
        <f t="shared" si="36"/>
        <v/>
      </c>
      <c r="CG44" s="10" t="str">
        <f t="shared" si="37"/>
        <v/>
      </c>
      <c r="CH44" s="10" t="str">
        <f t="shared" si="38"/>
        <v>/</v>
      </c>
      <c r="CI44" s="10" t="str">
        <f t="shared" si="39"/>
        <v/>
      </c>
      <c r="CJ44" s="10" t="str">
        <f t="shared" si="40"/>
        <v/>
      </c>
      <c r="CK44" s="10" t="str">
        <f t="shared" si="41"/>
        <v/>
      </c>
      <c r="CL44" s="10" t="str">
        <f t="shared" si="42"/>
        <v>Cheerful and sparkling, this herbal tea is an ode to the first beautiful days of the year. Its fresh and invigorating zesty flavours, enhanced by pleasant spicy notes, will transport you to the effervescence of spring!</v>
      </c>
      <c r="CM44" s="10" t="str">
        <f t="shared" si="43"/>
        <v/>
      </c>
      <c r="CN44" s="10" t="str">
        <f t="shared" si="44"/>
        <v/>
      </c>
      <c r="CO44" s="10" t="str">
        <f t="shared" si="45"/>
        <v/>
      </c>
      <c r="CP44" s="10" t="str">
        <f t="shared" si="46"/>
        <v>Ingredients: lemongrass* (Cymbopogon citratus) 42%, peppermint* (Mentha piperita) 27%, raspberry leaves* (Rubus idaeus) 10%, cardamom* (Elettaria cardamomum), liquorice* 7% (Glycyrrhiza glabra), cornflower petals* (Centaurea cyanus), rosebuds* (Ros</v>
      </c>
      <c r="CQ44" s="10" t="str">
        <f t="shared" si="47"/>
        <v>a damascena). *From organic farming. Contains liquorice: people suffering from hypertension should avoid excessive consumption.</v>
      </c>
      <c r="CR44" s="10" t="str">
        <f t="shared" si="48"/>
        <v/>
      </c>
      <c r="CS44" s="10" t="str">
        <f t="shared" si="49"/>
        <v/>
      </c>
      <c r="CT44" s="10" t="str">
        <f t="shared" si="50"/>
        <v/>
      </c>
      <c r="CU44" s="10" t="str">
        <f t="shared" si="51"/>
        <v/>
      </c>
      <c r="CV44" s="10" t="str">
        <f t="shared" si="52"/>
        <v/>
      </c>
      <c r="CW44" s="10" t="str">
        <f t="shared" si="53"/>
        <v/>
      </c>
    </row>
    <row r="45" spans="1:101" ht="115.2">
      <c r="A45" s="129" t="s">
        <v>332</v>
      </c>
      <c r="B45" s="9" t="s">
        <v>777</v>
      </c>
      <c r="C45" s="9" t="s">
        <v>39</v>
      </c>
      <c r="D45" s="8" t="s">
        <v>327</v>
      </c>
      <c r="E45" s="9" t="s">
        <v>328</v>
      </c>
      <c r="F45" s="9" t="s">
        <v>40</v>
      </c>
      <c r="G45" s="56" t="s">
        <v>29</v>
      </c>
      <c r="H45" s="10" t="s">
        <v>5</v>
      </c>
      <c r="I45" s="10" t="s">
        <v>29</v>
      </c>
      <c r="J45" s="10" t="s">
        <v>29</v>
      </c>
      <c r="K45" s="10" t="s">
        <v>29</v>
      </c>
      <c r="L45" s="10" t="s">
        <v>29</v>
      </c>
      <c r="M45" s="10" t="s">
        <v>29</v>
      </c>
      <c r="N45" s="10" t="s">
        <v>37</v>
      </c>
      <c r="O45" s="9"/>
      <c r="P45" s="9" t="s">
        <v>329</v>
      </c>
      <c r="Q45" s="9" t="s">
        <v>917</v>
      </c>
      <c r="R45" s="9"/>
      <c r="S45" s="9"/>
      <c r="T45" s="9" t="s">
        <v>330</v>
      </c>
      <c r="U45"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45" s="9" t="s">
        <v>41</v>
      </c>
      <c r="W45" s="9" t="s">
        <v>29</v>
      </c>
      <c r="X45" s="10">
        <v>70</v>
      </c>
      <c r="Y45" s="11" t="s">
        <v>42</v>
      </c>
      <c r="Z45" s="19">
        <v>95</v>
      </c>
      <c r="AA45" s="10">
        <v>2</v>
      </c>
      <c r="AB45" s="10">
        <v>35</v>
      </c>
      <c r="AC45" s="12">
        <v>3582811006329</v>
      </c>
      <c r="AD45" s="10" t="s">
        <v>29</v>
      </c>
      <c r="AE45" s="10" t="s">
        <v>920</v>
      </c>
      <c r="AF45" s="10" t="s">
        <v>920</v>
      </c>
      <c r="AG45" s="10" t="s">
        <v>29</v>
      </c>
      <c r="AH45" s="20"/>
      <c r="AI45" s="54" t="s">
        <v>776</v>
      </c>
      <c r="AJ45" s="54" t="s">
        <v>776</v>
      </c>
      <c r="AK45" s="55">
        <v>45621</v>
      </c>
      <c r="AL45" s="10"/>
      <c r="AM45" s="10">
        <v>24325</v>
      </c>
      <c r="AN45" s="10"/>
      <c r="AO45" s="50" t="s">
        <v>774</v>
      </c>
      <c r="AP45" s="50" t="s">
        <v>1583</v>
      </c>
      <c r="AQ45" s="51" t="s">
        <v>331</v>
      </c>
      <c r="AR45" s="51" t="s">
        <v>1602</v>
      </c>
      <c r="AS45" s="87" t="s">
        <v>1552</v>
      </c>
      <c r="AT45" s="87" t="e">
        <f>VLOOKUP(A45,TRADS,14,0)</f>
        <v>#REF!</v>
      </c>
      <c r="AU45" s="63" t="s">
        <v>918</v>
      </c>
      <c r="AV45" s="52" t="s">
        <v>919</v>
      </c>
      <c r="AW45" s="52"/>
      <c r="AX45" s="74" t="s">
        <v>1818</v>
      </c>
      <c r="AY45" s="51" t="s">
        <v>1284</v>
      </c>
      <c r="AZ45" s="51" t="s">
        <v>1285</v>
      </c>
      <c r="BA45" s="51">
        <v>0</v>
      </c>
      <c r="BB45" s="51" t="s">
        <v>1641</v>
      </c>
      <c r="BC45" s="51" t="s">
        <v>1573</v>
      </c>
      <c r="BD45" s="51" t="s">
        <v>1280</v>
      </c>
      <c r="BE45" s="51"/>
      <c r="BF45" s="92"/>
      <c r="BG45" s="92"/>
      <c r="BH45" s="92"/>
      <c r="BI45" s="92"/>
      <c r="BJ45" s="92"/>
      <c r="BK45" s="92"/>
      <c r="BL45" s="92"/>
      <c r="BM45" s="93">
        <v>1</v>
      </c>
      <c r="BN45" s="7" t="str">
        <f>IF(IFERROR(FIND("romatis",TableauJDG[[#This Row],[TYPE DE THÉ FR]]),0)=0,"","aromatisé")</f>
        <v/>
      </c>
      <c r="BV45" s="10" t="str">
        <f t="shared" si="54"/>
        <v>À l’image du dragon qui se meut libre comme l'air et tout en souplesse, conservez votre confort articulaire avec cette tisane de plantes aux vertus anti-inflammatoires légendaires. Fruitée, épicée et légèrement réglissée, son infusion est particulièr</v>
      </c>
      <c r="BW45" s="10" t="str">
        <f t="shared" si="55"/>
        <v xml:space="preserve">ement agréable et longue en bouche. </v>
      </c>
      <c r="BX45" s="10" t="str">
        <f t="shared" si="28"/>
        <v/>
      </c>
      <c r="BY45" s="10" t="str">
        <f t="shared" si="29"/>
        <v/>
      </c>
      <c r="BZ45" s="10" t="str">
        <f t="shared" si="30"/>
        <v>Ingrédients : feuilles de cassis* 34% (Ribes nigrum), curcuma* 25% (Curcuma longa), reine des prés* 11% (Filipendula ulmaria), gingembre* 9% (Zingiber officinale), baies de genévrier* (Juniperus communis), moringa* (Moringa oleifera), poivre noir* (P</v>
      </c>
      <c r="CA45" s="10" t="str">
        <f t="shared" si="31"/>
        <v>iper nigrum), pétales de bleuet* (Centaurea cyanus). *Issu de l'agriculture biologique.</v>
      </c>
      <c r="CB45" s="10" t="str">
        <f t="shared" si="32"/>
        <v/>
      </c>
      <c r="CC45" s="10" t="str">
        <f t="shared" si="33"/>
        <v/>
      </c>
      <c r="CD45" s="10" t="str">
        <f t="shared" si="34"/>
        <v>Consommation journalière conseillée : 3 tasses de 25 cl.
Il est recommandé d'adopter un mode de vie sain et une alimentation variée et équilibrée pour profiter pleinement des vertus de cette infusion. Informations nutritionnelles moyennes pour 100 m</v>
      </c>
      <c r="CE45" s="10" t="str">
        <f t="shared" si="35"/>
        <v>l : Énergie 3 kJ/1 kcal. Cette infusion contient des quantités négligeables de matières grasses dont acides gras saturés, de glucides dont sucres, de protéines et de sel.</v>
      </c>
      <c r="CF45" s="10" t="str">
        <f t="shared" si="36"/>
        <v/>
      </c>
      <c r="CG45" s="10" t="str">
        <f t="shared" si="37"/>
        <v/>
      </c>
      <c r="CH45" s="10" t="str">
        <f t="shared" si="38"/>
        <v>/</v>
      </c>
      <c r="CI45" s="10" t="str">
        <f t="shared" si="39"/>
        <v/>
      </c>
      <c r="CJ45" s="10" t="str">
        <f t="shared" si="40"/>
        <v/>
      </c>
      <c r="CK45" s="10" t="str">
        <f t="shared" si="41"/>
        <v/>
      </c>
      <c r="CL45" s="10" t="str">
        <f t="shared" si="42"/>
        <v xml:space="preserve">Like the dragon who moves as freely as the air, this herbal tea with its legendary anti-inflammatory properties will keep your joints comfortable. Fruity, spicy and slightly licorice-like, this infusion is particularly pleasant and long-lasting. </v>
      </c>
      <c r="CM45" s="10" t="str">
        <f t="shared" si="43"/>
        <v/>
      </c>
      <c r="CN45" s="10" t="str">
        <f t="shared" si="44"/>
        <v/>
      </c>
      <c r="CO45" s="10" t="str">
        <f t="shared" si="45"/>
        <v/>
      </c>
      <c r="CP45" s="10" t="str">
        <f t="shared" si="46"/>
        <v>Ingredients: blackcurrant leaves* 34% (Ribes nigrum), turmeric* 25% (Curcuma longa), meadowsweet* 11% (Filipendula ulmaria), ginger* 9% (Zingiber officinale), juniper berries* (Juniperus communis), moringa* (Moringa oleifera), black pepper* (Piper ni</v>
      </c>
      <c r="CQ45" s="10" t="str">
        <f t="shared" si="47"/>
        <v>grum), cornflower petals* (Centaurea cyanus). *From organic farming.</v>
      </c>
      <c r="CR45" s="10" t="str">
        <f t="shared" si="48"/>
        <v/>
      </c>
      <c r="CS45" s="10" t="str">
        <f t="shared" si="49"/>
        <v/>
      </c>
      <c r="CT45" s="10" t="str">
        <f t="shared" si="50"/>
        <v>Recommended daily consumption: 3 cups of 25 cl. 
A healthy lifestyle and a varied, balanced diet are recommended to fully benefit from the properties of this infusion. Average nutritional information per 100 ml: Energy 3 kJ/1 kcal. This herbal tea co</v>
      </c>
      <c r="CU45" s="10" t="str">
        <f t="shared" si="51"/>
        <v>ntains negligible amounts of fats (including saturated fats), carbohydrates (including sugars), proteins and salt.</v>
      </c>
      <c r="CV45" s="10" t="str">
        <f t="shared" si="52"/>
        <v/>
      </c>
      <c r="CW45" s="10" t="str">
        <f t="shared" si="53"/>
        <v/>
      </c>
    </row>
    <row r="46" spans="1:101" ht="86.4">
      <c r="A46" s="129" t="s">
        <v>336</v>
      </c>
      <c r="B46" s="9" t="s">
        <v>26</v>
      </c>
      <c r="C46" s="9" t="s">
        <v>39</v>
      </c>
      <c r="D46" s="8" t="s">
        <v>333</v>
      </c>
      <c r="E46" s="9" t="s">
        <v>924</v>
      </c>
      <c r="F46" s="9" t="s">
        <v>40</v>
      </c>
      <c r="G46" s="56" t="s">
        <v>29</v>
      </c>
      <c r="H46" s="10" t="s">
        <v>5</v>
      </c>
      <c r="I46" s="10" t="s">
        <v>29</v>
      </c>
      <c r="J46" s="10" t="s">
        <v>29</v>
      </c>
      <c r="K46" s="10" t="s">
        <v>29</v>
      </c>
      <c r="L46" s="10" t="s">
        <v>29</v>
      </c>
      <c r="M46" s="10" t="s">
        <v>29</v>
      </c>
      <c r="N46" s="10" t="s">
        <v>83</v>
      </c>
      <c r="O46" s="9"/>
      <c r="P46" s="9" t="s">
        <v>334</v>
      </c>
      <c r="Q46" s="9" t="s">
        <v>921</v>
      </c>
      <c r="R46" s="9"/>
      <c r="S46" s="9"/>
      <c r="T46" s="9" t="s">
        <v>925</v>
      </c>
      <c r="U46"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46" s="8" t="s">
        <v>29</v>
      </c>
      <c r="W46" s="9" t="s">
        <v>29</v>
      </c>
      <c r="X46" s="10">
        <v>50</v>
      </c>
      <c r="Y46" s="11" t="s">
        <v>42</v>
      </c>
      <c r="Z46" s="19">
        <v>95</v>
      </c>
      <c r="AA46" s="10">
        <v>2</v>
      </c>
      <c r="AB46" s="10">
        <v>25</v>
      </c>
      <c r="AC46" s="12">
        <v>3582811005209</v>
      </c>
      <c r="AD46" s="10" t="s">
        <v>29</v>
      </c>
      <c r="AE46" s="10" t="s">
        <v>926</v>
      </c>
      <c r="AF46" s="10" t="s">
        <v>926</v>
      </c>
      <c r="AG46" s="10" t="s">
        <v>29</v>
      </c>
      <c r="AH46" s="20"/>
      <c r="AI46" s="54" t="s">
        <v>776</v>
      </c>
      <c r="AJ46" s="54" t="s">
        <v>776</v>
      </c>
      <c r="AK46" s="55">
        <v>45615</v>
      </c>
      <c r="AL46" s="10" t="s">
        <v>774</v>
      </c>
      <c r="AM46" s="10">
        <v>24332</v>
      </c>
      <c r="AN46" s="10"/>
      <c r="AO46" s="10"/>
      <c r="AP46" s="10"/>
      <c r="AQ46" s="51" t="s">
        <v>335</v>
      </c>
      <c r="AR46" s="51" t="s">
        <v>1757</v>
      </c>
      <c r="AS46" s="68"/>
      <c r="AT46" s="87" t="e">
        <f>VLOOKUP(A46,TRADS,14,0)</f>
        <v>#REF!</v>
      </c>
      <c r="AU46" s="16" t="s">
        <v>922</v>
      </c>
      <c r="AV46" s="52" t="s">
        <v>923</v>
      </c>
      <c r="AW46" s="52"/>
      <c r="AX46" s="51"/>
      <c r="AY46" s="51"/>
      <c r="AZ46" s="51"/>
      <c r="BA46" s="51"/>
      <c r="BB46" s="51"/>
      <c r="BC46" s="51"/>
      <c r="BD46" s="51"/>
      <c r="BE46" s="51"/>
      <c r="BF46" s="92"/>
      <c r="BG46" s="92"/>
      <c r="BH46" s="92"/>
      <c r="BI46" s="92"/>
      <c r="BJ46" s="92"/>
      <c r="BK46" s="92"/>
      <c r="BL46" s="92"/>
      <c r="BN46" s="7" t="str">
        <f>IF(IFERROR(FIND("romatis",TableauJDG[[#This Row],[TYPE DE THÉ FR]]),0)=0,"","aromatisé")</f>
        <v/>
      </c>
      <c r="BV46" s="10" t="str">
        <f t="shared" si="54"/>
        <v>Sensuelle et spirituelle, cette infusion de plantes et de fleurs est inspirée par le plus beau des sentiments. Laissez-là câliner vos papilles par ses saveurs chaudes, rondes et gourmandes qui procurent un intense plaisir gustatif. À savourer amoureu</v>
      </c>
      <c r="BW46" s="10" t="str">
        <f t="shared" si="55"/>
        <v>sement à deux…</v>
      </c>
      <c r="BX46" s="10" t="str">
        <f t="shared" si="28"/>
        <v/>
      </c>
      <c r="BY46" s="10" t="str">
        <f t="shared" si="29"/>
        <v/>
      </c>
      <c r="BZ46" s="10" t="str">
        <f t="shared" si="30"/>
        <v>Ingrédients : feuilles de chanvre* (Cannabis sativa) 45%, cataire* (Nepeta cataria) 20%, persil* (Petroselinum crispum), verveine odorante* (Aloysia citrodora) 10%, sarriette* (Satureja montana), boutons de rose* (Rosa damascena). *Issu de l’agricult</v>
      </c>
      <c r="CA46" s="10" t="str">
        <f t="shared" si="31"/>
        <v>ure biologique.</v>
      </c>
      <c r="CB46" s="10" t="str">
        <f t="shared" si="32"/>
        <v/>
      </c>
      <c r="CC46" s="10" t="str">
        <f t="shared" si="33"/>
        <v/>
      </c>
      <c r="CD46" s="10" t="str">
        <f t="shared" si="34"/>
        <v>/</v>
      </c>
      <c r="CE46" s="10" t="str">
        <f t="shared" si="35"/>
        <v/>
      </c>
      <c r="CF46" s="10" t="str">
        <f t="shared" si="36"/>
        <v/>
      </c>
      <c r="CG46" s="10" t="str">
        <f t="shared" si="37"/>
        <v/>
      </c>
      <c r="CH46" s="10" t="str">
        <f t="shared" si="38"/>
        <v>/</v>
      </c>
      <c r="CI46" s="10" t="str">
        <f t="shared" si="39"/>
        <v/>
      </c>
      <c r="CJ46" s="10" t="str">
        <f t="shared" si="40"/>
        <v/>
      </c>
      <c r="CK46" s="10" t="str">
        <f t="shared" si="41"/>
        <v/>
      </c>
      <c r="CL46" s="10" t="str">
        <f t="shared" si="42"/>
        <v>Sensual and spiritual, this infusion of plants and flowers is inspired by the most beautiful of feelings. Let it tantalize your taste buds with its warm, round, gourmand flavours, providing intense gustatory pleasure. Enjoy it lovingly for two…</v>
      </c>
      <c r="CM46" s="10" t="str">
        <f t="shared" si="43"/>
        <v/>
      </c>
      <c r="CN46" s="10" t="str">
        <f t="shared" si="44"/>
        <v/>
      </c>
      <c r="CO46" s="10" t="str">
        <f t="shared" si="45"/>
        <v/>
      </c>
      <c r="CP46" s="10" t="str">
        <f t="shared" si="46"/>
        <v>Ingredients: hemp leaves* (Cannabis sativa) 45%, catmint* (Nepeta cataria) 20%, parsley* (Petroselinum crispum), verbena* (Aloysia citrodora) 10%, savory* (Satureja montana), rosebuds* (Rosa damascena). *From organic farming.</v>
      </c>
      <c r="CQ46" s="10" t="str">
        <f t="shared" si="47"/>
        <v/>
      </c>
      <c r="CR46" s="10" t="str">
        <f t="shared" si="48"/>
        <v/>
      </c>
      <c r="CS46" s="10" t="str">
        <f t="shared" si="49"/>
        <v/>
      </c>
      <c r="CT46" s="10" t="str">
        <f t="shared" si="50"/>
        <v/>
      </c>
      <c r="CU46" s="10" t="str">
        <f t="shared" si="51"/>
        <v/>
      </c>
      <c r="CV46" s="10" t="str">
        <f t="shared" si="52"/>
        <v/>
      </c>
      <c r="CW46" s="10" t="str">
        <f t="shared" si="53"/>
        <v/>
      </c>
    </row>
    <row r="47" spans="1:101" ht="100.8">
      <c r="A47" s="129" t="s">
        <v>340</v>
      </c>
      <c r="B47" s="9" t="s">
        <v>777</v>
      </c>
      <c r="C47" s="9" t="s">
        <v>39</v>
      </c>
      <c r="D47" s="8" t="s">
        <v>337</v>
      </c>
      <c r="E47" s="9" t="s">
        <v>338</v>
      </c>
      <c r="F47" s="9" t="s">
        <v>40</v>
      </c>
      <c r="G47" s="56" t="s">
        <v>29</v>
      </c>
      <c r="H47" s="10" t="s">
        <v>5</v>
      </c>
      <c r="I47" s="10" t="s">
        <v>29</v>
      </c>
      <c r="J47" s="10" t="s">
        <v>29</v>
      </c>
      <c r="K47" s="10" t="s">
        <v>29</v>
      </c>
      <c r="L47" s="10" t="s">
        <v>29</v>
      </c>
      <c r="M47" s="10" t="s">
        <v>29</v>
      </c>
      <c r="N47" s="10" t="s">
        <v>927</v>
      </c>
      <c r="O47" s="9"/>
      <c r="P47" s="9" t="s">
        <v>339</v>
      </c>
      <c r="Q47" s="9" t="s">
        <v>928</v>
      </c>
      <c r="R47" s="9"/>
      <c r="S47" s="9"/>
      <c r="T47" s="9" t="s">
        <v>929</v>
      </c>
      <c r="U47"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47" s="9" t="s">
        <v>41</v>
      </c>
      <c r="W47" s="9" t="s">
        <v>29</v>
      </c>
      <c r="X47" s="10">
        <v>50</v>
      </c>
      <c r="Y47" s="11" t="s">
        <v>42</v>
      </c>
      <c r="Z47" s="19">
        <v>95</v>
      </c>
      <c r="AA47" s="10">
        <v>2</v>
      </c>
      <c r="AB47" s="10">
        <v>25</v>
      </c>
      <c r="AC47" s="12">
        <v>3582811005216</v>
      </c>
      <c r="AD47" s="10" t="s">
        <v>29</v>
      </c>
      <c r="AE47" s="10" t="s">
        <v>930</v>
      </c>
      <c r="AF47" s="10" t="s">
        <v>930</v>
      </c>
      <c r="AG47" s="10" t="s">
        <v>29</v>
      </c>
      <c r="AH47" s="20"/>
      <c r="AI47" s="54" t="s">
        <v>776</v>
      </c>
      <c r="AJ47" s="54" t="s">
        <v>776</v>
      </c>
      <c r="AK47" s="55">
        <v>45321</v>
      </c>
      <c r="AL47" s="10" t="s">
        <v>774</v>
      </c>
      <c r="AM47" s="10">
        <v>25015</v>
      </c>
      <c r="AN47" s="10"/>
      <c r="AO47" s="10"/>
      <c r="AP47" s="10"/>
      <c r="AQ47" s="51" t="s">
        <v>1431</v>
      </c>
      <c r="AR47" s="51" t="s">
        <v>1432</v>
      </c>
      <c r="AS47" s="84" t="s">
        <v>1552</v>
      </c>
      <c r="AT47" s="51"/>
      <c r="AU47" s="86" t="s">
        <v>1433</v>
      </c>
      <c r="AV47" s="9" t="s">
        <v>1434</v>
      </c>
      <c r="AW47" s="52"/>
      <c r="AX47" s="74" t="s">
        <v>1818</v>
      </c>
      <c r="AY47" s="51"/>
      <c r="AZ47" s="51"/>
      <c r="BA47" s="51"/>
      <c r="BB47" s="51"/>
      <c r="BC47" s="51"/>
      <c r="BD47" s="51"/>
      <c r="BE47" s="51"/>
      <c r="BF47" s="92"/>
      <c r="BG47" s="92"/>
      <c r="BH47" s="92"/>
      <c r="BI47" s="92"/>
      <c r="BJ47" s="92"/>
      <c r="BK47" s="92"/>
      <c r="BL47" s="92"/>
      <c r="BN47" s="7" t="str">
        <f>IF(IFERROR(FIND("romatis",TableauJDG[[#This Row],[TYPE DE THÉ FR]]),0)=0,"","aromatisé")</f>
        <v/>
      </c>
      <c r="BV47" s="10" t="str">
        <f t="shared" si="54"/>
        <v>Transmise de génération en génération, cette tisane aux vertus digestives, un brin rustique, est un régal pour toute la famille qui séduit avec ses saveurs fruitées accompagnées de notes mentholées. Légère, généreuse et fraîche comme un câlin de Mam</v>
      </c>
      <c r="BW47" s="10" t="str">
        <f t="shared" si="55"/>
        <v>y !</v>
      </c>
      <c r="BX47" s="10" t="str">
        <f t="shared" si="28"/>
        <v/>
      </c>
      <c r="BY47" s="10" t="str">
        <f t="shared" si="29"/>
        <v/>
      </c>
      <c r="BZ47" s="10" t="str">
        <f t="shared" si="30"/>
        <v>Ingrédients : menthe poivrée* 50% (Mentha piperita), feuilles de mûrier* (Rubus fruticosus), écorces d’églantine* (Rosa canina), morceaux de pomme* (Malus domestica). *Issu de l'agriculture biologique.</v>
      </c>
      <c r="CA47" s="10" t="str">
        <f t="shared" si="31"/>
        <v/>
      </c>
      <c r="CB47" s="10" t="str">
        <f t="shared" si="32"/>
        <v/>
      </c>
      <c r="CC47" s="10" t="str">
        <f t="shared" si="33"/>
        <v/>
      </c>
      <c r="CD47" s="10" t="str">
        <f t="shared" si="34"/>
        <v>Consommation journalière conseillée : 3 tasses de 25 cl.
Il est recommandé d'adopter un mode de vie sain et une alimentation variée et équilibrée pour profiter pleinement des vertus de cette infusion. Informations nutritionnelles moyennes pour 100 m</v>
      </c>
      <c r="CE47" s="10" t="str">
        <f t="shared" si="35"/>
        <v>l : Énergie 3 kJ/1 kcal. Cette infusion contient des quantités négligeables de matières grasses dont acides gras saturés, de glucides dont sucres, de protéines et de sel.</v>
      </c>
      <c r="CF47" s="10" t="str">
        <f t="shared" si="36"/>
        <v/>
      </c>
      <c r="CG47" s="10" t="str">
        <f t="shared" si="37"/>
        <v/>
      </c>
      <c r="CH47" s="10" t="str">
        <f t="shared" si="38"/>
        <v>/</v>
      </c>
      <c r="CI47" s="10" t="str">
        <f t="shared" si="39"/>
        <v/>
      </c>
      <c r="CJ47" s="10" t="str">
        <f t="shared" si="40"/>
        <v/>
      </c>
      <c r="CK47" s="10" t="str">
        <f t="shared" si="41"/>
        <v/>
      </c>
      <c r="CL47" s="10" t="str">
        <f t="shared" si="42"/>
        <v>Passed down from generation to generation, this digestive herbal tea is a delight for the whole family, with its fruity flavours and menthol notes. Light, generous and as fresh as a hug from Grandma!</v>
      </c>
      <c r="CM47" s="10" t="str">
        <f t="shared" si="43"/>
        <v/>
      </c>
      <c r="CN47" s="10" t="str">
        <f t="shared" si="44"/>
        <v/>
      </c>
      <c r="CO47" s="10" t="str">
        <f t="shared" si="45"/>
        <v/>
      </c>
      <c r="CP47" s="10" t="str">
        <f t="shared" si="46"/>
        <v>Ingredients: peppermint* 50% (Mentha piperita), blackberry bush leaves* (Rubus fruticosus), wild rose barks* (Rosa caninaa - Fructus), apple pieces* (Malus domestica). *From organic farming.</v>
      </c>
      <c r="CQ47" s="10" t="str">
        <f t="shared" si="47"/>
        <v/>
      </c>
      <c r="CR47" s="10" t="str">
        <f t="shared" si="48"/>
        <v/>
      </c>
      <c r="CS47" s="10" t="str">
        <f t="shared" si="49"/>
        <v/>
      </c>
      <c r="CT47" s="10" t="str">
        <f t="shared" si="50"/>
        <v>Recommended daily consumption: 3 cups of 25 cl. 
A healthy lifestyle and a varied, balanced diet are recommended to fully benefit from the properties of this infusion. Average nutritional information per 100 ml: Energy 3 kJ/1 kcal. This herbal tea co</v>
      </c>
      <c r="CU47" s="10" t="str">
        <f t="shared" si="51"/>
        <v>ntains negligible amounts of fats (including saturated fats), carbohydrates (including sugars), proteins and salt.</v>
      </c>
      <c r="CV47" s="10" t="str">
        <f t="shared" si="52"/>
        <v/>
      </c>
      <c r="CW47" s="10" t="str">
        <f t="shared" si="53"/>
        <v/>
      </c>
    </row>
    <row r="48" spans="1:101" ht="100.8">
      <c r="A48" s="129" t="s">
        <v>1715</v>
      </c>
      <c r="B48" s="9" t="s">
        <v>798</v>
      </c>
      <c r="C48" s="9" t="s">
        <v>798</v>
      </c>
      <c r="D48" s="8" t="s">
        <v>342</v>
      </c>
      <c r="E48" s="9" t="s">
        <v>343</v>
      </c>
      <c r="F48" s="9" t="s">
        <v>40</v>
      </c>
      <c r="G48" s="20"/>
      <c r="H48" s="10" t="s">
        <v>5</v>
      </c>
      <c r="I48" s="10" t="s">
        <v>29</v>
      </c>
      <c r="J48" s="10" t="s">
        <v>29</v>
      </c>
      <c r="K48" s="10" t="s">
        <v>29</v>
      </c>
      <c r="L48" s="10" t="s">
        <v>29</v>
      </c>
      <c r="M48" s="10" t="s">
        <v>29</v>
      </c>
      <c r="N48" s="10" t="s">
        <v>37</v>
      </c>
      <c r="O48" s="9"/>
      <c r="P48" s="9" t="s">
        <v>344</v>
      </c>
      <c r="Q48" s="9" t="s">
        <v>1728</v>
      </c>
      <c r="R48" s="9"/>
      <c r="S48" s="9"/>
      <c r="T48" s="9" t="s">
        <v>345</v>
      </c>
      <c r="U48"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48" s="8" t="s">
        <v>29</v>
      </c>
      <c r="W48" s="9" t="s">
        <v>29</v>
      </c>
      <c r="X48" s="10">
        <v>50</v>
      </c>
      <c r="Y48" s="11" t="s">
        <v>42</v>
      </c>
      <c r="Z48" s="19">
        <v>95</v>
      </c>
      <c r="AA48" s="10">
        <v>2</v>
      </c>
      <c r="AB48" s="12">
        <v>25</v>
      </c>
      <c r="AC48" s="12">
        <v>3582811005223</v>
      </c>
      <c r="AD48" s="10" t="s">
        <v>29</v>
      </c>
      <c r="AE48" s="70" t="s">
        <v>1716</v>
      </c>
      <c r="AF48" s="70" t="s">
        <v>1717</v>
      </c>
      <c r="AG48" s="70" t="s">
        <v>1718</v>
      </c>
      <c r="AH48" s="20" t="s">
        <v>38</v>
      </c>
      <c r="AI48" s="10"/>
      <c r="AJ48" s="10"/>
      <c r="AK48" s="10"/>
      <c r="AL48" s="10"/>
      <c r="AM48" s="10"/>
      <c r="AN48" s="104"/>
      <c r="AO48" s="50" t="s">
        <v>775</v>
      </c>
      <c r="AP48" s="50" t="s">
        <v>1584</v>
      </c>
      <c r="AQ48" s="51" t="s">
        <v>1435</v>
      </c>
      <c r="AR48" s="51" t="s">
        <v>1436</v>
      </c>
      <c r="AS48" s="87" t="s">
        <v>1552</v>
      </c>
      <c r="AT48" s="87" t="e">
        <f>VLOOKUP(A48,TRADS,14,0)</f>
        <v>#REF!</v>
      </c>
      <c r="AU48" s="141" t="s">
        <v>1437</v>
      </c>
      <c r="AV48" s="87" t="s">
        <v>1919</v>
      </c>
      <c r="AW48" s="87"/>
      <c r="AX48" s="87" t="s">
        <v>29</v>
      </c>
      <c r="AY48" s="51" t="s">
        <v>1276</v>
      </c>
      <c r="AZ48" s="51" t="s">
        <v>1277</v>
      </c>
      <c r="BA48" s="51">
        <v>0</v>
      </c>
      <c r="BB48" s="51" t="s">
        <v>1641</v>
      </c>
      <c r="BC48" s="51" t="s">
        <v>1573</v>
      </c>
      <c r="BD48" s="51" t="s">
        <v>1287</v>
      </c>
      <c r="BE48" s="51"/>
      <c r="BF48" s="92"/>
      <c r="BG48" s="92"/>
      <c r="BH48" s="92"/>
      <c r="BI48" s="92"/>
      <c r="BJ48" s="92"/>
      <c r="BK48" s="92"/>
      <c r="BL48" s="92"/>
      <c r="BN48" s="7" t="str">
        <f>IF(IFERROR(FIND("romatis",TableauJDG[[#This Row],[TYPE DE THÉ FR]]),0)=0,"","aromatisé")</f>
        <v/>
      </c>
      <c r="BV48" s="10" t="str">
        <f t="shared" si="54"/>
        <v xml:space="preserve">Une boisson pour toute la famille qui célèbre délicieusement l’esprit de Noël ! Empreinte des traditions alsaciennes, cette Tisane de Noël particulièrement colorée et festive associe avec gourmandise les saveurs de la cannelle et de la mélisse. </v>
      </c>
      <c r="BW48" s="10" t="str">
        <f t="shared" si="55"/>
        <v/>
      </c>
      <c r="BX48" s="10" t="str">
        <f t="shared" si="28"/>
        <v/>
      </c>
      <c r="BY48" s="10" t="str">
        <f t="shared" si="29"/>
        <v/>
      </c>
      <c r="BZ48" s="10" t="str">
        <f t="shared" si="30"/>
        <v>Ingrédients : cannelle* 44%, mélisse* 21%, feuilles de mûrier*, écorces d'orange*, morceaux de pomme*, réglisse*, clous de girofle*, pétales de fleurs (souci*, bleuet*). *Issu de l'agriculture biologique. Contient de la réglisse, les personnes souffr</v>
      </c>
      <c r="CA48" s="10" t="str">
        <f t="shared" si="31"/>
        <v xml:space="preserve">ant d'hypertension doivent éviter toute consommation excessive. </v>
      </c>
      <c r="CB48" s="10" t="str">
        <f t="shared" si="32"/>
        <v/>
      </c>
      <c r="CC48" s="10" t="str">
        <f t="shared" si="33"/>
        <v/>
      </c>
      <c r="CD48" s="10" t="str">
        <f t="shared" si="34"/>
        <v>/</v>
      </c>
      <c r="CE48" s="10" t="str">
        <f t="shared" si="35"/>
        <v/>
      </c>
      <c r="CF48" s="10" t="str">
        <f t="shared" si="36"/>
        <v/>
      </c>
      <c r="CG48" s="10" t="str">
        <f t="shared" si="37"/>
        <v/>
      </c>
      <c r="CH48" s="10" t="str">
        <f t="shared" si="38"/>
        <v>/</v>
      </c>
      <c r="CI48" s="10" t="str">
        <f t="shared" si="39"/>
        <v/>
      </c>
      <c r="CJ48" s="10" t="str">
        <f t="shared" si="40"/>
        <v/>
      </c>
      <c r="CK48" s="10" t="str">
        <f t="shared" si="41"/>
        <v/>
      </c>
      <c r="CL48" s="10" t="str">
        <f t="shared" si="42"/>
        <v>Steeped in Alsatian tradition, this particularly colourful and festive Christmas herbal tea is a delicious combination of cinnamon and lemon balm. A drink for the whole family that deliciously celebrates the spirit of Christmas!</v>
      </c>
      <c r="CM48" s="10" t="str">
        <f t="shared" si="43"/>
        <v/>
      </c>
      <c r="CN48" s="10" t="str">
        <f t="shared" si="44"/>
        <v/>
      </c>
      <c r="CO48" s="10" t="str">
        <f t="shared" si="45"/>
        <v/>
      </c>
      <c r="CP48" s="10" t="str">
        <f t="shared" si="46"/>
        <v>Ingredients: cinnamon* 44%, lemon balm* 21%, mulberry leaves*, orange peels*, apple pieces*, liquorice*, cloves*, flower petals (marigold*, cornflower*). *From organic farming. Contains liquorice, people suffering from hypertension should avoid exces</v>
      </c>
      <c r="CQ48" s="10" t="str">
        <f t="shared" si="47"/>
        <v xml:space="preserve">sive consumption. </v>
      </c>
      <c r="CR48" s="10" t="str">
        <f t="shared" si="48"/>
        <v/>
      </c>
      <c r="CS48" s="10" t="str">
        <f t="shared" si="49"/>
        <v/>
      </c>
      <c r="CT48" s="10" t="str">
        <f t="shared" si="50"/>
        <v>/</v>
      </c>
      <c r="CU48" s="10" t="str">
        <f t="shared" si="51"/>
        <v/>
      </c>
      <c r="CV48" s="10" t="str">
        <f t="shared" si="52"/>
        <v/>
      </c>
      <c r="CW48" s="10" t="str">
        <f t="shared" si="53"/>
        <v/>
      </c>
    </row>
    <row r="49" spans="1:147" ht="100.8">
      <c r="A49" s="129" t="s">
        <v>1726</v>
      </c>
      <c r="B49" s="9" t="s">
        <v>798</v>
      </c>
      <c r="C49" s="9" t="s">
        <v>798</v>
      </c>
      <c r="D49" s="8" t="s">
        <v>342</v>
      </c>
      <c r="E49" s="9" t="s">
        <v>343</v>
      </c>
      <c r="F49" s="9" t="s">
        <v>40</v>
      </c>
      <c r="G49" s="20"/>
      <c r="H49" s="10" t="s">
        <v>5</v>
      </c>
      <c r="I49" s="10" t="s">
        <v>29</v>
      </c>
      <c r="J49" s="10" t="s">
        <v>29</v>
      </c>
      <c r="K49" s="10" t="s">
        <v>29</v>
      </c>
      <c r="L49" s="10" t="s">
        <v>29</v>
      </c>
      <c r="M49" s="10" t="s">
        <v>29</v>
      </c>
      <c r="N49" s="10" t="s">
        <v>37</v>
      </c>
      <c r="O49" s="9"/>
      <c r="P49" s="9" t="s">
        <v>344</v>
      </c>
      <c r="Q49" s="9" t="s">
        <v>1728</v>
      </c>
      <c r="R49" s="9"/>
      <c r="S49" s="9"/>
      <c r="T49" s="9" t="s">
        <v>1725</v>
      </c>
      <c r="U49"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49" s="8" t="s">
        <v>29</v>
      </c>
      <c r="W49" s="9" t="s">
        <v>29</v>
      </c>
      <c r="X49" s="10">
        <v>50</v>
      </c>
      <c r="Y49" s="11" t="s">
        <v>42</v>
      </c>
      <c r="Z49" s="19">
        <v>95</v>
      </c>
      <c r="AA49" s="10">
        <v>2</v>
      </c>
      <c r="AB49" s="12">
        <v>25</v>
      </c>
      <c r="AC49" s="12">
        <v>3582813352264</v>
      </c>
      <c r="AD49" s="10" t="s">
        <v>29</v>
      </c>
      <c r="AE49" s="10" t="s">
        <v>1727</v>
      </c>
      <c r="AF49" s="10"/>
      <c r="AG49" s="10" t="s">
        <v>1705</v>
      </c>
      <c r="AH49" s="20" t="s">
        <v>38</v>
      </c>
      <c r="AI49" s="10"/>
      <c r="AJ49" s="10"/>
      <c r="AK49" s="10"/>
      <c r="AL49" s="10"/>
      <c r="AM49" s="10"/>
      <c r="AN49" s="10"/>
      <c r="AO49" s="50"/>
      <c r="AP49" s="50"/>
      <c r="AQ49" s="51" t="s">
        <v>1435</v>
      </c>
      <c r="AR49" s="51" t="s">
        <v>1436</v>
      </c>
      <c r="AS49" s="87" t="s">
        <v>1552</v>
      </c>
      <c r="AT49" s="87" t="e">
        <f>VLOOKUP(A49,TRADS,14,0)</f>
        <v>#REF!</v>
      </c>
      <c r="AU49" s="87" t="s">
        <v>1437</v>
      </c>
      <c r="AV49" s="87" t="s">
        <v>1746</v>
      </c>
      <c r="AW49" s="52"/>
      <c r="AX49" s="51"/>
      <c r="AY49" s="51"/>
      <c r="AZ49" s="51"/>
      <c r="BA49" s="51"/>
      <c r="BB49" s="51"/>
      <c r="BC49" s="51"/>
      <c r="BD49" s="51"/>
      <c r="BE49" s="51"/>
      <c r="BF49" s="92"/>
      <c r="BG49" s="92"/>
      <c r="BH49" s="92"/>
      <c r="BI49" s="92"/>
      <c r="BJ49" s="92"/>
      <c r="BK49" s="92"/>
      <c r="BL49" s="92"/>
      <c r="BN49" s="7" t="str">
        <f>IF(IFERROR(FIND("romatis",TableauJDG[[#This Row],[TYPE DE THÉ FR]]),0)=0,"","aromatisé")</f>
        <v/>
      </c>
      <c r="BV49" s="10" t="str">
        <f t="shared" si="54"/>
        <v xml:space="preserve">Une boisson pour toute la famille qui célèbre délicieusement l’esprit de Noël ! Empreinte des traditions alsaciennes, cette Tisane de Noël particulièrement colorée et festive associe avec gourmandise les saveurs de la cannelle et de la mélisse. </v>
      </c>
      <c r="BW49" s="10" t="str">
        <f t="shared" si="55"/>
        <v/>
      </c>
      <c r="BX49" s="10" t="str">
        <f t="shared" si="28"/>
        <v/>
      </c>
      <c r="BY49" s="10" t="str">
        <f t="shared" si="29"/>
        <v/>
      </c>
      <c r="BZ49" s="10" t="str">
        <f t="shared" si="30"/>
        <v>Ingrédients : cannelle* 44%, mélisse* 21%, feuilles de mûrier*, écorces d'orange*, morceaux de pomme*, réglisse*, clous de girofle*, pétales de fleurs (souci*, bleuet*). *Issu de l'agriculture biologique. Contient de la réglisse, les personnes souffr</v>
      </c>
      <c r="CA49" s="10" t="str">
        <f t="shared" si="31"/>
        <v xml:space="preserve">ant d'hypertension doivent éviter toute consommation excessive. </v>
      </c>
      <c r="CB49" s="10" t="str">
        <f t="shared" si="32"/>
        <v/>
      </c>
      <c r="CC49" s="10" t="str">
        <f t="shared" si="33"/>
        <v/>
      </c>
      <c r="CD49" s="10" t="str">
        <f t="shared" si="34"/>
        <v>/</v>
      </c>
      <c r="CE49" s="10" t="str">
        <f t="shared" si="35"/>
        <v/>
      </c>
      <c r="CF49" s="10" t="str">
        <f t="shared" si="36"/>
        <v/>
      </c>
      <c r="CG49" s="10" t="str">
        <f t="shared" si="37"/>
        <v/>
      </c>
      <c r="CH49" s="10" t="str">
        <f t="shared" si="38"/>
        <v>/</v>
      </c>
      <c r="CI49" s="10" t="str">
        <f t="shared" si="39"/>
        <v/>
      </c>
      <c r="CJ49" s="10" t="str">
        <f t="shared" si="40"/>
        <v/>
      </c>
      <c r="CK49" s="10" t="str">
        <f t="shared" si="41"/>
        <v/>
      </c>
      <c r="CL49" s="10" t="str">
        <f t="shared" si="42"/>
        <v>Steeped in Alsatian tradition, this particularly colourful and festive Christmas herbal tea is a delicious combination of cinnamon and lemon balm. A drink for the whole family that deliciously celebrates the spirit of Christmas!</v>
      </c>
      <c r="CM49" s="10" t="str">
        <f t="shared" si="43"/>
        <v/>
      </c>
      <c r="CN49" s="10" t="str">
        <f t="shared" si="44"/>
        <v/>
      </c>
      <c r="CO49" s="10" t="str">
        <f t="shared" si="45"/>
        <v/>
      </c>
      <c r="CP49" s="10" t="str">
        <f t="shared" si="46"/>
        <v>Ingredients: cinnamon* 44%, lemon balm* 21%, mulberry leaves*, orange peels*, apple pieces*, liquorice*, cloves*, flower petals (marigold*, cornflower*). *From organic farming. Contains liquorice, people suffering from hypertension should avoid exces</v>
      </c>
      <c r="CQ49" s="10" t="str">
        <f t="shared" si="47"/>
        <v xml:space="preserve">sive consumption. </v>
      </c>
      <c r="CR49" s="10" t="str">
        <f t="shared" si="48"/>
        <v/>
      </c>
      <c r="CS49" s="10" t="str">
        <f t="shared" si="49"/>
        <v/>
      </c>
      <c r="CT49" s="10" t="str">
        <f t="shared" si="50"/>
        <v/>
      </c>
      <c r="CU49" s="10" t="str">
        <f t="shared" si="51"/>
        <v/>
      </c>
      <c r="CV49" s="10" t="str">
        <f t="shared" si="52"/>
        <v/>
      </c>
      <c r="CW49" s="10" t="str">
        <f t="shared" si="53"/>
        <v/>
      </c>
    </row>
    <row r="50" spans="1:147" ht="100.8">
      <c r="A50" s="130" t="s">
        <v>341</v>
      </c>
      <c r="B50" s="9" t="s">
        <v>26</v>
      </c>
      <c r="C50" s="9" t="s">
        <v>39</v>
      </c>
      <c r="D50" s="8" t="s">
        <v>346</v>
      </c>
      <c r="E50" s="9" t="s">
        <v>343</v>
      </c>
      <c r="F50" s="9" t="s">
        <v>40</v>
      </c>
      <c r="G50" s="20"/>
      <c r="H50" s="10" t="s">
        <v>5</v>
      </c>
      <c r="I50" s="10" t="s">
        <v>29</v>
      </c>
      <c r="J50" s="10" t="s">
        <v>29</v>
      </c>
      <c r="K50" s="10" t="s">
        <v>29</v>
      </c>
      <c r="L50" s="10" t="s">
        <v>29</v>
      </c>
      <c r="M50" s="10" t="s">
        <v>29</v>
      </c>
      <c r="N50" s="10" t="s">
        <v>37</v>
      </c>
      <c r="O50" s="9"/>
      <c r="P50" s="9" t="s">
        <v>344</v>
      </c>
      <c r="Q50" s="9" t="s">
        <v>931</v>
      </c>
      <c r="R50" s="9"/>
      <c r="S50" s="9"/>
      <c r="T50" s="9" t="s">
        <v>345</v>
      </c>
      <c r="U50"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50" s="8" t="s">
        <v>29</v>
      </c>
      <c r="W50" s="9" t="s">
        <v>29</v>
      </c>
      <c r="X50" s="10">
        <v>50</v>
      </c>
      <c r="Y50" s="11" t="s">
        <v>42</v>
      </c>
      <c r="Z50" s="19">
        <v>95</v>
      </c>
      <c r="AA50" s="10">
        <v>2</v>
      </c>
      <c r="AB50" s="12">
        <v>25</v>
      </c>
      <c r="AC50" s="12">
        <v>3582811005223</v>
      </c>
      <c r="AD50" s="10" t="s">
        <v>29</v>
      </c>
      <c r="AE50" s="27" t="s">
        <v>932</v>
      </c>
      <c r="AF50" s="27" t="s">
        <v>932</v>
      </c>
      <c r="AG50" s="76" t="s">
        <v>933</v>
      </c>
      <c r="AH50" s="20" t="s">
        <v>38</v>
      </c>
      <c r="AI50" s="10"/>
      <c r="AJ50" s="10"/>
      <c r="AK50" s="10"/>
      <c r="AL50" s="10"/>
      <c r="AM50" s="10"/>
      <c r="AN50" s="10"/>
      <c r="AO50" s="10"/>
      <c r="AP50" s="10"/>
      <c r="AQ50" s="51"/>
      <c r="AR50" s="51"/>
      <c r="AS50" s="51"/>
      <c r="AT50" s="51"/>
      <c r="AU50" s="51" t="s">
        <v>1951</v>
      </c>
      <c r="AV50" s="87" t="s">
        <v>1746</v>
      </c>
      <c r="AW50" s="52"/>
      <c r="AX50" s="51"/>
      <c r="AY50" s="51"/>
      <c r="AZ50" s="51"/>
      <c r="BA50" s="51"/>
      <c r="BB50" s="51"/>
      <c r="BC50" s="51"/>
      <c r="BD50" s="51"/>
      <c r="BE50" s="51"/>
      <c r="BF50" s="92"/>
      <c r="BG50" s="92"/>
      <c r="BH50" s="92"/>
      <c r="BI50" s="92"/>
      <c r="BJ50" s="92"/>
      <c r="BK50" s="92"/>
      <c r="BL50" s="92"/>
      <c r="BN50" s="7" t="str">
        <f>IF(IFERROR(FIND("romatis",TableauJDG[[#This Row],[TYPE DE THÉ FR]]),0)=0,"","aromatisé")</f>
        <v/>
      </c>
      <c r="BV50" s="10" t="str">
        <f t="shared" si="54"/>
        <v>Colorée et festive, cette tisane d’hiver empreinte des traditions gourmandes alsaciennes marie agréablement les saveurs chaudes de la cannelle et citronnées de la mélisse. Son caractère doux et lumineux donne immédiatement envie de la partager.</v>
      </c>
      <c r="BW50" s="10" t="str">
        <f t="shared" si="55"/>
        <v/>
      </c>
      <c r="BX50" s="10" t="str">
        <f t="shared" si="28"/>
        <v/>
      </c>
      <c r="BY50" s="10" t="str">
        <f t="shared" si="29"/>
        <v/>
      </c>
      <c r="BZ50" s="10" t="str">
        <f t="shared" si="30"/>
        <v>Ingrédients : cannelle* 44%, mélisse* 21%, feuilles de mûrier*, écorces d'orange*, morceaux de pomme*, réglisse*, clous de girofle*, pétales de fleurs (souci*, bleuet*). *Issu de l'agriculture biologique. Contient de la réglisse, les personnes souffr</v>
      </c>
      <c r="CA50" s="10" t="str">
        <f t="shared" si="31"/>
        <v xml:space="preserve">ant d'hypertension doivent éviter toute consommation excessive. </v>
      </c>
      <c r="CB50" s="10" t="str">
        <f t="shared" si="32"/>
        <v/>
      </c>
      <c r="CC50" s="10" t="str">
        <f t="shared" si="33"/>
        <v/>
      </c>
      <c r="CD50" s="10" t="str">
        <f t="shared" si="34"/>
        <v>/</v>
      </c>
      <c r="CE50" s="10" t="str">
        <f t="shared" si="35"/>
        <v/>
      </c>
      <c r="CF50" s="10" t="str">
        <f t="shared" si="36"/>
        <v/>
      </c>
      <c r="CG50" s="10" t="str">
        <f t="shared" si="37"/>
        <v/>
      </c>
      <c r="CH50" s="10" t="str">
        <f t="shared" si="38"/>
        <v>/</v>
      </c>
      <c r="CI50" s="10" t="str">
        <f t="shared" si="39"/>
        <v/>
      </c>
      <c r="CJ50" s="10" t="str">
        <f t="shared" si="40"/>
        <v/>
      </c>
      <c r="CK50" s="10" t="str">
        <f t="shared" si="41"/>
        <v/>
      </c>
      <c r="CL50" s="10" t="str">
        <f t="shared" si="42"/>
        <v>Colorful and festive, this winter herbal tea, steeped in Alsatian traditions, pleasantly combines the warm flavours of cinnamon and lemony lemon balm. Its sweet and bright character immediately makes you want to share it.</v>
      </c>
      <c r="CM50" s="10" t="str">
        <f t="shared" si="43"/>
        <v/>
      </c>
      <c r="CN50" s="10" t="str">
        <f t="shared" si="44"/>
        <v/>
      </c>
      <c r="CO50" s="10" t="str">
        <f t="shared" si="45"/>
        <v/>
      </c>
      <c r="CP50" s="10" t="str">
        <f t="shared" si="46"/>
        <v>Ingredients: cinnamon* 44%, lemon balm* 21%, mulberry leaves*, orange peels*, apple pieces*, liquorice*, cloves*, flower petals (marigold*, cornflower*). *From organic farming. Contains liquorice, people suffering from hypertension should avoid exces</v>
      </c>
      <c r="CQ50" s="10" t="str">
        <f t="shared" si="47"/>
        <v xml:space="preserve">sive consumption. </v>
      </c>
      <c r="CR50" s="10" t="str">
        <f t="shared" si="48"/>
        <v/>
      </c>
      <c r="CS50" s="10" t="str">
        <f t="shared" si="49"/>
        <v/>
      </c>
      <c r="CT50" s="10" t="str">
        <f t="shared" si="50"/>
        <v/>
      </c>
      <c r="CU50" s="10" t="str">
        <f t="shared" si="51"/>
        <v/>
      </c>
      <c r="CV50" s="10" t="str">
        <f t="shared" si="52"/>
        <v/>
      </c>
      <c r="CW50" s="10" t="str">
        <f t="shared" si="53"/>
        <v/>
      </c>
    </row>
    <row r="51" spans="1:147" ht="115.2">
      <c r="A51" s="129" t="s">
        <v>959</v>
      </c>
      <c r="B51" s="9" t="s">
        <v>779</v>
      </c>
      <c r="C51" s="9"/>
      <c r="D51" s="8" t="s">
        <v>957</v>
      </c>
      <c r="E51" s="23" t="s">
        <v>29</v>
      </c>
      <c r="F51" s="9" t="s">
        <v>27</v>
      </c>
      <c r="G51" s="9" t="s">
        <v>61</v>
      </c>
      <c r="H51" s="10" t="s">
        <v>5</v>
      </c>
      <c r="I51" s="10" t="s">
        <v>6</v>
      </c>
      <c r="J51" s="10" t="s">
        <v>29</v>
      </c>
      <c r="K51" s="10" t="s">
        <v>29</v>
      </c>
      <c r="L51" s="10" t="s">
        <v>29</v>
      </c>
      <c r="M51" s="10" t="s">
        <v>29</v>
      </c>
      <c r="N51" s="10" t="s">
        <v>46</v>
      </c>
      <c r="O51" s="9" t="s">
        <v>780</v>
      </c>
      <c r="P51" s="25" t="s">
        <v>29</v>
      </c>
      <c r="Q51" s="98" t="s">
        <v>958</v>
      </c>
      <c r="R51" s="26"/>
      <c r="S51" s="95" t="s">
        <v>1635</v>
      </c>
      <c r="T51" s="9" t="s">
        <v>92</v>
      </c>
      <c r="U51"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51" s="9"/>
      <c r="W51" s="9" t="s">
        <v>31</v>
      </c>
      <c r="X51" s="10">
        <v>100</v>
      </c>
      <c r="Y51" s="11" t="s">
        <v>59</v>
      </c>
      <c r="Z51" s="19">
        <v>95</v>
      </c>
      <c r="AA51" s="10">
        <v>2</v>
      </c>
      <c r="AB51" s="10">
        <v>50</v>
      </c>
      <c r="AC51" s="12">
        <v>3582810255124</v>
      </c>
      <c r="AD51" s="10"/>
      <c r="AE51" s="20" t="s">
        <v>1733</v>
      </c>
      <c r="AF51" s="20" t="s">
        <v>960</v>
      </c>
      <c r="AG51" s="20" t="s">
        <v>961</v>
      </c>
      <c r="AH51" s="20"/>
      <c r="AI51" s="54" t="s">
        <v>776</v>
      </c>
      <c r="AJ51" s="54" t="s">
        <v>776</v>
      </c>
      <c r="AK51" s="55">
        <v>45758</v>
      </c>
      <c r="AL51" s="10"/>
      <c r="AM51" s="10"/>
      <c r="AN51" s="10"/>
      <c r="AO51" s="50" t="s">
        <v>774</v>
      </c>
      <c r="AP51" s="44" t="s">
        <v>1624</v>
      </c>
      <c r="AQ51" s="51" t="s">
        <v>1507</v>
      </c>
      <c r="AR51" s="51" t="s">
        <v>29</v>
      </c>
      <c r="AS51" s="87" t="s">
        <v>1562</v>
      </c>
      <c r="AT51" s="87" t="e">
        <f>VLOOKUP(A51,TRADS,14,0)</f>
        <v>#REF!</v>
      </c>
      <c r="AU51" s="141" t="s">
        <v>1587</v>
      </c>
      <c r="AV51" s="87" t="s">
        <v>741</v>
      </c>
      <c r="AW51" s="87"/>
      <c r="AX51" s="114" t="s">
        <v>29</v>
      </c>
      <c r="AY51" s="51" t="e">
        <v>#N/A</v>
      </c>
      <c r="AZ51" s="51" t="e">
        <v>#N/A</v>
      </c>
      <c r="BA51" s="51" t="s">
        <v>1636</v>
      </c>
      <c r="BB51" s="51" t="s">
        <v>1642</v>
      </c>
      <c r="BC51" s="51" t="s">
        <v>1572</v>
      </c>
      <c r="BD51" s="51" t="s">
        <v>1287</v>
      </c>
      <c r="BE51" s="51"/>
      <c r="BF51" s="92"/>
      <c r="BG51" s="92"/>
      <c r="BH51" s="92"/>
      <c r="BI51" s="92"/>
      <c r="BJ51" s="92"/>
      <c r="BK51" s="92"/>
      <c r="BL51" s="92"/>
      <c r="BM51" s="93">
        <v>1</v>
      </c>
      <c r="BN51" s="7" t="str">
        <f>IF(IFERROR(FIND("romatis",TableauJDG[[#This Row],[TYPE DE THÉ FR]]),0)=0,"","aromatisé")</f>
        <v/>
      </c>
      <c r="BV51" s="10" t="str">
        <f t="shared" si="54"/>
        <v>Venu à la voile depuis son Vietnam natal, ce thé noir a suivi la voie de l’eau qui préfigure un nouvel avenir. A la faveur du vent et de son énergie inépuisable, nous pouvons savourer en toute quiétude un thé de petits producteurs aux agréables sente</v>
      </c>
      <c r="BW51" s="10" t="str">
        <f t="shared" si="55"/>
        <v>urs boisées et aux saveurs maltées pleines de douceur.</v>
      </c>
      <c r="BX51" s="10" t="str">
        <f t="shared" si="28"/>
        <v/>
      </c>
      <c r="BY51" s="10" t="str">
        <f t="shared" si="29"/>
        <v/>
      </c>
      <c r="BZ51" s="10" t="str">
        <f t="shared" si="30"/>
        <v>Ingrédient : thé noir*. *Issu de l’agriculture biologique.</v>
      </c>
      <c r="CA51" s="10" t="str">
        <f t="shared" si="31"/>
        <v/>
      </c>
      <c r="CB51" s="10" t="str">
        <f t="shared" si="32"/>
        <v/>
      </c>
      <c r="CC51" s="10" t="str">
        <f t="shared" si="33"/>
        <v/>
      </c>
      <c r="CD51" s="10" t="str">
        <f t="shared" si="34"/>
        <v/>
      </c>
      <c r="CE51" s="10" t="str">
        <f t="shared" si="35"/>
        <v/>
      </c>
      <c r="CF51" s="10" t="str">
        <f t="shared" si="36"/>
        <v/>
      </c>
      <c r="CG51" s="10" t="str">
        <f t="shared" si="37"/>
        <v/>
      </c>
      <c r="CH51" s="10" t="str">
        <f t="shared" si="38"/>
        <v>Membre certifié World Fair Trade Organization, Les Jardins de Gaïa s’engagent pour un commerce plus juste et répondent aux exigences du commerce équitable. Pour en savoir plus : www.wfto.com.</v>
      </c>
      <c r="CI51" s="10" t="str">
        <f t="shared" si="39"/>
        <v/>
      </c>
      <c r="CJ51" s="10" t="str">
        <f t="shared" si="40"/>
        <v/>
      </c>
      <c r="CK51" s="10" t="str">
        <f t="shared" si="41"/>
        <v/>
      </c>
      <c r="CL51" s="10" t="str">
        <f t="shared" si="42"/>
        <v>Sailing all the way from its native Vietnam, this black tea follows the water way, foreshadowing a new future. With the help of the wind and its never-ending energy, we can peacefully enjoy a tea from small producers with pleasant woody scents and ma</v>
      </c>
      <c r="CM51" s="10" t="str">
        <f t="shared" si="43"/>
        <v>lty flavours full of sweetness.</v>
      </c>
      <c r="CN51" s="10" t="str">
        <f t="shared" si="44"/>
        <v/>
      </c>
      <c r="CO51" s="10" t="str">
        <f t="shared" si="45"/>
        <v/>
      </c>
      <c r="CP51" s="10" t="str">
        <f t="shared" si="46"/>
        <v>Ingredient: black tea*. *From organic farming.</v>
      </c>
      <c r="CQ51" s="10" t="str">
        <f t="shared" si="47"/>
        <v/>
      </c>
      <c r="CR51" s="10" t="str">
        <f t="shared" si="48"/>
        <v/>
      </c>
      <c r="CS51" s="10" t="str">
        <f t="shared" si="49"/>
        <v/>
      </c>
      <c r="CT51" s="10" t="str">
        <f t="shared" si="50"/>
        <v>/</v>
      </c>
      <c r="CU51" s="10" t="str">
        <f t="shared" si="51"/>
        <v/>
      </c>
      <c r="CV51" s="10" t="str">
        <f t="shared" si="52"/>
        <v/>
      </c>
      <c r="CW51" s="10" t="str">
        <f t="shared" si="53"/>
        <v/>
      </c>
    </row>
    <row r="52" spans="1:147" ht="187.2">
      <c r="A52" s="129" t="s">
        <v>351</v>
      </c>
      <c r="B52" s="9" t="s">
        <v>26</v>
      </c>
      <c r="C52" s="9"/>
      <c r="D52" s="8" t="s">
        <v>347</v>
      </c>
      <c r="E52" s="9" t="s">
        <v>348</v>
      </c>
      <c r="F52" s="9" t="s">
        <v>44</v>
      </c>
      <c r="G52" s="9" t="s">
        <v>45</v>
      </c>
      <c r="H52" s="10" t="s">
        <v>5</v>
      </c>
      <c r="I52" s="10" t="s">
        <v>6</v>
      </c>
      <c r="J52" s="10" t="s">
        <v>29</v>
      </c>
      <c r="K52" s="10" t="s">
        <v>29</v>
      </c>
      <c r="L52" s="10" t="s">
        <v>29</v>
      </c>
      <c r="M52" s="10" t="s">
        <v>29</v>
      </c>
      <c r="N52" s="10" t="s">
        <v>37</v>
      </c>
      <c r="O52" s="9"/>
      <c r="P52" s="9" t="s">
        <v>349</v>
      </c>
      <c r="Q52" s="9" t="s">
        <v>349</v>
      </c>
      <c r="R52" s="9"/>
      <c r="S52" s="9"/>
      <c r="T52" s="9" t="s">
        <v>350</v>
      </c>
      <c r="U52"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52" s="9" t="s">
        <v>29</v>
      </c>
      <c r="W52" s="9" t="s">
        <v>31</v>
      </c>
      <c r="X52" s="10">
        <v>100</v>
      </c>
      <c r="Y52" s="11" t="s">
        <v>42</v>
      </c>
      <c r="Z52" s="19">
        <v>95</v>
      </c>
      <c r="AA52" s="10">
        <v>2</v>
      </c>
      <c r="AB52" s="10">
        <v>50</v>
      </c>
      <c r="AC52" s="12">
        <v>3582810920725</v>
      </c>
      <c r="AD52" s="10" t="s">
        <v>29</v>
      </c>
      <c r="AE52" s="10" t="s">
        <v>934</v>
      </c>
      <c r="AF52" s="10" t="s">
        <v>934</v>
      </c>
      <c r="AG52" s="10" t="s">
        <v>935</v>
      </c>
      <c r="AH52" s="20" t="s">
        <v>38</v>
      </c>
      <c r="AI52" s="54" t="s">
        <v>776</v>
      </c>
      <c r="AJ52" s="54" t="s">
        <v>776</v>
      </c>
      <c r="AK52" s="55">
        <v>45698</v>
      </c>
      <c r="AL52" s="10"/>
      <c r="AM52" s="10" t="s">
        <v>1676</v>
      </c>
      <c r="AN52" s="10"/>
      <c r="AO52" s="10"/>
      <c r="AP52" s="10"/>
      <c r="AQ52" s="51" t="s">
        <v>1517</v>
      </c>
      <c r="AR52" s="51" t="s">
        <v>348</v>
      </c>
      <c r="AS52" s="82" t="s">
        <v>1556</v>
      </c>
      <c r="AT52" s="82" t="s">
        <v>1297</v>
      </c>
      <c r="AU52" s="140" t="s">
        <v>1518</v>
      </c>
      <c r="AV52" s="82" t="s">
        <v>1519</v>
      </c>
      <c r="AW52" s="52"/>
      <c r="AX52" s="51"/>
      <c r="AY52" s="51"/>
      <c r="AZ52" s="51"/>
      <c r="BA52" s="51"/>
      <c r="BB52" s="51"/>
      <c r="BC52" s="51"/>
      <c r="BD52" s="51"/>
      <c r="BE52" s="51"/>
      <c r="BF52" s="92"/>
      <c r="BG52" s="92"/>
      <c r="BH52" s="92"/>
      <c r="BI52" s="92"/>
      <c r="BJ52" s="92"/>
      <c r="BK52" s="92"/>
      <c r="BL52" s="92"/>
      <c r="BN52" s="7" t="str">
        <f>IF(IFERROR(FIND("romatis",TableauJDG[[#This Row],[TYPE DE THÉ FR]]),0)=0,"","aromatisé")</f>
        <v>aromatisé</v>
      </c>
      <c r="BV52" s="10" t="str">
        <f t="shared" si="54"/>
        <v xml:space="preserve">Les notes vanillées et boisées du rooibos se mêlent ici délicieusement aux saveurs onctueuses et lactées du caramel. Une recette d’une grande gourmandise qui s’apprécie à tout moment de la journée. </v>
      </c>
      <c r="BW52" s="10" t="str">
        <f t="shared" si="55"/>
        <v/>
      </c>
      <c r="BX52" s="10" t="str">
        <f t="shared" si="28"/>
        <v/>
      </c>
      <c r="BY52" s="10" t="str">
        <f t="shared" si="29"/>
        <v/>
      </c>
      <c r="BZ52" s="10" t="str">
        <f t="shared" si="30"/>
        <v>Ingrédients : rooibos*, arôme naturel de (caramel* 7%, vanille*), morceaux de caramel* 6% (sucre de canne*, sirop de glucose*, beurre de cacao*, poudre de lait de coco*, protéine de pois*, dextrose*, fleur de sel, arôme naturel de vanille bourbon*, l</v>
      </c>
      <c r="CA52" s="10" t="str">
        <f t="shared" si="31"/>
        <v>écithine de tournesol*), pétales de bleuet blanc*. *Issu de l'agriculture biologique.
Informations nutritionnelles moyennes pour 100 ml : Energie 3 kJ/1 kcal. Contient des quantités négligeables de matières grasses dont acides gras saturés, de glucid</v>
      </c>
      <c r="CB52" s="10" t="str">
        <f t="shared" si="32"/>
        <v>es dont sucres, de protéines et de sel.</v>
      </c>
      <c r="CC52" s="10" t="str">
        <f t="shared" si="33"/>
        <v/>
      </c>
      <c r="CD52" s="10" t="str">
        <f t="shared" si="34"/>
        <v>/</v>
      </c>
      <c r="CE52" s="10" t="str">
        <f t="shared" si="35"/>
        <v/>
      </c>
      <c r="CF52" s="10" t="str">
        <f t="shared" si="36"/>
        <v/>
      </c>
      <c r="CG52" s="10" t="str">
        <f t="shared" si="37"/>
        <v/>
      </c>
      <c r="CH52" s="10" t="str">
        <f t="shared" si="38"/>
        <v>Membre certifié World Fair Trade Organization, Les Jardins de Gaïa s’engagent pour un commerce plus juste et répondent aux exigences du commerce équitable. Pour en savoir plus : www.wfto.com.</v>
      </c>
      <c r="CI52" s="10" t="str">
        <f t="shared" si="39"/>
        <v/>
      </c>
      <c r="CJ52" s="10" t="str">
        <f t="shared" si="40"/>
        <v/>
      </c>
      <c r="CK52" s="10" t="str">
        <f t="shared" si="41"/>
        <v/>
      </c>
      <c r="CL52" s="10" t="str">
        <f t="shared" si="42"/>
        <v xml:space="preserve">The vanilla and woody notes of rooibos blend deliciously with the creamy, milky flavours of caramel. A gourmet recipe that can be enjoyed at any time of the day. </v>
      </c>
      <c r="CM52" s="10" t="str">
        <f t="shared" si="43"/>
        <v/>
      </c>
      <c r="CN52" s="10" t="str">
        <f t="shared" si="44"/>
        <v/>
      </c>
      <c r="CO52" s="10" t="str">
        <f t="shared" si="45"/>
        <v/>
      </c>
      <c r="CP52" s="10" t="str">
        <f t="shared" si="46"/>
        <v>Ingredients: rooibos*, natural (caramel* 7%, vanilla*) flavourings, caramel pieces* 6 % (cane sugar*, glucose syrup*, cocoa butter*, coconut milk powder*, pea protein*, dextrose*, salt (fleur de sel), natural Bourbon vanilla flavouring*, sunflower le</v>
      </c>
      <c r="CQ52" s="10" t="str">
        <f t="shared" si="47"/>
        <v>cithins powder*), white cornflower petals*. *From organic farming.
Nutritional information per 100 ml: energy 3kJ/1kcal. This infusion contains negligible amounts of fat such as saturated fat, and of carbohydrates including sugars, proteins and salt.</v>
      </c>
      <c r="CR52" s="10" t="str">
        <f t="shared" si="48"/>
        <v/>
      </c>
      <c r="CS52" s="10" t="str">
        <f t="shared" si="49"/>
        <v/>
      </c>
      <c r="CT52" s="10" t="str">
        <f t="shared" si="50"/>
        <v/>
      </c>
      <c r="CU52" s="10" t="str">
        <f t="shared" si="51"/>
        <v/>
      </c>
      <c r="CV52" s="10" t="str">
        <f t="shared" si="52"/>
        <v/>
      </c>
      <c r="CW52" s="10" t="str">
        <f t="shared" si="53"/>
        <v/>
      </c>
    </row>
    <row r="53" spans="1:147" ht="115.2">
      <c r="A53" s="130" t="s">
        <v>746</v>
      </c>
      <c r="B53" s="9" t="s">
        <v>26</v>
      </c>
      <c r="C53" s="9"/>
      <c r="D53" s="18" t="s">
        <v>1834</v>
      </c>
      <c r="E53" s="9" t="s">
        <v>353</v>
      </c>
      <c r="F53" s="9" t="s">
        <v>35</v>
      </c>
      <c r="G53" s="9" t="s">
        <v>82</v>
      </c>
      <c r="H53" s="10" t="s">
        <v>5</v>
      </c>
      <c r="I53" s="10" t="s">
        <v>6</v>
      </c>
      <c r="J53" s="10" t="s">
        <v>29</v>
      </c>
      <c r="K53" s="10" t="s">
        <v>29</v>
      </c>
      <c r="L53" s="10" t="s">
        <v>29</v>
      </c>
      <c r="M53" s="10" t="s">
        <v>29</v>
      </c>
      <c r="N53" s="10" t="s">
        <v>37</v>
      </c>
      <c r="O53" s="9"/>
      <c r="P53" s="9" t="s">
        <v>745</v>
      </c>
      <c r="Q53" s="15" t="s">
        <v>1835</v>
      </c>
      <c r="R53" s="9"/>
      <c r="S53" s="9"/>
      <c r="T53" s="15" t="s">
        <v>1876</v>
      </c>
      <c r="U53" s="15"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53" s="9" t="s">
        <v>29</v>
      </c>
      <c r="W53" s="9" t="s">
        <v>31</v>
      </c>
      <c r="X53" s="10">
        <v>100</v>
      </c>
      <c r="Y53" s="11" t="s">
        <v>59</v>
      </c>
      <c r="Z53" s="19">
        <v>95</v>
      </c>
      <c r="AA53" s="10">
        <v>2</v>
      </c>
      <c r="AB53" s="10">
        <v>50</v>
      </c>
      <c r="AC53" s="12">
        <v>3582810474525</v>
      </c>
      <c r="AD53" s="10" t="s">
        <v>29</v>
      </c>
      <c r="AE53" s="10" t="s">
        <v>1217</v>
      </c>
      <c r="AF53" s="35" t="s">
        <v>1871</v>
      </c>
      <c r="AG53" s="35" t="s">
        <v>1872</v>
      </c>
      <c r="AH53" s="13" t="s">
        <v>38</v>
      </c>
      <c r="AI53" s="54" t="s">
        <v>776</v>
      </c>
      <c r="AJ53" s="54" t="s">
        <v>776</v>
      </c>
      <c r="AK53" s="55">
        <v>45685</v>
      </c>
      <c r="AL53" s="10"/>
      <c r="AM53" s="10" t="s">
        <v>1639</v>
      </c>
      <c r="AN53" s="10"/>
      <c r="AO53" s="50" t="s">
        <v>774</v>
      </c>
      <c r="AP53" s="50" t="s">
        <v>1601</v>
      </c>
      <c r="AQ53" s="88" t="s">
        <v>1266</v>
      </c>
      <c r="AR53" s="87" t="s">
        <v>1352</v>
      </c>
      <c r="AS53" s="87" t="s">
        <v>1549</v>
      </c>
      <c r="AT53" s="87" t="e">
        <f>VLOOKUP(A53,TRADS,14,0)</f>
        <v>#REF!</v>
      </c>
      <c r="AU53" s="149" t="s">
        <v>1943</v>
      </c>
      <c r="AV53" s="112" t="s">
        <v>1982</v>
      </c>
      <c r="AW53" s="87"/>
      <c r="AX53" s="87" t="s">
        <v>29</v>
      </c>
      <c r="AY53" s="51" t="s">
        <v>1980</v>
      </c>
      <c r="AZ53" s="51" t="s">
        <v>1981</v>
      </c>
      <c r="BA53" s="51">
        <v>0</v>
      </c>
      <c r="BB53" s="51" t="s">
        <v>1642</v>
      </c>
      <c r="BC53" s="51" t="s">
        <v>1573</v>
      </c>
      <c r="BD53" s="51" t="s">
        <v>1287</v>
      </c>
      <c r="BE53" s="51"/>
      <c r="BF53" s="92"/>
      <c r="BG53" s="92"/>
      <c r="BH53" s="92"/>
      <c r="BI53" s="92"/>
      <c r="BJ53" s="92"/>
      <c r="BK53" s="92"/>
      <c r="BL53" s="92"/>
      <c r="BN53" s="7" t="str">
        <f>IF(IFERROR(FIND("romatis",TableauJDG[[#This Row],[TYPE DE THÉ FR]]),0)=0,"","aromatisé")</f>
        <v>aromatisé</v>
      </c>
      <c r="BO53" s="35" t="s">
        <v>1970</v>
      </c>
      <c r="BV53" s="10" t="str">
        <f t="shared" si="54"/>
        <v>Cette recette inspirée de la romance entre Lady Yang et l’empereur Xuanzong, revisite notre classique « Lady Yang Guifei » avec du thé noir, en mettant en scène un délicieux dialogue du duo litchi-poire. Une infusion aussi légendaire que gourmande !</v>
      </c>
      <c r="BW53" s="10" t="str">
        <f t="shared" si="55"/>
        <v/>
      </c>
      <c r="BX53" s="10" t="str">
        <f t="shared" si="28"/>
        <v/>
      </c>
      <c r="BY53" s="10" t="str">
        <f t="shared" si="29"/>
        <v/>
      </c>
      <c r="BZ53" s="10" t="str">
        <f t="shared" si="30"/>
        <v>Ingrédients : thé noir*, arômes naturels de (poire*, litchi*) 13%, pétales de fleurs (mauve*, camomille*), morceaux de pomme*. *Issu de l'agriculture biologique.</v>
      </c>
      <c r="CA53" s="10" t="str">
        <f t="shared" si="31"/>
        <v/>
      </c>
      <c r="CB53" s="10" t="str">
        <f t="shared" si="32"/>
        <v/>
      </c>
      <c r="CC53" s="10" t="str">
        <f t="shared" si="33"/>
        <v/>
      </c>
      <c r="CD53" s="10" t="str">
        <f t="shared" si="34"/>
        <v>/</v>
      </c>
      <c r="CE53" s="10" t="str">
        <f t="shared" si="35"/>
        <v/>
      </c>
      <c r="CF53" s="10" t="str">
        <f t="shared" si="36"/>
        <v/>
      </c>
      <c r="CG53" s="10" t="str">
        <f t="shared" si="37"/>
        <v/>
      </c>
      <c r="CH53" s="10" t="str">
        <f t="shared" si="38"/>
        <v>Membre certifié World Fair Trade Organization, Les Jardins de Gaïa s’engagent pour un commerce plus juste et répondent aux exigences du commerce équitable. Pour en savoir plus : www.wfto.com.</v>
      </c>
      <c r="CI53" s="10" t="str">
        <f t="shared" si="39"/>
        <v/>
      </c>
      <c r="CJ53" s="10" t="str">
        <f t="shared" si="40"/>
        <v/>
      </c>
      <c r="CK53" s="10" t="str">
        <f t="shared" si="41"/>
        <v/>
      </c>
      <c r="CL53" s="10" t="str">
        <f t="shared" si="42"/>
        <v>This recipe, inspired by the romance between Lady Yang and Emperor Xuanzong, reimagines our classic 'Lady Yang Guifei' with black tea, showcasing a delightful dialogue between lychee and pear. An infusion as legendary as delicious!</v>
      </c>
      <c r="CM53" s="10" t="str">
        <f t="shared" si="43"/>
        <v/>
      </c>
      <c r="CN53" s="10" t="str">
        <f t="shared" si="44"/>
        <v/>
      </c>
      <c r="CO53" s="10" t="str">
        <f t="shared" si="45"/>
        <v/>
      </c>
      <c r="CP53" s="10" t="str">
        <f t="shared" si="46"/>
        <v xml:space="preserve">Ingredients: black tea*, natural (pear*, lychee) flavourings 13%, flowers petals*, apple pieces*. *From organic farming. </v>
      </c>
      <c r="CQ53" s="10" t="str">
        <f t="shared" si="47"/>
        <v/>
      </c>
      <c r="CR53" s="10" t="str">
        <f t="shared" si="48"/>
        <v/>
      </c>
      <c r="CS53" s="10" t="str">
        <f t="shared" si="49"/>
        <v/>
      </c>
      <c r="CT53" s="10" t="str">
        <f t="shared" si="50"/>
        <v>/</v>
      </c>
      <c r="CU53" s="10" t="str">
        <f t="shared" si="51"/>
        <v/>
      </c>
      <c r="CV53" s="10" t="str">
        <f t="shared" si="52"/>
        <v/>
      </c>
      <c r="CW53" s="10" t="str">
        <f t="shared" si="53"/>
        <v/>
      </c>
    </row>
    <row r="54" spans="1:147" ht="115.2">
      <c r="A54" s="129" t="s">
        <v>355</v>
      </c>
      <c r="B54" s="9" t="s">
        <v>26</v>
      </c>
      <c r="C54" s="9"/>
      <c r="D54" s="8" t="s">
        <v>352</v>
      </c>
      <c r="E54" s="9" t="s">
        <v>353</v>
      </c>
      <c r="F54" s="9" t="s">
        <v>57</v>
      </c>
      <c r="G54" s="9" t="s">
        <v>93</v>
      </c>
      <c r="H54" s="10" t="s">
        <v>5</v>
      </c>
      <c r="I54" s="10" t="s">
        <v>6</v>
      </c>
      <c r="J54" s="10" t="s">
        <v>29</v>
      </c>
      <c r="K54" s="10" t="s">
        <v>29</v>
      </c>
      <c r="L54" s="10" t="s">
        <v>29</v>
      </c>
      <c r="M54" s="10" t="s">
        <v>29</v>
      </c>
      <c r="N54" s="10" t="s">
        <v>37</v>
      </c>
      <c r="O54" s="9"/>
      <c r="P54" s="9" t="s">
        <v>354</v>
      </c>
      <c r="Q54" s="26" t="s">
        <v>936</v>
      </c>
      <c r="R54" s="26"/>
      <c r="S54" s="9"/>
      <c r="T54" s="9" t="s">
        <v>937</v>
      </c>
      <c r="U54"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54" s="9" t="s">
        <v>29</v>
      </c>
      <c r="W54" s="9" t="s">
        <v>31</v>
      </c>
      <c r="X54" s="10">
        <v>100</v>
      </c>
      <c r="Y54" s="19" t="s">
        <v>59</v>
      </c>
      <c r="Z54" s="19">
        <v>75</v>
      </c>
      <c r="AA54" s="10">
        <v>2</v>
      </c>
      <c r="AB54" s="10">
        <v>50</v>
      </c>
      <c r="AC54" s="12">
        <v>3582810867525</v>
      </c>
      <c r="AD54" s="10" t="s">
        <v>29</v>
      </c>
      <c r="AE54" s="10" t="s">
        <v>1742</v>
      </c>
      <c r="AF54" s="10" t="s">
        <v>938</v>
      </c>
      <c r="AG54" s="10" t="s">
        <v>939</v>
      </c>
      <c r="AH54" s="20" t="s">
        <v>940</v>
      </c>
      <c r="AI54" s="54" t="s">
        <v>776</v>
      </c>
      <c r="AJ54" s="54" t="s">
        <v>776</v>
      </c>
      <c r="AK54" s="55">
        <v>45665</v>
      </c>
      <c r="AL54" s="10"/>
      <c r="AM54" s="10" t="s">
        <v>1618</v>
      </c>
      <c r="AN54" s="10"/>
      <c r="AO54" s="50" t="s">
        <v>774</v>
      </c>
      <c r="AP54" s="50" t="s">
        <v>1585</v>
      </c>
      <c r="AQ54" s="51" t="s">
        <v>352</v>
      </c>
      <c r="AR54" s="51" t="s">
        <v>1352</v>
      </c>
      <c r="AS54" s="87" t="s">
        <v>1555</v>
      </c>
      <c r="AT54" s="87" t="e">
        <f>VLOOKUP(A54,TRADS,14,0)</f>
        <v>#REF!</v>
      </c>
      <c r="AU54" s="87" t="s">
        <v>1568</v>
      </c>
      <c r="AV54" s="87" t="s">
        <v>1353</v>
      </c>
      <c r="AW54" s="87"/>
      <c r="AX54" s="87" t="s">
        <v>29</v>
      </c>
      <c r="AY54" s="51" t="s">
        <v>1246</v>
      </c>
      <c r="AZ54" s="51" t="s">
        <v>1247</v>
      </c>
      <c r="BA54" s="51">
        <v>0</v>
      </c>
      <c r="BB54" s="51" t="s">
        <v>1642</v>
      </c>
      <c r="BC54" s="51" t="s">
        <v>1573</v>
      </c>
      <c r="BD54" s="51" t="s">
        <v>1287</v>
      </c>
      <c r="BE54" s="51"/>
      <c r="BF54" s="92"/>
      <c r="BG54" s="92"/>
      <c r="BH54" s="92"/>
      <c r="BI54" s="92"/>
      <c r="BJ54" s="92"/>
      <c r="BK54" s="92"/>
      <c r="BL54" s="92"/>
      <c r="BN54" s="7" t="str">
        <f>IF(IFERROR(FIND("romatis",TableauJDG[[#This Row],[TYPE DE THÉ FR]]),0)=0,"","aromatisé")</f>
        <v>aromatisé</v>
      </c>
      <c r="BV54" s="10" t="str">
        <f t="shared" si="54"/>
        <v>À la fois frais et fruité, ce thé vert associé au goût délicat de litchi accompagné de notes de poire, nous transporte dans la romance entre Lady Yang et l’empereur Xuanzong. À la différence de leur relation passionnelle et tragique, cette liqueur vo</v>
      </c>
      <c r="BW54" s="10" t="str">
        <f t="shared" si="55"/>
        <v>us transportera sur un nuage de douceur.</v>
      </c>
      <c r="BX54" s="10" t="str">
        <f t="shared" si="28"/>
        <v/>
      </c>
      <c r="BY54" s="10" t="str">
        <f t="shared" si="29"/>
        <v/>
      </c>
      <c r="BZ54" s="10" t="str">
        <f t="shared" si="30"/>
        <v>Ingrédients : thé vert*, arômes naturels de (poire*, litchi) 11%, pétales de rose*. *Issu de l'agriculture biologique.</v>
      </c>
      <c r="CA54" s="10" t="str">
        <f t="shared" si="31"/>
        <v/>
      </c>
      <c r="CB54" s="10" t="str">
        <f t="shared" si="32"/>
        <v/>
      </c>
      <c r="CC54" s="10" t="str">
        <f t="shared" si="33"/>
        <v/>
      </c>
      <c r="CD54" s="10" t="str">
        <f t="shared" si="34"/>
        <v>/</v>
      </c>
      <c r="CE54" s="10" t="str">
        <f t="shared" si="35"/>
        <v/>
      </c>
      <c r="CF54" s="10" t="str">
        <f t="shared" si="36"/>
        <v/>
      </c>
      <c r="CG54" s="10" t="str">
        <f t="shared" si="37"/>
        <v/>
      </c>
      <c r="CH54" s="10" t="str">
        <f t="shared" si="38"/>
        <v>Membre certifié World Fair Trade Organization, Les Jardins de Gaïa s’engagent pour un commerce plus juste et répondent aux exigences du commerce équitable. Pour en savoir plus : www.wfto.com.</v>
      </c>
      <c r="CI54" s="10" t="str">
        <f t="shared" si="39"/>
        <v/>
      </c>
      <c r="CJ54" s="10" t="str">
        <f t="shared" si="40"/>
        <v/>
      </c>
      <c r="CK54" s="10" t="str">
        <f t="shared" si="41"/>
        <v/>
      </c>
      <c r="CL54" s="10" t="str">
        <f t="shared" si="42"/>
        <v>Fresh and fruity, this green tea, with its delicate lychee flavour and hints of pear, transports us to the romance between Lady Yang and Emperor Xuanzong. Unlike their passionate and tragic relationship, this beverage will transport you on a cloud o</v>
      </c>
      <c r="CM54" s="10" t="str">
        <f t="shared" si="43"/>
        <v>f sweetness.</v>
      </c>
      <c r="CN54" s="10" t="str">
        <f t="shared" si="44"/>
        <v/>
      </c>
      <c r="CO54" s="10" t="str">
        <f t="shared" si="45"/>
        <v/>
      </c>
      <c r="CP54" s="10" t="str">
        <f t="shared" si="46"/>
        <v>Ingredients: green tea*, natural (pear*, lychee) flavourings 11%, rose petals*. *From organic farming.</v>
      </c>
      <c r="CQ54" s="10" t="str">
        <f t="shared" si="47"/>
        <v/>
      </c>
      <c r="CR54" s="10" t="str">
        <f t="shared" si="48"/>
        <v/>
      </c>
      <c r="CS54" s="10" t="str">
        <f t="shared" si="49"/>
        <v/>
      </c>
      <c r="CT54" s="10" t="str">
        <f t="shared" si="50"/>
        <v>/</v>
      </c>
      <c r="CU54" s="10" t="str">
        <f t="shared" si="51"/>
        <v/>
      </c>
      <c r="CV54" s="10" t="str">
        <f t="shared" si="52"/>
        <v/>
      </c>
      <c r="CW54" s="10" t="str">
        <f t="shared" si="53"/>
        <v/>
      </c>
    </row>
    <row r="55" spans="1:147" ht="93.6">
      <c r="A55" s="129" t="s">
        <v>359</v>
      </c>
      <c r="B55" s="9" t="s">
        <v>26</v>
      </c>
      <c r="C55" s="9"/>
      <c r="D55" s="8" t="s">
        <v>356</v>
      </c>
      <c r="E55" s="9" t="s">
        <v>357</v>
      </c>
      <c r="F55" s="9" t="s">
        <v>44</v>
      </c>
      <c r="G55" s="9" t="s">
        <v>45</v>
      </c>
      <c r="H55" s="10" t="s">
        <v>5</v>
      </c>
      <c r="I55" s="10" t="s">
        <v>6</v>
      </c>
      <c r="J55" s="10" t="s">
        <v>29</v>
      </c>
      <c r="K55" s="10" t="s">
        <v>29</v>
      </c>
      <c r="L55" s="10" t="s">
        <v>29</v>
      </c>
      <c r="M55" s="10" t="s">
        <v>29</v>
      </c>
      <c r="N55" s="10" t="s">
        <v>46</v>
      </c>
      <c r="O55" s="9"/>
      <c r="P55" s="9" t="s">
        <v>358</v>
      </c>
      <c r="Q55" s="9" t="s">
        <v>941</v>
      </c>
      <c r="R55" s="9"/>
      <c r="S55" s="9"/>
      <c r="T55" s="9" t="s">
        <v>1696</v>
      </c>
      <c r="U55"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55" s="9" t="s">
        <v>29</v>
      </c>
      <c r="W55" s="9" t="s">
        <v>31</v>
      </c>
      <c r="X55" s="10">
        <v>100</v>
      </c>
      <c r="Y55" s="11" t="s">
        <v>42</v>
      </c>
      <c r="Z55" s="19">
        <v>95</v>
      </c>
      <c r="AA55" s="10">
        <v>2</v>
      </c>
      <c r="AB55" s="10">
        <v>50</v>
      </c>
      <c r="AC55" s="12">
        <v>3582810923023</v>
      </c>
      <c r="AD55" s="10" t="s">
        <v>29</v>
      </c>
      <c r="AE55" s="10" t="s">
        <v>942</v>
      </c>
      <c r="AF55" s="10" t="s">
        <v>942</v>
      </c>
      <c r="AG55" s="10" t="s">
        <v>943</v>
      </c>
      <c r="AH55" s="20" t="s">
        <v>38</v>
      </c>
      <c r="AI55" s="54" t="s">
        <v>776</v>
      </c>
      <c r="AJ55" s="54" t="s">
        <v>776</v>
      </c>
      <c r="AK55" s="55">
        <v>45771</v>
      </c>
      <c r="AL55" s="10"/>
      <c r="AM55" s="10"/>
      <c r="AN55" s="10"/>
      <c r="AO55" s="10"/>
      <c r="AP55" s="10"/>
      <c r="AQ55" s="51" t="s">
        <v>1528</v>
      </c>
      <c r="AR55" s="51" t="s">
        <v>1529</v>
      </c>
      <c r="AS55" s="82" t="s">
        <v>1556</v>
      </c>
      <c r="AT55" s="82" t="s">
        <v>1297</v>
      </c>
      <c r="AU55" s="139" t="s">
        <v>1530</v>
      </c>
      <c r="AV55" s="52" t="s">
        <v>1697</v>
      </c>
      <c r="AW55" s="52"/>
      <c r="AX55" s="51"/>
      <c r="AY55" s="51"/>
      <c r="AZ55" s="51"/>
      <c r="BA55" s="51"/>
      <c r="BB55" s="51"/>
      <c r="BC55" s="51"/>
      <c r="BD55" s="51"/>
      <c r="BE55" s="51"/>
      <c r="BF55" s="92"/>
      <c r="BG55" s="92"/>
      <c r="BH55" s="92"/>
      <c r="BI55" s="92"/>
      <c r="BJ55" s="92"/>
      <c r="BK55" s="92"/>
      <c r="BL55" s="92"/>
      <c r="BN55" s="7" t="str">
        <f>IF(IFERROR(FIND("romatis",TableauJDG[[#This Row],[TYPE DE THÉ FR]]),0)=0,"","aromatisé")</f>
        <v>aromatisé</v>
      </c>
      <c r="BV55" s="10" t="str">
        <f t="shared" si="54"/>
        <v>Laissez-vous emporter par la beauté et la puissance du continent africain avec ce rooibos gorgé de soleil ! Le mariage de l’ananas et de la noix de coco sur le fond vanillé du rooibos est une invitation à un voyage délicieusement fruité, aussi exotiq</v>
      </c>
      <c r="BW55" s="10" t="str">
        <f t="shared" si="55"/>
        <v xml:space="preserve">ue que gourmand… </v>
      </c>
      <c r="BX55" s="10" t="str">
        <f t="shared" si="28"/>
        <v/>
      </c>
      <c r="BY55" s="10" t="str">
        <f t="shared" si="29"/>
        <v/>
      </c>
      <c r="BZ55" s="10" t="str">
        <f t="shared" si="30"/>
        <v>Ingrédients: rooibos*, arômes naturels de (ananas* 5%, noix de coco* 4%, banane*), morceaux de fruits (ananas* 1%, banane*), copeaux de noix de coco* 1%. *Issu de l'agriculture biologique.</v>
      </c>
      <c r="CA55" s="10" t="str">
        <f t="shared" si="31"/>
        <v/>
      </c>
      <c r="CB55" s="10" t="str">
        <f t="shared" si="32"/>
        <v/>
      </c>
      <c r="CC55" s="10" t="str">
        <f t="shared" si="33"/>
        <v/>
      </c>
      <c r="CD55" s="10" t="str">
        <f t="shared" si="34"/>
        <v>/</v>
      </c>
      <c r="CE55" s="10" t="str">
        <f t="shared" si="35"/>
        <v/>
      </c>
      <c r="CF55" s="10" t="str">
        <f t="shared" si="36"/>
        <v/>
      </c>
      <c r="CG55" s="10" t="str">
        <f t="shared" si="37"/>
        <v/>
      </c>
      <c r="CH55" s="10" t="str">
        <f t="shared" si="38"/>
        <v>Membre certifié World Fair Trade Organization, Les Jardins de Gaïa s’engagent pour un commerce plus juste et répondent aux exigences du commerce équitable. Pour en savoir plus : www.wfto.com.</v>
      </c>
      <c r="CI55" s="10" t="str">
        <f t="shared" si="39"/>
        <v/>
      </c>
      <c r="CJ55" s="10" t="str">
        <f t="shared" si="40"/>
        <v/>
      </c>
      <c r="CK55" s="10" t="str">
        <f t="shared" si="41"/>
        <v/>
      </c>
      <c r="CL55" s="10" t="str">
        <f t="shared" si="42"/>
        <v>Let yourself be carried away by the beauty and power of the African continent with this sun-drenched rooibos! The marriage of pineapple and coconut against the vanilla background of rooibos is an invitation to a deliciously fruity journey, as exoti</v>
      </c>
      <c r="CM55" s="10" t="str">
        <f t="shared" si="43"/>
        <v xml:space="preserve">c as it is delicious... </v>
      </c>
      <c r="CN55" s="10" t="str">
        <f t="shared" si="44"/>
        <v/>
      </c>
      <c r="CO55" s="10" t="str">
        <f t="shared" si="45"/>
        <v/>
      </c>
      <c r="CP55" s="10" t="str">
        <f t="shared" si="46"/>
        <v>Ingredients: rooibos*, natural (pineapple* 5% coconut* 4%, banana*) flavourings, fruit pieces (pineapple pieces* 1%, banana pieces*), coconut flakes* 1%. *From organic farming.</v>
      </c>
      <c r="CQ55" s="10" t="str">
        <f t="shared" si="47"/>
        <v/>
      </c>
      <c r="CR55" s="10" t="str">
        <f t="shared" si="48"/>
        <v/>
      </c>
      <c r="CS55" s="10" t="str">
        <f t="shared" si="49"/>
        <v/>
      </c>
      <c r="CT55" s="10" t="str">
        <f t="shared" si="50"/>
        <v/>
      </c>
      <c r="CU55" s="10" t="str">
        <f t="shared" si="51"/>
        <v/>
      </c>
      <c r="CV55" s="10" t="str">
        <f t="shared" si="52"/>
        <v/>
      </c>
      <c r="CW55" s="10" t="str">
        <f t="shared" si="53"/>
        <v/>
      </c>
    </row>
    <row r="56" spans="1:147" ht="100.8">
      <c r="A56" s="129" t="s">
        <v>368</v>
      </c>
      <c r="B56" s="9" t="s">
        <v>777</v>
      </c>
      <c r="C56" s="9" t="s">
        <v>39</v>
      </c>
      <c r="D56" s="8" t="s">
        <v>360</v>
      </c>
      <c r="E56" s="9" t="s">
        <v>361</v>
      </c>
      <c r="F56" s="9" t="s">
        <v>362</v>
      </c>
      <c r="G56" s="10" t="s">
        <v>363</v>
      </c>
      <c r="H56" s="10" t="s">
        <v>5</v>
      </c>
      <c r="I56" s="10" t="s">
        <v>29</v>
      </c>
      <c r="J56" s="10" t="s">
        <v>29</v>
      </c>
      <c r="K56" s="10" t="s">
        <v>29</v>
      </c>
      <c r="L56" s="10" t="s">
        <v>29</v>
      </c>
      <c r="M56" s="10" t="s">
        <v>29</v>
      </c>
      <c r="N56" s="10" t="s">
        <v>37</v>
      </c>
      <c r="O56" s="9"/>
      <c r="P56" s="9" t="s">
        <v>364</v>
      </c>
      <c r="Q56" s="9" t="s">
        <v>944</v>
      </c>
      <c r="R56" s="9"/>
      <c r="S56" s="9"/>
      <c r="T56" s="9" t="s">
        <v>365</v>
      </c>
      <c r="U56"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56" s="9" t="s">
        <v>366</v>
      </c>
      <c r="W56" s="9" t="s">
        <v>29</v>
      </c>
      <c r="X56" s="10">
        <v>100</v>
      </c>
      <c r="Y56" s="11" t="s">
        <v>367</v>
      </c>
      <c r="Z56" s="19">
        <v>95</v>
      </c>
      <c r="AA56" s="77">
        <v>4</v>
      </c>
      <c r="AB56" s="10">
        <v>25</v>
      </c>
      <c r="AC56" s="12">
        <v>3582812440320</v>
      </c>
      <c r="AD56" s="10" t="s">
        <v>29</v>
      </c>
      <c r="AE56" s="27" t="s">
        <v>945</v>
      </c>
      <c r="AF56" s="27" t="s">
        <v>945</v>
      </c>
      <c r="AG56" s="27" t="s">
        <v>946</v>
      </c>
      <c r="AH56" s="20"/>
      <c r="AI56" s="54" t="s">
        <v>776</v>
      </c>
      <c r="AJ56" s="54" t="s">
        <v>776</v>
      </c>
      <c r="AK56" s="55">
        <v>45674</v>
      </c>
      <c r="AL56" s="10"/>
      <c r="AM56" s="10">
        <v>25014</v>
      </c>
      <c r="AN56" s="10"/>
      <c r="AO56" s="10"/>
      <c r="AP56" s="10"/>
      <c r="AQ56" s="51" t="s">
        <v>1458</v>
      </c>
      <c r="AR56" s="51" t="s">
        <v>1459</v>
      </c>
      <c r="AS56" s="51" t="s">
        <v>1553</v>
      </c>
      <c r="AT56" s="51" t="s">
        <v>1303</v>
      </c>
      <c r="AU56" s="63" t="s">
        <v>1460</v>
      </c>
      <c r="AV56" s="52" t="s">
        <v>1461</v>
      </c>
      <c r="AW56" s="52"/>
      <c r="AX56" s="74" t="s">
        <v>1819</v>
      </c>
      <c r="AY56" s="51"/>
      <c r="AZ56" s="51"/>
      <c r="BA56" s="51"/>
      <c r="BB56" s="51"/>
      <c r="BC56" s="51"/>
      <c r="BD56" s="51"/>
      <c r="BE56" s="51"/>
      <c r="BF56" s="92"/>
      <c r="BG56" s="92"/>
      <c r="BH56" s="92"/>
      <c r="BI56" s="92"/>
      <c r="BJ56" s="92"/>
      <c r="BK56" s="92"/>
      <c r="BL56" s="92"/>
      <c r="BN56" s="7" t="str">
        <f>IF(IFERROR(FIND("romatis",TableauJDG[[#This Row],[TYPE DE THÉ FR]]),0)=0,"","aromatisé")</f>
        <v>aromatisé</v>
      </c>
      <c r="BV56" s="10" t="str">
        <f t="shared" si="54"/>
        <v>La décoction de l’aubier du lapacho se consomme idéalement lors des changements de saison pour ses effets antioxydants et en renfort des défenses immunitaires. Dans cette recette, ses saveurs naturellement vanillées et boisées se mêlent avec bonheu</v>
      </c>
      <c r="BW56" s="10" t="str">
        <f t="shared" si="55"/>
        <v>r à de lumineuses notes d’agrumes.</v>
      </c>
      <c r="BX56" s="10" t="str">
        <f t="shared" si="28"/>
        <v/>
      </c>
      <c r="BY56" s="10" t="str">
        <f t="shared" si="29"/>
        <v/>
      </c>
      <c r="BZ56" s="10" t="str">
        <f t="shared" si="30"/>
        <v>Ingrédients : lapacho* (Tabebuia impetiginosa), écorces d'orange* 15%, huiles essentielles de (orange douce*, orange sanguine*, pamplemousse*, citron*) 3%. *Issu de l’agriculture biologique.</v>
      </c>
      <c r="CA56" s="10" t="str">
        <f t="shared" si="31"/>
        <v/>
      </c>
      <c r="CB56" s="10" t="str">
        <f t="shared" si="32"/>
        <v/>
      </c>
      <c r="CC56" s="10" t="str">
        <f t="shared" si="33"/>
        <v/>
      </c>
      <c r="CD56" s="10" t="str">
        <f t="shared" si="34"/>
        <v>Consommation journalière conseillée : 4 tasses de 25 cl.
Il est recommandé d'adopter un mode de vie sain et une alimentation variée et équilibrée pour profiter pleinement des vertus de cette infusion. Informations nutritionnelles moyennes pour 100 m</v>
      </c>
      <c r="CE56" s="10" t="str">
        <f t="shared" si="35"/>
        <v>l : Énergie 3 kJ/1 kcal. Cette infusion contient des quantités négligeables de matières grasses dont acides gras saturés, de glucides dont sucres, de protéines et de sel.</v>
      </c>
      <c r="CF56" s="10" t="str">
        <f t="shared" si="36"/>
        <v/>
      </c>
      <c r="CG56" s="10" t="str">
        <f t="shared" si="37"/>
        <v/>
      </c>
      <c r="CH56" s="10" t="str">
        <f t="shared" si="38"/>
        <v>/</v>
      </c>
      <c r="CI56" s="10" t="str">
        <f t="shared" si="39"/>
        <v/>
      </c>
      <c r="CJ56" s="10" t="str">
        <f t="shared" si="40"/>
        <v/>
      </c>
      <c r="CK56" s="10" t="str">
        <f t="shared" si="41"/>
        <v/>
      </c>
      <c r="CL56" s="10" t="str">
        <f t="shared" si="42"/>
        <v>Lapacho sapwood decoction is ideal during the changing seasons for its antioxidant and immune-boosting properties. In this recipe, its natural vanilla and woody flavours blend happily with bright citrus notes.</v>
      </c>
      <c r="CM56" s="10" t="str">
        <f t="shared" si="43"/>
        <v/>
      </c>
      <c r="CN56" s="10" t="str">
        <f t="shared" si="44"/>
        <v/>
      </c>
      <c r="CO56" s="10" t="str">
        <f t="shared" si="45"/>
        <v/>
      </c>
      <c r="CP56" s="10" t="str">
        <f t="shared" si="46"/>
        <v>Ingredients: lapacho* (Tabebuia impetiginosa), orange peels* 15%, essential oils (sweet orange*, blood orange*, grapefruit*, lemon*) 3%. *From organic farming.</v>
      </c>
      <c r="CQ56" s="10" t="str">
        <f t="shared" si="47"/>
        <v/>
      </c>
      <c r="CR56" s="10" t="str">
        <f t="shared" si="48"/>
        <v/>
      </c>
      <c r="CS56" s="10" t="str">
        <f t="shared" si="49"/>
        <v/>
      </c>
      <c r="CT56" s="10" t="str">
        <f t="shared" si="50"/>
        <v>Recommended daily consumption: 4 cups of 25 cl. A healthy lifestyle and a varied, balanced diet are recommended to fully benefit from the properties of this infusion. Average nutritional information per 100 ml: Energy 3 kJ/1 kcal. This herbal tea con</v>
      </c>
      <c r="CU56" s="10" t="str">
        <f t="shared" si="51"/>
        <v>tains negligible amounts of fats (including saturated fats), carbohydrates (including sugars), proteins and salt.</v>
      </c>
      <c r="CV56" s="10" t="str">
        <f t="shared" si="52"/>
        <v/>
      </c>
      <c r="CW56" s="10" t="str">
        <f t="shared" si="53"/>
        <v/>
      </c>
    </row>
    <row r="57" spans="1:147" ht="100.8">
      <c r="A57" s="130" t="s">
        <v>374</v>
      </c>
      <c r="B57" s="9" t="s">
        <v>777</v>
      </c>
      <c r="C57" s="9" t="s">
        <v>39</v>
      </c>
      <c r="D57" s="8" t="s">
        <v>369</v>
      </c>
      <c r="E57" s="9" t="s">
        <v>361</v>
      </c>
      <c r="F57" s="9" t="s">
        <v>112</v>
      </c>
      <c r="G57" s="10" t="s">
        <v>363</v>
      </c>
      <c r="H57" s="10" t="s">
        <v>5</v>
      </c>
      <c r="I57" s="10" t="s">
        <v>29</v>
      </c>
      <c r="J57" s="10" t="s">
        <v>29</v>
      </c>
      <c r="K57" s="10" t="s">
        <v>29</v>
      </c>
      <c r="L57" s="10" t="s">
        <v>29</v>
      </c>
      <c r="M57" s="10" t="s">
        <v>29</v>
      </c>
      <c r="N57" s="10" t="s">
        <v>46</v>
      </c>
      <c r="O57" s="9"/>
      <c r="P57" s="17" t="s">
        <v>370</v>
      </c>
      <c r="Q57" s="99" t="s">
        <v>1648</v>
      </c>
      <c r="R57" s="26"/>
      <c r="S57" s="17"/>
      <c r="T57" s="9" t="s">
        <v>371</v>
      </c>
      <c r="U57"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57" s="9" t="s">
        <v>366</v>
      </c>
      <c r="W57" s="9" t="s">
        <v>29</v>
      </c>
      <c r="X57" s="10">
        <v>100</v>
      </c>
      <c r="Y57" s="11" t="s">
        <v>115</v>
      </c>
      <c r="Z57" s="19">
        <v>95</v>
      </c>
      <c r="AA57" s="78">
        <v>4</v>
      </c>
      <c r="AB57" s="10">
        <v>25</v>
      </c>
      <c r="AC57" s="12">
        <v>3582812410026</v>
      </c>
      <c r="AD57" s="10" t="s">
        <v>29</v>
      </c>
      <c r="AE57" s="20" t="s">
        <v>1681</v>
      </c>
      <c r="AF57" s="20" t="s">
        <v>1681</v>
      </c>
      <c r="AG57" s="20" t="s">
        <v>1680</v>
      </c>
      <c r="AH57" s="20" t="s">
        <v>948</v>
      </c>
      <c r="AI57" s="54" t="s">
        <v>776</v>
      </c>
      <c r="AJ57" s="54" t="s">
        <v>776</v>
      </c>
      <c r="AK57" s="55">
        <v>45601</v>
      </c>
      <c r="AL57" s="10"/>
      <c r="AM57" s="10">
        <v>24327</v>
      </c>
      <c r="AN57" s="10"/>
      <c r="AO57" s="10"/>
      <c r="AP57" s="10"/>
      <c r="AQ57" s="51" t="s">
        <v>372</v>
      </c>
      <c r="AR57" s="51" t="s">
        <v>373</v>
      </c>
      <c r="AS57" s="16"/>
      <c r="AT57" s="87" t="e">
        <f>VLOOKUP(A57,TRADS,14,0)</f>
        <v>#REF!</v>
      </c>
      <c r="AU57" s="63" t="s">
        <v>1647</v>
      </c>
      <c r="AV57" s="16" t="s">
        <v>947</v>
      </c>
      <c r="AW57" s="16"/>
      <c r="AX57" s="74" t="s">
        <v>1819</v>
      </c>
      <c r="AY57" s="51"/>
      <c r="AZ57" s="51"/>
      <c r="BA57" s="51"/>
      <c r="BB57" s="51"/>
      <c r="BC57" s="51"/>
      <c r="BD57" s="51"/>
      <c r="BE57" s="51"/>
      <c r="BF57" s="92"/>
      <c r="BG57" s="92"/>
      <c r="BH57" s="92"/>
      <c r="BI57" s="92"/>
      <c r="BJ57" s="92"/>
      <c r="BK57" s="92"/>
      <c r="BL57" s="92"/>
      <c r="BN57" s="7" t="str">
        <f>IF(IFERROR(FIND("romatis",TableauJDG[[#This Row],[TYPE DE THÉ FR]]),0)=0,"","aromatisé")</f>
        <v/>
      </c>
      <c r="BO57" s="10" t="s">
        <v>1649</v>
      </c>
      <c r="BV57" s="10" t="str">
        <f t="shared" si="54"/>
        <v>L’aubier du lapacho est au centre de la pharmacopée des Kallawayas, célèbre peuple de guérisseurs amérindiens. Sa décoction aux saveurs vanillées et légèrement boisées est reconnue pour renforcer le système immunitaire, améliorer la circulation sangu</v>
      </c>
      <c r="BW57" s="10" t="str">
        <f t="shared" si="55"/>
        <v>ine et pour ses effets drainants et antioxydants.</v>
      </c>
      <c r="BX57" s="10" t="str">
        <f t="shared" si="28"/>
        <v/>
      </c>
      <c r="BY57" s="10" t="str">
        <f t="shared" si="29"/>
        <v/>
      </c>
      <c r="BZ57" s="10" t="str">
        <f t="shared" si="30"/>
        <v>Ingrédient : lapacho* (Tabebuia impetiginosa). *Issu de l'agriculture biologique.</v>
      </c>
      <c r="CA57" s="10" t="str">
        <f t="shared" si="31"/>
        <v/>
      </c>
      <c r="CB57" s="10" t="str">
        <f t="shared" si="32"/>
        <v/>
      </c>
      <c r="CC57" s="10" t="str">
        <f t="shared" si="33"/>
        <v/>
      </c>
      <c r="CD57" s="10" t="str">
        <f t="shared" si="34"/>
        <v>Consommation journalière conseillée : 4 tasses de 25 cl.
Il est recommandé d'adopter un mode de vie sain et une alimentation variée et équilibrée pour profiter pleinement des vertus de cette infusion. Informations nutritionnelles moyennes pour 100 m</v>
      </c>
      <c r="CE57" s="10" t="str">
        <f t="shared" si="35"/>
        <v>l : Énergie 3 kJ/1 kcal. Cette infusion contient des quantités négligeables de matières grasses dont acides gras saturés, de glucides dont sucres, de protéines et de sel.</v>
      </c>
      <c r="CF57" s="10" t="str">
        <f t="shared" si="36"/>
        <v/>
      </c>
      <c r="CG57" s="10" t="str">
        <f t="shared" si="37"/>
        <v/>
      </c>
      <c r="CH57" s="10" t="str">
        <f t="shared" si="38"/>
        <v>/</v>
      </c>
      <c r="CI57" s="10" t="str">
        <f t="shared" si="39"/>
        <v/>
      </c>
      <c r="CJ57" s="10" t="str">
        <f t="shared" si="40"/>
        <v/>
      </c>
      <c r="CK57" s="10" t="str">
        <f t="shared" si="41"/>
        <v/>
      </c>
      <c r="CL57" s="10" t="str">
        <f t="shared" si="42"/>
        <v>Lapacho sapwood is central to the pharmacopoeia of the Kallawayas, the famous Amerindian healers. Its lightly woody, vanilla-flavored decoction is renowned for boosting the immune system, improving blood circulation and for its draining and antioxida</v>
      </c>
      <c r="CM57" s="10" t="str">
        <f t="shared" si="43"/>
        <v>nt effects.</v>
      </c>
      <c r="CN57" s="10" t="str">
        <f t="shared" si="44"/>
        <v/>
      </c>
      <c r="CO57" s="10" t="str">
        <f t="shared" si="45"/>
        <v/>
      </c>
      <c r="CP57" s="10" t="str">
        <f t="shared" si="46"/>
        <v>Ingredient: lapacho* (Tabebuia impetiginosa). *From organic farming.</v>
      </c>
      <c r="CQ57" s="10" t="str">
        <f t="shared" si="47"/>
        <v/>
      </c>
      <c r="CR57" s="10" t="str">
        <f t="shared" si="48"/>
        <v/>
      </c>
      <c r="CS57" s="10" t="str">
        <f t="shared" si="49"/>
        <v/>
      </c>
      <c r="CT57" s="10" t="str">
        <f t="shared" si="50"/>
        <v>Recommended daily consumption: 4 cups of 25 cl. A healthy lifestyle and a varied, balanced diet are recommended to fully benefit from the properties of this infusion. Average nutritional information per 100 ml: Energy 3 kJ/1 kcal. This herbal tea con</v>
      </c>
      <c r="CU57" s="10" t="str">
        <f t="shared" si="51"/>
        <v>tains negligible amounts of fats (including saturated fats), carbohydrates (including sugars), proteins and salt.</v>
      </c>
      <c r="CV57" s="10" t="str">
        <f t="shared" si="52"/>
        <v/>
      </c>
      <c r="CW57" s="10" t="str">
        <f t="shared" si="53"/>
        <v/>
      </c>
    </row>
    <row r="58" spans="1:147" ht="129.6">
      <c r="A58" s="130" t="s">
        <v>379</v>
      </c>
      <c r="B58" s="15" t="s">
        <v>777</v>
      </c>
      <c r="C58" s="9"/>
      <c r="D58" s="8" t="s">
        <v>375</v>
      </c>
      <c r="E58" s="9" t="s">
        <v>376</v>
      </c>
      <c r="F58" s="9" t="s">
        <v>103</v>
      </c>
      <c r="G58" s="20"/>
      <c r="H58" s="10" t="s">
        <v>5</v>
      </c>
      <c r="I58" s="10" t="s">
        <v>29</v>
      </c>
      <c r="J58" s="10" t="s">
        <v>29</v>
      </c>
      <c r="K58" s="10" t="s">
        <v>29</v>
      </c>
      <c r="L58" s="10" t="s">
        <v>29</v>
      </c>
      <c r="M58" s="10" t="s">
        <v>29</v>
      </c>
      <c r="N58" s="10" t="s">
        <v>37</v>
      </c>
      <c r="O58" s="9"/>
      <c r="P58" s="9" t="s">
        <v>377</v>
      </c>
      <c r="Q58" s="9" t="s">
        <v>962</v>
      </c>
      <c r="R58" s="9"/>
      <c r="S58" s="9"/>
      <c r="T58" s="9" t="s">
        <v>378</v>
      </c>
      <c r="U58"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58" s="9" t="s">
        <v>41</v>
      </c>
      <c r="W58" s="9" t="s">
        <v>29</v>
      </c>
      <c r="X58" s="10">
        <v>100</v>
      </c>
      <c r="Y58" s="28" t="s">
        <v>42</v>
      </c>
      <c r="Z58" s="19">
        <v>95</v>
      </c>
      <c r="AA58" s="10">
        <v>2</v>
      </c>
      <c r="AB58" s="10">
        <v>50</v>
      </c>
      <c r="AC58" s="12">
        <v>3582810112229</v>
      </c>
      <c r="AD58" s="10" t="s">
        <v>29</v>
      </c>
      <c r="AE58" s="10" t="s">
        <v>963</v>
      </c>
      <c r="AF58" s="10" t="s">
        <v>1828</v>
      </c>
      <c r="AG58" s="10" t="s">
        <v>1829</v>
      </c>
      <c r="AH58" s="20" t="s">
        <v>38</v>
      </c>
      <c r="AI58" s="54" t="s">
        <v>776</v>
      </c>
      <c r="AJ58" s="54" t="s">
        <v>776</v>
      </c>
      <c r="AK58" s="55">
        <v>45693</v>
      </c>
      <c r="AL58" s="10"/>
      <c r="AM58" s="10" t="s">
        <v>1659</v>
      </c>
      <c r="AN58" s="10"/>
      <c r="AO58" s="50" t="s">
        <v>774</v>
      </c>
      <c r="AP58" s="50" t="s">
        <v>1588</v>
      </c>
      <c r="AQ58" s="51" t="s">
        <v>1273</v>
      </c>
      <c r="AR58" s="51" t="s">
        <v>1406</v>
      </c>
      <c r="AS58" s="87" t="s">
        <v>1554</v>
      </c>
      <c r="AT58" s="87" t="e">
        <f>VLOOKUP(A58,TRADS,14,0)</f>
        <v>#REF!</v>
      </c>
      <c r="AU58" s="87" t="s">
        <v>1748</v>
      </c>
      <c r="AV58" s="87" t="s">
        <v>1747</v>
      </c>
      <c r="AW58" s="87"/>
      <c r="AX58" s="116" t="s">
        <v>1817</v>
      </c>
      <c r="AY58" s="51" t="s">
        <v>1274</v>
      </c>
      <c r="AZ58" s="51" t="s">
        <v>1275</v>
      </c>
      <c r="BA58" s="51">
        <v>0</v>
      </c>
      <c r="BB58" s="51" t="s">
        <v>1641</v>
      </c>
      <c r="BC58" s="51" t="s">
        <v>1573</v>
      </c>
      <c r="BD58" s="51" t="s">
        <v>1287</v>
      </c>
      <c r="BE58" s="51"/>
      <c r="BF58" s="92"/>
      <c r="BG58" s="92"/>
      <c r="BH58" s="92"/>
      <c r="BI58" s="92"/>
      <c r="BJ58" s="92"/>
      <c r="BK58" s="92"/>
      <c r="BL58" s="92"/>
      <c r="BN58" s="7" t="str">
        <f>IF(IFERROR(FIND("romatis",TableauJDG[[#This Row],[TYPE DE THÉ FR]]),0)=0,"","aromatisé")</f>
        <v>aromatisé</v>
      </c>
      <c r="BO58" s="10" t="s">
        <v>1827</v>
      </c>
      <c r="BV58" s="10" t="str">
        <f t="shared" si="54"/>
        <v>Le mariage des fruits rouges et des fleurs d’hibiscus, aux notes légèrement acidulées et la douceur fruitée et sucrée du rooibos, de la pomme et de la réglisse font tout le charme de cette infusion... Une recette gourmande aux vertus drainantes, dest</v>
      </c>
      <c r="BW58" s="10" t="str">
        <f t="shared" si="55"/>
        <v>inée à faire rougir de plaisir…</v>
      </c>
      <c r="BX58" s="10" t="str">
        <f t="shared" si="28"/>
        <v/>
      </c>
      <c r="BY58" s="10" t="str">
        <f t="shared" si="29"/>
        <v/>
      </c>
      <c r="BZ58" s="10" t="str">
        <f t="shared" si="30"/>
        <v>Ingrédients : rooibos* 27%, morceaux de pomme*, hibiscus* 18%, arômes naturels de (myrtille* 7%, fraise* 3%, framboise*, mûre*, cassis*), aronia*, écorces d’églantines*, réglisse*, morceaux de fraise* 2%, baies de sureau*, fleurs de sureau*. *Issu d</v>
      </c>
      <c r="CA58" s="10" t="str">
        <f t="shared" si="31"/>
        <v>e l’agriculture biologique. Contient de la réglisse, les personnes souffrant d'hypertension doivent éviter toute consommation excessive.</v>
      </c>
      <c r="CB58" s="10" t="str">
        <f t="shared" si="32"/>
        <v/>
      </c>
      <c r="CC58" s="10" t="str">
        <f t="shared" si="33"/>
        <v/>
      </c>
      <c r="CD58" s="10" t="str">
        <f t="shared" si="34"/>
        <v>Consommation journalière conseillée : 3 tasses de 25 cl.
Il est recommandé d'adopter un mode de vie sain et une alimentation variée et équilibrée pour profiter pleinement des vertus de cette infusion. Informations nutritionnelles moyennes pour 100 m</v>
      </c>
      <c r="CE58" s="10" t="str">
        <f t="shared" si="35"/>
        <v>l : Énergie 3 kJ/1 kcal. Cette infusion contient des quantités négligeables de matières grasses dont acides gras saturés, de glucides dont sucres, de protéines et de sel.</v>
      </c>
      <c r="CF58" s="10" t="str">
        <f t="shared" si="36"/>
        <v/>
      </c>
      <c r="CG58" s="10" t="str">
        <f t="shared" si="37"/>
        <v/>
      </c>
      <c r="CH58" s="10" t="str">
        <f t="shared" si="38"/>
        <v>/</v>
      </c>
      <c r="CI58" s="10" t="str">
        <f t="shared" si="39"/>
        <v/>
      </c>
      <c r="CJ58" s="10" t="str">
        <f t="shared" si="40"/>
        <v/>
      </c>
      <c r="CK58" s="10" t="str">
        <f t="shared" si="41"/>
        <v/>
      </c>
      <c r="CL58" s="10" t="str">
        <f t="shared" si="42"/>
        <v>The combination of red berries and hibiscus flowers, with their slightly acid notes, and the sweet, fruity sweetness of rooibos, apple and liquorice, give this infusion its charm... A gourmet recipe with cleansing properties, meant to make you blus</v>
      </c>
      <c r="CM58" s="10" t="str">
        <f t="shared" si="43"/>
        <v>h with pleasure...</v>
      </c>
      <c r="CN58" s="10" t="str">
        <f t="shared" si="44"/>
        <v/>
      </c>
      <c r="CO58" s="10" t="str">
        <f t="shared" si="45"/>
        <v/>
      </c>
      <c r="CP58" s="10" t="str">
        <f t="shared" si="46"/>
        <v>Ingredients: rooibos* 27%, apple pieces*, hibiscus* 18%, natural (blueberry* 7%, strawberry* 3%, raspberry*, blackberry*, blackcurrant*) flavourings, aronia*, rosehip peels*, liquorice*, strawberry pieces* 2%, elderberries*, elderflowers*. *From orga</v>
      </c>
      <c r="CQ58" s="10" t="str">
        <f t="shared" si="47"/>
        <v>nic farming. Contains liquorice: people suffering from hypertension should avoid excessive consumption.</v>
      </c>
      <c r="CR58" s="10" t="str">
        <f t="shared" si="48"/>
        <v/>
      </c>
      <c r="CS58" s="10" t="str">
        <f t="shared" si="49"/>
        <v/>
      </c>
      <c r="CT58" s="10" t="str">
        <f t="shared" si="50"/>
        <v>Recommended daily consumption: 3 cups of 25 cl. A healthy lifestyle and a varied, balanced diet are recommended to fully benefit from the properties of this infusion. Average nutritional information per 100 ml: Energy 3 kJ/1 kcal. This herbal tea con</v>
      </c>
      <c r="CU58" s="10" t="str">
        <f t="shared" si="51"/>
        <v>tains negligible amounts of fats (including saturated fats), carbohydrates (including sugars), proteins and salt.</v>
      </c>
      <c r="CV58" s="10" t="str">
        <f t="shared" si="52"/>
        <v/>
      </c>
      <c r="CW58" s="10" t="str">
        <f t="shared" si="53"/>
        <v/>
      </c>
    </row>
    <row r="59" spans="1:147" ht="86.4">
      <c r="A59" s="129" t="s">
        <v>1958</v>
      </c>
      <c r="B59" s="9" t="s">
        <v>26</v>
      </c>
      <c r="C59" s="9"/>
      <c r="D59" s="37" t="s">
        <v>1957</v>
      </c>
      <c r="E59" s="9" t="s">
        <v>1956</v>
      </c>
      <c r="F59" s="9" t="s">
        <v>86</v>
      </c>
      <c r="G59" s="9"/>
      <c r="H59" s="10" t="s">
        <v>5</v>
      </c>
      <c r="I59" s="23" t="s">
        <v>29</v>
      </c>
      <c r="J59" s="23" t="s">
        <v>29</v>
      </c>
      <c r="K59" s="23" t="s">
        <v>29</v>
      </c>
      <c r="L59" s="23" t="s">
        <v>29</v>
      </c>
      <c r="M59" s="23" t="s">
        <v>29</v>
      </c>
      <c r="N59" s="10" t="s">
        <v>37</v>
      </c>
      <c r="O59" s="9"/>
      <c r="P59" s="9"/>
      <c r="Q59" s="60" t="s">
        <v>1954</v>
      </c>
      <c r="R59" s="60"/>
      <c r="S59" s="9"/>
      <c r="T59" s="9" t="s">
        <v>1955</v>
      </c>
      <c r="U59"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59" s="133" t="s">
        <v>29</v>
      </c>
      <c r="W59" s="25" t="s">
        <v>29</v>
      </c>
      <c r="X59" s="10">
        <v>60</v>
      </c>
      <c r="Y59" s="11" t="s">
        <v>74</v>
      </c>
      <c r="Z59" s="19" t="s">
        <v>753</v>
      </c>
      <c r="AA59" s="10">
        <v>2</v>
      </c>
      <c r="AB59" s="12">
        <v>30</v>
      </c>
      <c r="AC59" s="12">
        <v>3582811003168</v>
      </c>
      <c r="AD59" s="10" t="s">
        <v>29</v>
      </c>
      <c r="AE59" s="23" t="s">
        <v>29</v>
      </c>
      <c r="AF59" s="10" t="s">
        <v>1959</v>
      </c>
      <c r="AG59" s="10" t="s">
        <v>1960</v>
      </c>
      <c r="AH59" s="20" t="s">
        <v>38</v>
      </c>
      <c r="AI59" s="54"/>
      <c r="AJ59" s="54"/>
      <c r="AK59" s="55"/>
      <c r="AL59" s="10"/>
      <c r="AM59" s="147"/>
      <c r="AN59" s="148"/>
      <c r="AO59" s="50"/>
      <c r="AP59" s="50"/>
      <c r="AQ59" s="64"/>
      <c r="AR59" s="16"/>
      <c r="AS59" s="16"/>
      <c r="AT59" s="87"/>
      <c r="AU59" s="16"/>
      <c r="AV59" s="52"/>
      <c r="AW59" s="52"/>
      <c r="AX59" s="68"/>
      <c r="AY59" s="51"/>
      <c r="AZ59" s="51"/>
      <c r="BA59" s="51"/>
      <c r="BB59" s="51"/>
      <c r="BC59" s="51"/>
      <c r="BD59" s="51"/>
      <c r="BE59" s="51"/>
      <c r="BF59" s="92"/>
      <c r="BG59" s="92"/>
      <c r="BH59" s="92"/>
      <c r="BI59" s="92"/>
      <c r="BJ59" s="92"/>
      <c r="BK59" s="92"/>
      <c r="BL59" s="92"/>
      <c r="BN59" s="7" t="str">
        <f>IF(IFERROR(FIND("romatis",$F59),0)=0,"","aromatisé")</f>
        <v/>
      </c>
      <c r="BV59" s="10" t="str">
        <f t="shared" si="54"/>
        <v>C’est au cœur du Mont Saint-Odile que cette infusion de plantes vive et colorée puise son inspiration. Les saveurs douces et réconfortantes du tilleul, arbre symbolique que la Sainte chérissait, s’équilibrent délicieusement avec les notes acidulées d</v>
      </c>
      <c r="BW59" s="10" t="str">
        <f t="shared" si="55"/>
        <v>e la myrtille et de la framboise qui rappellent l’environnement forestier de ce lieu unique en Alsace.</v>
      </c>
      <c r="BX59" s="10" t="str">
        <f t="shared" si="28"/>
        <v/>
      </c>
      <c r="BY59" s="10" t="str">
        <f t="shared" si="29"/>
        <v/>
      </c>
      <c r="BZ59" s="10" t="str">
        <f t="shared" si="30"/>
        <v>Ingrédients : tilleul* 28%, morceaux de fruits (pomme*, carotte*, framboise* 1%), feuilles de framboisier*, arômes naturels de (myrtille* 8%, framboise* 3%), chanvre*, écorce d'églantine*, baies de groseille*, fleurs de mauve*. *Issu de l’agricultur</v>
      </c>
      <c r="CA59" s="10" t="str">
        <f t="shared" si="31"/>
        <v>e biologique.</v>
      </c>
      <c r="CB59" s="10" t="str">
        <f t="shared" si="32"/>
        <v/>
      </c>
      <c r="CC59" s="10" t="str">
        <f t="shared" si="33"/>
        <v/>
      </c>
      <c r="CD59" s="10" t="str">
        <f t="shared" si="34"/>
        <v>/</v>
      </c>
      <c r="CE59" s="10" t="str">
        <f t="shared" si="35"/>
        <v/>
      </c>
      <c r="CF59" s="10" t="str">
        <f t="shared" si="36"/>
        <v/>
      </c>
      <c r="CG59" s="10" t="str">
        <f t="shared" si="37"/>
        <v/>
      </c>
      <c r="CH59" s="10" t="str">
        <f t="shared" si="38"/>
        <v>/</v>
      </c>
      <c r="CI59" s="10" t="str">
        <f t="shared" si="39"/>
        <v/>
      </c>
      <c r="CJ59" s="10" t="str">
        <f t="shared" si="40"/>
        <v/>
      </c>
      <c r="CK59" s="10" t="str">
        <f t="shared" si="41"/>
        <v/>
      </c>
      <c r="CL59" s="10" t="str">
        <f t="shared" si="42"/>
        <v/>
      </c>
      <c r="CM59" s="10" t="str">
        <f t="shared" si="43"/>
        <v/>
      </c>
      <c r="CN59" s="10" t="str">
        <f t="shared" si="44"/>
        <v/>
      </c>
      <c r="CO59" s="10" t="str">
        <f t="shared" si="45"/>
        <v/>
      </c>
      <c r="CP59" s="10" t="str">
        <f t="shared" si="46"/>
        <v/>
      </c>
      <c r="CQ59" s="10" t="str">
        <f t="shared" si="47"/>
        <v/>
      </c>
      <c r="CR59" s="10" t="str">
        <f t="shared" si="48"/>
        <v/>
      </c>
      <c r="CS59" s="10" t="str">
        <f t="shared" si="49"/>
        <v/>
      </c>
      <c r="CT59" s="10" t="str">
        <f t="shared" si="50"/>
        <v/>
      </c>
      <c r="CU59" s="10" t="str">
        <f t="shared" si="51"/>
        <v/>
      </c>
      <c r="CV59" s="10" t="str">
        <f t="shared" si="52"/>
        <v/>
      </c>
      <c r="CW59" s="10" t="str">
        <f t="shared" si="53"/>
        <v/>
      </c>
    </row>
    <row r="60" spans="1:147" ht="109.2">
      <c r="A60" s="129" t="s">
        <v>384</v>
      </c>
      <c r="B60" s="9" t="s">
        <v>787</v>
      </c>
      <c r="C60" s="9" t="s">
        <v>788</v>
      </c>
      <c r="D60" s="8" t="s">
        <v>380</v>
      </c>
      <c r="E60" s="9" t="s">
        <v>381</v>
      </c>
      <c r="F60" s="9" t="s">
        <v>57</v>
      </c>
      <c r="G60" s="10" t="s">
        <v>61</v>
      </c>
      <c r="H60" s="10" t="s">
        <v>5</v>
      </c>
      <c r="I60" s="10" t="s">
        <v>6</v>
      </c>
      <c r="J60" s="10" t="s">
        <v>29</v>
      </c>
      <c r="K60" s="10" t="s">
        <v>8</v>
      </c>
      <c r="L60" s="10" t="s">
        <v>29</v>
      </c>
      <c r="M60" s="10" t="s">
        <v>29</v>
      </c>
      <c r="N60" s="10" t="s">
        <v>37</v>
      </c>
      <c r="O60" s="9"/>
      <c r="P60" s="9" t="s">
        <v>382</v>
      </c>
      <c r="Q60" s="60" t="s">
        <v>964</v>
      </c>
      <c r="R60" s="60"/>
      <c r="S60" s="9" t="s">
        <v>965</v>
      </c>
      <c r="T60" s="9" t="s">
        <v>383</v>
      </c>
      <c r="U60"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60" s="8" t="s">
        <v>29</v>
      </c>
      <c r="W60" s="9" t="s">
        <v>31</v>
      </c>
      <c r="X60" s="10">
        <v>100</v>
      </c>
      <c r="Y60" s="11" t="s">
        <v>59</v>
      </c>
      <c r="Z60" s="19">
        <v>80</v>
      </c>
      <c r="AA60" s="10">
        <v>2</v>
      </c>
      <c r="AB60" s="12">
        <v>50</v>
      </c>
      <c r="AC60" s="12">
        <v>3582810361825</v>
      </c>
      <c r="AD60" s="10" t="s">
        <v>29</v>
      </c>
      <c r="AE60" s="10" t="s">
        <v>966</v>
      </c>
      <c r="AF60" s="10" t="s">
        <v>966</v>
      </c>
      <c r="AG60" s="10" t="s">
        <v>967</v>
      </c>
      <c r="AH60" s="20" t="s">
        <v>38</v>
      </c>
      <c r="AI60" s="54" t="s">
        <v>776</v>
      </c>
      <c r="AJ60" s="54" t="s">
        <v>776</v>
      </c>
      <c r="AK60" s="55">
        <v>45698</v>
      </c>
      <c r="AL60" s="10"/>
      <c r="AM60" s="10" t="s">
        <v>1673</v>
      </c>
      <c r="AN60" s="10"/>
      <c r="AO60" s="10"/>
      <c r="AP60" s="10"/>
      <c r="AQ60" s="51" t="s">
        <v>1334</v>
      </c>
      <c r="AR60" s="51" t="s">
        <v>1335</v>
      </c>
      <c r="AS60" s="82" t="s">
        <v>1555</v>
      </c>
      <c r="AT60" s="9" t="s">
        <v>61</v>
      </c>
      <c r="AU60" s="140" t="s">
        <v>1336</v>
      </c>
      <c r="AV60" s="82" t="s">
        <v>1337</v>
      </c>
      <c r="AW60" s="52"/>
      <c r="AX60" s="51"/>
      <c r="AY60" s="51"/>
      <c r="AZ60" s="51"/>
      <c r="BA60" s="51"/>
      <c r="BB60" s="51"/>
      <c r="BC60" s="51"/>
      <c r="BD60" s="51"/>
      <c r="BE60" s="51"/>
      <c r="BF60" s="92"/>
      <c r="BG60" s="92"/>
      <c r="BH60" s="92"/>
      <c r="BI60" s="92"/>
      <c r="BJ60" s="92"/>
      <c r="BK60" s="92"/>
      <c r="BL60" s="92"/>
      <c r="BN60" s="7" t="str">
        <f>IF(IFERROR(FIND("romatis",TableauJDG[[#This Row],[TYPE DE THÉ FR]]),0)=0,"","aromatisé")</f>
        <v>aromatisé</v>
      </c>
      <c r="BV60" s="10" t="str">
        <f t="shared" si="54"/>
        <v>Les accords harmonieux de cette recette à base de thé vert issu de théiers anciens du Vietnam donnent une irrésistible envie de suivre les facéties de Kokopelli, le charmant semeur joueur de flûte amérindien. L’acidulé de la bergamote est délicieusem</v>
      </c>
      <c r="BW60" s="10" t="str">
        <f t="shared" si="55"/>
        <v>ent arrondie par la vanille. Une fête pour les sens !</v>
      </c>
      <c r="BX60" s="10" t="str">
        <f t="shared" si="28"/>
        <v/>
      </c>
      <c r="BY60" s="10" t="str">
        <f t="shared" si="29"/>
        <v/>
      </c>
      <c r="BZ60" s="10" t="str">
        <f t="shared" si="30"/>
        <v>Ingrédients : thé vert*, extrait de vanille* 2%, pétales de fleurs (souci*, bleuet*, lavande*), huile essentielle de bergamote* 1%. *Issu de l'agriculture biologique.</v>
      </c>
      <c r="CA60" s="10" t="str">
        <f t="shared" si="31"/>
        <v/>
      </c>
      <c r="CB60" s="10" t="str">
        <f t="shared" si="32"/>
        <v/>
      </c>
      <c r="CC60" s="10" t="str">
        <f t="shared" si="33"/>
        <v/>
      </c>
      <c r="CD60" s="10" t="str">
        <f t="shared" si="34"/>
        <v>/</v>
      </c>
      <c r="CE60" s="10" t="str">
        <f t="shared" si="35"/>
        <v/>
      </c>
      <c r="CF60" s="10" t="str">
        <f t="shared" si="36"/>
        <v/>
      </c>
      <c r="CG60" s="10" t="str">
        <f t="shared" si="37"/>
        <v/>
      </c>
      <c r="CH60" s="10" t="str">
        <f t="shared" si="38"/>
        <v>Membre certifié World Fair Trade Organization, Les Jardins de Gaïa s’engagent pour un commerce plus juste et répondent aux exigences du commerce équitable. Pour en savoir plus : www.wfto.com.</v>
      </c>
      <c r="CI60" s="10" t="str">
        <f t="shared" si="39"/>
        <v/>
      </c>
      <c r="CJ60" s="10" t="str">
        <f t="shared" si="40"/>
        <v/>
      </c>
      <c r="CK60" s="10" t="str">
        <f t="shared" si="41"/>
        <v/>
      </c>
      <c r="CL60" s="10" t="str">
        <f t="shared" si="42"/>
        <v>The harmony of this recipe, based on green tea from ancient Vietnamese tea bushes, makes it irresistible to follow in the footsteps of Kokopelli, the charming Native American flute-playing sower. The tartness of bergamot is deliciously rounded out b</v>
      </c>
      <c r="CM60" s="10" t="str">
        <f t="shared" si="43"/>
        <v>y vanilla. A feast for the senses!</v>
      </c>
      <c r="CN60" s="10" t="str">
        <f t="shared" si="44"/>
        <v/>
      </c>
      <c r="CO60" s="10" t="str">
        <f t="shared" si="45"/>
        <v/>
      </c>
      <c r="CP60" s="10" t="str">
        <f t="shared" si="46"/>
        <v>Ingredients: green tea*, vanilla extract* 2%, flower petals (marigold*, cornflower*, lavender*), bergamot essential oil* 1%. From organic farming.</v>
      </c>
      <c r="CQ60" s="10" t="str">
        <f t="shared" si="47"/>
        <v/>
      </c>
      <c r="CR60" s="10" t="str">
        <f t="shared" si="48"/>
        <v/>
      </c>
      <c r="CS60" s="10" t="str">
        <f t="shared" si="49"/>
        <v/>
      </c>
      <c r="CT60" s="10" t="str">
        <f t="shared" si="50"/>
        <v/>
      </c>
      <c r="CU60" s="10" t="str">
        <f t="shared" si="51"/>
        <v/>
      </c>
      <c r="CV60" s="10" t="str">
        <f t="shared" si="52"/>
        <v/>
      </c>
      <c r="CW60" s="10" t="str">
        <f t="shared" si="53"/>
        <v/>
      </c>
    </row>
    <row r="61" spans="1:147" ht="115.2">
      <c r="A61" s="129" t="s">
        <v>389</v>
      </c>
      <c r="B61" s="9" t="s">
        <v>26</v>
      </c>
      <c r="C61" s="9"/>
      <c r="D61" s="8" t="s">
        <v>385</v>
      </c>
      <c r="E61" s="9" t="s">
        <v>386</v>
      </c>
      <c r="F61" s="9" t="s">
        <v>27</v>
      </c>
      <c r="G61" s="9" t="s">
        <v>71</v>
      </c>
      <c r="H61" s="10" t="s">
        <v>5</v>
      </c>
      <c r="I61" s="10" t="s">
        <v>6</v>
      </c>
      <c r="J61" s="10" t="s">
        <v>29</v>
      </c>
      <c r="K61" s="10" t="s">
        <v>29</v>
      </c>
      <c r="L61" s="10" t="s">
        <v>29</v>
      </c>
      <c r="M61" s="10" t="s">
        <v>29</v>
      </c>
      <c r="N61" s="10" t="s">
        <v>30</v>
      </c>
      <c r="O61" s="9"/>
      <c r="P61" s="9" t="s">
        <v>387</v>
      </c>
      <c r="Q61" s="9" t="s">
        <v>968</v>
      </c>
      <c r="R61" s="9"/>
      <c r="S61" s="9"/>
      <c r="T61" s="9" t="s">
        <v>69</v>
      </c>
      <c r="U61"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61" s="9" t="s">
        <v>29</v>
      </c>
      <c r="W61" s="9" t="s">
        <v>31</v>
      </c>
      <c r="X61" s="10">
        <v>100</v>
      </c>
      <c r="Y61" s="11" t="s">
        <v>59</v>
      </c>
      <c r="Z61" s="19">
        <v>95</v>
      </c>
      <c r="AA61" s="10">
        <v>2</v>
      </c>
      <c r="AB61" s="10">
        <v>50</v>
      </c>
      <c r="AC61" s="12">
        <v>3582810222928</v>
      </c>
      <c r="AD61" s="10" t="s">
        <v>29</v>
      </c>
      <c r="AE61" s="10" t="s">
        <v>390</v>
      </c>
      <c r="AF61" s="10" t="s">
        <v>969</v>
      </c>
      <c r="AG61" s="10" t="s">
        <v>970</v>
      </c>
      <c r="AH61" s="20" t="s">
        <v>388</v>
      </c>
      <c r="AI61" s="54" t="s">
        <v>776</v>
      </c>
      <c r="AJ61" s="54" t="s">
        <v>776</v>
      </c>
      <c r="AK61" s="55">
        <v>45750</v>
      </c>
      <c r="AL61" s="10"/>
      <c r="AM61" s="10"/>
      <c r="AN61" s="10"/>
      <c r="AO61" s="50" t="s">
        <v>774</v>
      </c>
      <c r="AP61" s="50" t="s">
        <v>1589</v>
      </c>
      <c r="AQ61" s="51" t="s">
        <v>1483</v>
      </c>
      <c r="AR61" s="51" t="s">
        <v>386</v>
      </c>
      <c r="AS61" s="87" t="s">
        <v>1562</v>
      </c>
      <c r="AT61" s="87" t="e">
        <f>VLOOKUP(A61,TRADS,14,0)</f>
        <v>#REF!</v>
      </c>
      <c r="AU61" s="141" t="s">
        <v>1701</v>
      </c>
      <c r="AV61" s="87" t="s">
        <v>741</v>
      </c>
      <c r="AW61" s="87"/>
      <c r="AX61" s="87" t="s">
        <v>29</v>
      </c>
      <c r="AY61" s="51" t="s">
        <v>1260</v>
      </c>
      <c r="AZ61" s="51" t="s">
        <v>1261</v>
      </c>
      <c r="BA61" s="51">
        <v>0</v>
      </c>
      <c r="BB61" s="51" t="s">
        <v>1642</v>
      </c>
      <c r="BC61" s="51" t="s">
        <v>1575</v>
      </c>
      <c r="BD61" s="51" t="s">
        <v>1287</v>
      </c>
      <c r="BE61" s="51"/>
      <c r="BF61" s="92"/>
      <c r="BG61" s="92"/>
      <c r="BH61" s="92"/>
      <c r="BI61" s="92"/>
      <c r="BJ61" s="92"/>
      <c r="BK61" s="92"/>
      <c r="BL61" s="92"/>
      <c r="BN61" s="7" t="str">
        <f>IF(IFERROR(FIND("romatis",TableauJDG[[#This Row],[TYPE DE THÉ FR]]),0)=0,"","aromatisé")</f>
        <v/>
      </c>
      <c r="BV61" s="10" t="str">
        <f t="shared" si="54"/>
        <v>Ce thé noir étonne par sa richesse aromatique et sa douceur. Sa belle liqueur, d'un orange intense, développe sur un arrière-plan malté et légèrement boisé de magnifiques saveurs de confiserie, évoquant tour à tour la guimauve, l'abricot et les raisi</v>
      </c>
      <c r="BW61" s="10" t="str">
        <f t="shared" si="55"/>
        <v>ns secs. Idéal pour un lever du jour gourmand !</v>
      </c>
      <c r="BX61" s="10" t="str">
        <f t="shared" si="28"/>
        <v/>
      </c>
      <c r="BY61" s="10" t="str">
        <f t="shared" si="29"/>
        <v/>
      </c>
      <c r="BZ61" s="10" t="str">
        <f t="shared" si="30"/>
        <v>Ingrédient : thé noir*. *Issu de l'agriculture biologique.</v>
      </c>
      <c r="CA61" s="10" t="str">
        <f t="shared" si="31"/>
        <v/>
      </c>
      <c r="CB61" s="10" t="str">
        <f t="shared" si="32"/>
        <v/>
      </c>
      <c r="CC61" s="10" t="str">
        <f t="shared" si="33"/>
        <v/>
      </c>
      <c r="CD61" s="10" t="str">
        <f t="shared" si="34"/>
        <v>/</v>
      </c>
      <c r="CE61" s="10" t="str">
        <f t="shared" si="35"/>
        <v/>
      </c>
      <c r="CF61" s="10" t="str">
        <f t="shared" si="36"/>
        <v/>
      </c>
      <c r="CG61" s="10" t="str">
        <f t="shared" si="37"/>
        <v/>
      </c>
      <c r="CH61" s="10" t="str">
        <f t="shared" si="38"/>
        <v>Membre certifié World Fair Trade Organization, Les Jardins de Gaïa s’engagent pour un commerce plus juste et répondent aux exigences du commerce équitable. Pour en savoir plus : www.wfto.com.</v>
      </c>
      <c r="CI61" s="10" t="str">
        <f t="shared" si="39"/>
        <v/>
      </c>
      <c r="CJ61" s="10" t="str">
        <f t="shared" si="40"/>
        <v/>
      </c>
      <c r="CK61" s="10" t="str">
        <f t="shared" si="41"/>
        <v/>
      </c>
      <c r="CL61" s="10" t="str">
        <f t="shared" si="42"/>
        <v>This black tea is astonishingly rich in aroma and sweetness. Its intense orange brew develops magnificent confectionery flavours on a malty, slightly woody background, evoking marshmallows, apricots and raisins. Ideal for a savoury sunrise!</v>
      </c>
      <c r="CM61" s="10" t="str">
        <f t="shared" si="43"/>
        <v/>
      </c>
      <c r="CN61" s="10" t="str">
        <f t="shared" si="44"/>
        <v/>
      </c>
      <c r="CO61" s="10" t="str">
        <f t="shared" si="45"/>
        <v/>
      </c>
      <c r="CP61" s="10" t="str">
        <f t="shared" si="46"/>
        <v>Ingredient: black tea*. *From organic farming.</v>
      </c>
      <c r="CQ61" s="10" t="str">
        <f t="shared" si="47"/>
        <v/>
      </c>
      <c r="CR61" s="10" t="str">
        <f t="shared" si="48"/>
        <v/>
      </c>
      <c r="CS61" s="10" t="str">
        <f t="shared" si="49"/>
        <v/>
      </c>
      <c r="CT61" s="10" t="str">
        <f t="shared" si="50"/>
        <v>/</v>
      </c>
      <c r="CU61" s="10" t="str">
        <f t="shared" si="51"/>
        <v/>
      </c>
      <c r="CV61" s="10" t="str">
        <f t="shared" si="52"/>
        <v/>
      </c>
      <c r="CW61" s="10" t="str">
        <f t="shared" si="53"/>
        <v/>
      </c>
    </row>
    <row r="62" spans="1:147" ht="115.2">
      <c r="A62" s="129" t="s">
        <v>393</v>
      </c>
      <c r="B62" s="9" t="s">
        <v>26</v>
      </c>
      <c r="C62" s="9"/>
      <c r="D62" s="8" t="s">
        <v>391</v>
      </c>
      <c r="E62" s="9" t="s">
        <v>392</v>
      </c>
      <c r="F62" s="9" t="s">
        <v>314</v>
      </c>
      <c r="G62" s="9" t="s">
        <v>974</v>
      </c>
      <c r="H62" s="10" t="s">
        <v>5</v>
      </c>
      <c r="I62" s="10" t="s">
        <v>6</v>
      </c>
      <c r="J62" s="10" t="s">
        <v>29</v>
      </c>
      <c r="K62" s="10" t="s">
        <v>29</v>
      </c>
      <c r="L62" s="10" t="s">
        <v>29</v>
      </c>
      <c r="M62" s="10" t="s">
        <v>29</v>
      </c>
      <c r="N62" s="10" t="s">
        <v>37</v>
      </c>
      <c r="O62" s="9"/>
      <c r="P62" s="9" t="s">
        <v>971</v>
      </c>
      <c r="Q62" s="98" t="s">
        <v>972</v>
      </c>
      <c r="R62" s="26"/>
      <c r="S62" s="9"/>
      <c r="T62" s="9" t="s">
        <v>973</v>
      </c>
      <c r="U62"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62" s="9" t="s">
        <v>29</v>
      </c>
      <c r="W62" s="9" t="s">
        <v>31</v>
      </c>
      <c r="X62" s="10">
        <v>50</v>
      </c>
      <c r="Y62" s="11" t="s">
        <v>78</v>
      </c>
      <c r="Z62" s="19">
        <v>95</v>
      </c>
      <c r="AA62" s="10">
        <v>2</v>
      </c>
      <c r="AB62" s="10">
        <v>25</v>
      </c>
      <c r="AC62" s="12">
        <v>3582810790267</v>
      </c>
      <c r="AD62" s="10" t="s">
        <v>29</v>
      </c>
      <c r="AE62" s="10" t="s">
        <v>1731</v>
      </c>
      <c r="AF62" s="10" t="s">
        <v>975</v>
      </c>
      <c r="AG62" s="10" t="s">
        <v>976</v>
      </c>
      <c r="AH62" s="20" t="s">
        <v>38</v>
      </c>
      <c r="AI62" s="54" t="s">
        <v>776</v>
      </c>
      <c r="AJ62" s="54" t="s">
        <v>776</v>
      </c>
      <c r="AK62" s="55">
        <v>45693</v>
      </c>
      <c r="AL62" s="10"/>
      <c r="AM62" s="10" t="s">
        <v>1659</v>
      </c>
      <c r="AN62" s="101"/>
      <c r="AO62" s="50" t="s">
        <v>774</v>
      </c>
      <c r="AP62" s="50" t="s">
        <v>1590</v>
      </c>
      <c r="AQ62" s="51" t="s">
        <v>1398</v>
      </c>
      <c r="AR62" s="51" t="s">
        <v>1257</v>
      </c>
      <c r="AS62" s="87" t="s">
        <v>1557</v>
      </c>
      <c r="AT62" s="87" t="e">
        <f>VLOOKUP(A62,TRADS,14,0)</f>
        <v>#REF!</v>
      </c>
      <c r="AU62" s="87" t="s">
        <v>1567</v>
      </c>
      <c r="AV62" s="87" t="s">
        <v>1622</v>
      </c>
      <c r="AW62" s="87"/>
      <c r="AX62" s="87" t="s">
        <v>29</v>
      </c>
      <c r="AY62" s="51" t="s">
        <v>1258</v>
      </c>
      <c r="AZ62" s="51" t="s">
        <v>1259</v>
      </c>
      <c r="BA62" s="51">
        <v>0</v>
      </c>
      <c r="BB62" s="51" t="s">
        <v>1642</v>
      </c>
      <c r="BC62" s="51" t="s">
        <v>1573</v>
      </c>
      <c r="BD62" s="51" t="s">
        <v>1287</v>
      </c>
      <c r="BE62" s="51"/>
      <c r="BF62" s="92"/>
      <c r="BG62" s="92"/>
      <c r="BH62" s="92"/>
      <c r="BI62" s="92"/>
      <c r="BJ62" s="92"/>
      <c r="BK62" s="92"/>
      <c r="BL62" s="92"/>
      <c r="BM62" s="93">
        <v>1</v>
      </c>
      <c r="BN62" s="7" t="str">
        <f>IF(IFERROR(FIND("romatis",TableauJDG[[#This Row],[TYPE DE THÉ FR]]),0)=0,"","aromatisé")</f>
        <v>aromatisé</v>
      </c>
      <c r="BV62" s="10" t="str">
        <f t="shared" si="54"/>
        <v>Né de la rencontre originale des notes boisées d’un thé wulong, de la fraîcheur d’un thé vert et des saveurs florales et fruitées du sureau et de la framboise, cette recette est une ode au printemps et au pouvoir réjouissant des fleurs. Savourez cett</v>
      </c>
      <c r="BW62" s="10" t="str">
        <f t="shared" si="55"/>
        <v xml:space="preserve">e ravissante boisson qui évoque toute la magie d’une saison. </v>
      </c>
      <c r="BX62" s="10" t="str">
        <f t="shared" si="28"/>
        <v/>
      </c>
      <c r="BY62" s="10" t="str">
        <f t="shared" si="29"/>
        <v/>
      </c>
      <c r="BZ62" s="10" t="str">
        <f t="shared" si="30"/>
        <v>Ingrédients : thé wulong*, thé vert*, arômes naturels de (framboise* 3%, fleur de sureau*), extrait de vanille* 3%, pétales de fleurs (souci*, rose*), morceaux de framboise* 1%, feuilles et fleurs de mauve*, fleurs de sureau*. *Issu de l'agricultur</v>
      </c>
      <c r="CA62" s="10" t="str">
        <f t="shared" si="31"/>
        <v>e biologique.</v>
      </c>
      <c r="CB62" s="10" t="str">
        <f t="shared" si="32"/>
        <v/>
      </c>
      <c r="CC62" s="10" t="str">
        <f t="shared" si="33"/>
        <v/>
      </c>
      <c r="CD62" s="10" t="str">
        <f t="shared" si="34"/>
        <v>/</v>
      </c>
      <c r="CE62" s="10" t="str">
        <f t="shared" si="35"/>
        <v/>
      </c>
      <c r="CF62" s="10" t="str">
        <f t="shared" si="36"/>
        <v/>
      </c>
      <c r="CG62" s="10" t="str">
        <f t="shared" si="37"/>
        <v/>
      </c>
      <c r="CH62" s="10" t="str">
        <f t="shared" si="38"/>
        <v>Membre certifié World Fair Trade Organization, Les Jardins de Gaïa s’engagent pour un commerce plus juste et répondent aux exigences du commerce équitable. Pour en savoir plus : www.wfto.com.</v>
      </c>
      <c r="CI62" s="10" t="str">
        <f t="shared" si="39"/>
        <v/>
      </c>
      <c r="CJ62" s="10" t="str">
        <f t="shared" si="40"/>
        <v/>
      </c>
      <c r="CK62" s="10" t="str">
        <f t="shared" si="41"/>
        <v/>
      </c>
      <c r="CL62" s="10" t="str">
        <f t="shared" si="42"/>
        <v>Born of the original meeting of the woody notes of wulong tea with the freshness of green tea and the floral and fruity flavours of elderberry and raspberry, this recipe is an ode to spring and the uplifting power of flowers. Enjoy this delightful dr</v>
      </c>
      <c r="CM62" s="10" t="str">
        <f t="shared" si="43"/>
        <v xml:space="preserve">ink that evokes the magic of the season. </v>
      </c>
      <c r="CN62" s="10" t="str">
        <f t="shared" si="44"/>
        <v/>
      </c>
      <c r="CO62" s="10" t="str">
        <f t="shared" si="45"/>
        <v/>
      </c>
      <c r="CP62" s="10" t="str">
        <f t="shared" si="46"/>
        <v>Ingredients: wulong tea*, green tea*, natural (raspberry* 3%, elderflower*) flavourings, vanilla extract* 3%, flower petals (marigold*, rose*), raspberry pieces* 1%, mallow* leaves and flowers, elderflowers*. *From organic farming.</v>
      </c>
      <c r="CQ62" s="10" t="str">
        <f t="shared" si="47"/>
        <v/>
      </c>
      <c r="CR62" s="10" t="str">
        <f t="shared" si="48"/>
        <v/>
      </c>
      <c r="CS62" s="10" t="str">
        <f t="shared" si="49"/>
        <v/>
      </c>
      <c r="CT62" s="10" t="str">
        <f t="shared" si="50"/>
        <v>/</v>
      </c>
      <c r="CU62" s="10" t="str">
        <f t="shared" si="51"/>
        <v/>
      </c>
      <c r="CV62" s="10" t="str">
        <f t="shared" si="52"/>
        <v/>
      </c>
      <c r="CW62" s="10" t="str">
        <f t="shared" si="53"/>
        <v/>
      </c>
    </row>
    <row r="63" spans="1:147" s="66" customFormat="1" ht="86.4">
      <c r="A63" s="129" t="s">
        <v>399</v>
      </c>
      <c r="B63" s="9" t="s">
        <v>26</v>
      </c>
      <c r="C63" s="9"/>
      <c r="D63" s="8" t="s">
        <v>394</v>
      </c>
      <c r="E63" s="9" t="s">
        <v>29</v>
      </c>
      <c r="F63" s="9" t="s">
        <v>53</v>
      </c>
      <c r="G63" s="9" t="s">
        <v>395</v>
      </c>
      <c r="H63" s="10" t="s">
        <v>5</v>
      </c>
      <c r="I63" s="10" t="s">
        <v>6</v>
      </c>
      <c r="J63" s="10" t="s">
        <v>29</v>
      </c>
      <c r="K63" s="10" t="s">
        <v>29</v>
      </c>
      <c r="L63" s="10" t="s">
        <v>29</v>
      </c>
      <c r="M63" s="10" t="s">
        <v>29</v>
      </c>
      <c r="N63" s="10" t="s">
        <v>396</v>
      </c>
      <c r="O63" s="9"/>
      <c r="P63" s="9" t="s">
        <v>397</v>
      </c>
      <c r="Q63" s="9" t="s">
        <v>977</v>
      </c>
      <c r="R63" s="9"/>
      <c r="S63" s="9"/>
      <c r="T63" s="9" t="s">
        <v>56</v>
      </c>
      <c r="U63"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63" s="9" t="s">
        <v>29</v>
      </c>
      <c r="W63" s="9" t="s">
        <v>31</v>
      </c>
      <c r="X63" s="10">
        <v>100</v>
      </c>
      <c r="Y63" s="19" t="s">
        <v>59</v>
      </c>
      <c r="Z63" s="19">
        <v>80</v>
      </c>
      <c r="AA63" s="10">
        <v>2</v>
      </c>
      <c r="AB63" s="10">
        <v>50</v>
      </c>
      <c r="AC63" s="12">
        <v>3582810379424</v>
      </c>
      <c r="AD63" s="10" t="s">
        <v>29</v>
      </c>
      <c r="AE63" s="10" t="s">
        <v>400</v>
      </c>
      <c r="AF63" s="10" t="s">
        <v>978</v>
      </c>
      <c r="AG63" s="10" t="s">
        <v>979</v>
      </c>
      <c r="AH63" s="20" t="s">
        <v>398</v>
      </c>
      <c r="AI63" s="54" t="s">
        <v>776</v>
      </c>
      <c r="AJ63" s="54" t="s">
        <v>776</v>
      </c>
      <c r="AK63" s="55">
        <v>45665</v>
      </c>
      <c r="AL63" s="10"/>
      <c r="AM63" s="10">
        <v>24359</v>
      </c>
      <c r="AN63" s="10"/>
      <c r="AO63" s="10"/>
      <c r="AP63" s="10"/>
      <c r="AQ63" s="51" t="s">
        <v>1546</v>
      </c>
      <c r="AR63" s="51"/>
      <c r="AS63" s="51" t="s">
        <v>1563</v>
      </c>
      <c r="AT63" s="51"/>
      <c r="AU63" s="63" t="s">
        <v>1547</v>
      </c>
      <c r="AV63" s="52" t="s">
        <v>145</v>
      </c>
      <c r="AW63" s="52"/>
      <c r="AX63" s="51"/>
      <c r="AY63" s="51"/>
      <c r="AZ63" s="51"/>
      <c r="BA63" s="51"/>
      <c r="BB63" s="51"/>
      <c r="BC63" s="51"/>
      <c r="BD63" s="51"/>
      <c r="BE63" s="51"/>
      <c r="BF63" s="92"/>
      <c r="BG63" s="92"/>
      <c r="BH63" s="92"/>
      <c r="BI63" s="92"/>
      <c r="BJ63" s="92"/>
      <c r="BK63" s="92"/>
      <c r="BL63" s="92"/>
      <c r="BM63" s="7"/>
      <c r="BN63" s="7" t="str">
        <f>IF(IFERROR(FIND("romatis",TableauJDG[[#This Row],[TYPE DE THÉ FR]]),0)=0,"","aromatisé")</f>
        <v/>
      </c>
      <c r="BO63" s="10"/>
      <c r="BP63" s="7"/>
      <c r="BQ63" s="7"/>
      <c r="BR63" s="7"/>
      <c r="BS63" s="7"/>
      <c r="BT63" s="7"/>
      <c r="BU63" s="7"/>
      <c r="BV63" s="10" t="str">
        <f t="shared" si="54"/>
        <v>Ce thé vert népalais est né dans de petites parcelles d’altitude entourées d’une riche et belle diversité de plantes, dont il semble s’être imprégné. Ses petites feuilles offrent une liqueur dorée aux notes végétales, légèrement acidulées et épicée</v>
      </c>
      <c r="BW63" s="10" t="str">
        <f t="shared" si="55"/>
        <v>s dont le côté aérien invite à une douce rêverie.</v>
      </c>
      <c r="BX63" s="10" t="str">
        <f t="shared" si="28"/>
        <v/>
      </c>
      <c r="BY63" s="10" t="str">
        <f t="shared" si="29"/>
        <v/>
      </c>
      <c r="BZ63" s="10" t="str">
        <f t="shared" si="30"/>
        <v>Ingrédient : thé vert*. *Issu de l'agriculture biologique.</v>
      </c>
      <c r="CA63" s="10" t="str">
        <f t="shared" si="31"/>
        <v/>
      </c>
      <c r="CB63" s="10" t="str">
        <f t="shared" si="32"/>
        <v/>
      </c>
      <c r="CC63" s="10" t="str">
        <f t="shared" si="33"/>
        <v/>
      </c>
      <c r="CD63" s="10" t="str">
        <f t="shared" si="34"/>
        <v>/</v>
      </c>
      <c r="CE63" s="10" t="str">
        <f t="shared" si="35"/>
        <v/>
      </c>
      <c r="CF63" s="10" t="str">
        <f t="shared" si="36"/>
        <v/>
      </c>
      <c r="CG63" s="10" t="str">
        <f t="shared" si="37"/>
        <v/>
      </c>
      <c r="CH63" s="10" t="str">
        <f t="shared" si="38"/>
        <v>Membre certifié World Fair Trade Organization, Les Jardins de Gaïa s’engagent pour un commerce plus juste et répondent aux exigences du commerce équitable. Pour en savoir plus : www.wfto.com.</v>
      </c>
      <c r="CI63" s="10" t="str">
        <f t="shared" si="39"/>
        <v/>
      </c>
      <c r="CJ63" s="10" t="str">
        <f t="shared" si="40"/>
        <v/>
      </c>
      <c r="CK63" s="10" t="str">
        <f t="shared" si="41"/>
        <v/>
      </c>
      <c r="CL63" s="10" t="str">
        <f t="shared" si="42"/>
        <v>This Nepalese green tea was born in small, high-altitude plots surrounded by a rich and beautiful diversity of plants, which it seems to have absorbed. Its small leaves produce a golden brew with vegetal, slightly acidic and spicy notes, and an air</v>
      </c>
      <c r="CM63" s="10" t="str">
        <f t="shared" si="43"/>
        <v>y quality that invites you to daydream.</v>
      </c>
      <c r="CN63" s="10" t="str">
        <f t="shared" si="44"/>
        <v/>
      </c>
      <c r="CO63" s="10" t="str">
        <f t="shared" si="45"/>
        <v/>
      </c>
      <c r="CP63" s="10" t="str">
        <f t="shared" si="46"/>
        <v>Ingredient: green tea*. *From organic farming.</v>
      </c>
      <c r="CQ63" s="10" t="str">
        <f t="shared" si="47"/>
        <v/>
      </c>
      <c r="CR63" s="10" t="str">
        <f t="shared" si="48"/>
        <v/>
      </c>
      <c r="CS63" s="10" t="str">
        <f t="shared" si="49"/>
        <v/>
      </c>
      <c r="CT63" s="10" t="str">
        <f t="shared" si="50"/>
        <v/>
      </c>
      <c r="CU63" s="10" t="str">
        <f t="shared" si="51"/>
        <v/>
      </c>
      <c r="CV63" s="10" t="str">
        <f t="shared" si="52"/>
        <v/>
      </c>
      <c r="CW63" s="10" t="str">
        <f t="shared" si="53"/>
        <v/>
      </c>
      <c r="CX63" s="7"/>
      <c r="CY63" s="7"/>
      <c r="CZ63" s="7"/>
      <c r="DA63" s="7"/>
      <c r="DB63" s="7"/>
      <c r="DC63" s="7"/>
      <c r="DD63" s="7"/>
      <c r="DE63" s="7"/>
      <c r="DF63" s="7"/>
      <c r="DG63" s="7"/>
      <c r="DH63" s="7"/>
      <c r="DI63" s="7"/>
      <c r="DJ63" s="62"/>
      <c r="DK63" s="62"/>
      <c r="DL63" s="62"/>
      <c r="DM63" s="62"/>
      <c r="DN63" s="62"/>
      <c r="DO63" s="62"/>
      <c r="DP63" s="62"/>
      <c r="DQ63" s="62"/>
      <c r="DR63" s="62"/>
      <c r="DS63" s="62"/>
      <c r="DT63" s="62"/>
      <c r="DU63" s="62"/>
      <c r="DV63" s="62"/>
      <c r="DW63" s="62"/>
      <c r="DX63" s="62"/>
      <c r="DY63" s="62"/>
      <c r="DZ63" s="62"/>
      <c r="EA63" s="62"/>
      <c r="EB63" s="62"/>
      <c r="EC63" s="62"/>
      <c r="ED63" s="62"/>
      <c r="EE63" s="62"/>
      <c r="EF63" s="62"/>
      <c r="EG63" s="62"/>
      <c r="EH63" s="62"/>
      <c r="EI63" s="62"/>
      <c r="EJ63" s="62"/>
      <c r="EK63" s="62"/>
      <c r="EL63" s="62"/>
      <c r="EM63" s="62"/>
      <c r="EN63" s="62"/>
      <c r="EO63" s="62"/>
      <c r="EP63" s="62"/>
      <c r="EQ63" s="62"/>
    </row>
    <row r="64" spans="1:147" ht="86.4">
      <c r="A64" s="129" t="s">
        <v>408</v>
      </c>
      <c r="B64" s="9" t="s">
        <v>26</v>
      </c>
      <c r="C64" s="9"/>
      <c r="D64" s="8" t="s">
        <v>404</v>
      </c>
      <c r="E64" s="9" t="s">
        <v>405</v>
      </c>
      <c r="F64" s="9" t="s">
        <v>62</v>
      </c>
      <c r="G64" s="9" t="s">
        <v>97</v>
      </c>
      <c r="H64" s="10" t="s">
        <v>5</v>
      </c>
      <c r="I64" s="10" t="s">
        <v>6</v>
      </c>
      <c r="J64" s="10" t="s">
        <v>29</v>
      </c>
      <c r="K64" s="10" t="s">
        <v>29</v>
      </c>
      <c r="L64" s="10" t="s">
        <v>29</v>
      </c>
      <c r="M64" s="10" t="s">
        <v>29</v>
      </c>
      <c r="N64" s="10" t="s">
        <v>37</v>
      </c>
      <c r="O64" s="9"/>
      <c r="P64" s="9" t="s">
        <v>406</v>
      </c>
      <c r="Q64" s="9" t="s">
        <v>981</v>
      </c>
      <c r="R64" s="9"/>
      <c r="S64" s="9"/>
      <c r="T64" s="9" t="s">
        <v>407</v>
      </c>
      <c r="U64"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64" s="9" t="s">
        <v>29</v>
      </c>
      <c r="W64" s="9" t="s">
        <v>31</v>
      </c>
      <c r="X64" s="10">
        <v>40</v>
      </c>
      <c r="Y64" s="19" t="s">
        <v>32</v>
      </c>
      <c r="Z64" s="19">
        <v>85</v>
      </c>
      <c r="AA64" s="10">
        <v>2</v>
      </c>
      <c r="AB64" s="10">
        <v>20</v>
      </c>
      <c r="AC64" s="12">
        <v>3582810650264</v>
      </c>
      <c r="AD64" s="10" t="s">
        <v>29</v>
      </c>
      <c r="AE64" s="10" t="s">
        <v>33</v>
      </c>
      <c r="AF64" s="10" t="s">
        <v>33</v>
      </c>
      <c r="AG64" s="10" t="s">
        <v>982</v>
      </c>
      <c r="AH64" s="20" t="s">
        <v>38</v>
      </c>
      <c r="AI64" s="54" t="s">
        <v>776</v>
      </c>
      <c r="AJ64" s="54" t="s">
        <v>776</v>
      </c>
      <c r="AK64" s="55">
        <v>45645</v>
      </c>
      <c r="AL64" s="10"/>
      <c r="AM64" s="54" t="s">
        <v>1607</v>
      </c>
      <c r="AN64" s="20"/>
      <c r="AO64" s="10"/>
      <c r="AP64" s="10"/>
      <c r="AQ64" s="51" t="s">
        <v>1604</v>
      </c>
      <c r="AR64" s="51" t="s">
        <v>1605</v>
      </c>
      <c r="AS64" s="51" t="s">
        <v>1558</v>
      </c>
      <c r="AT64" s="87" t="e">
        <f>VLOOKUP(A64,TRADS,14,0)</f>
        <v>#REF!</v>
      </c>
      <c r="AU64" s="63" t="s">
        <v>1606</v>
      </c>
      <c r="AV64" s="52" t="s">
        <v>1318</v>
      </c>
      <c r="AW64" s="52"/>
      <c r="AX64" s="68" t="s">
        <v>29</v>
      </c>
      <c r="AY64" s="51"/>
      <c r="AZ64" s="51"/>
      <c r="BA64" s="51"/>
      <c r="BB64" s="51"/>
      <c r="BC64" s="51"/>
      <c r="BD64" s="51"/>
      <c r="BE64" s="51"/>
      <c r="BF64" s="92"/>
      <c r="BG64" s="92"/>
      <c r="BH64" s="92"/>
      <c r="BI64" s="92"/>
      <c r="BJ64" s="92"/>
      <c r="BK64" s="92"/>
      <c r="BL64" s="92"/>
      <c r="BN64" s="7" t="str">
        <f>IF(IFERROR(FIND("romatis",TableauJDG[[#This Row],[TYPE DE THÉ FR]]),0)=0,"","aromatisé")</f>
        <v>aromatisé</v>
      </c>
      <c r="BV64" s="10" t="str">
        <f t="shared" si="54"/>
        <v>Comme un secret de muses, les feuilles de ce beau thé blanc parfumé se dévoilent à la rencontre d’une eau pure. Elles offrent alors une tasse inspirée aux délicieuses saveurs de framboise et de sureau. Laissez-vous séduire par ce secret gourmand…</v>
      </c>
      <c r="BW64" s="10" t="str">
        <f t="shared" si="55"/>
        <v/>
      </c>
      <c r="BX64" s="10" t="str">
        <f t="shared" si="28"/>
        <v/>
      </c>
      <c r="BY64" s="10" t="str">
        <f t="shared" si="29"/>
        <v/>
      </c>
      <c r="BZ64" s="10" t="str">
        <f t="shared" si="30"/>
        <v>Ingrédients : thé blanc*, arômes naturels de (framboise* 7%, fleur de sureau*), morceaux de framboise* 3%, pétales de fleurs (rose*, mauve*, lavande*, souci*, tournesol*, bleuet*), écorces de citron* 1%, huile essentielle de citron* 0,3%. *Issu de l'</v>
      </c>
      <c r="CA64" s="10" t="str">
        <f t="shared" si="31"/>
        <v xml:space="preserve">agriculture biologique. </v>
      </c>
      <c r="CB64" s="10" t="str">
        <f t="shared" si="32"/>
        <v/>
      </c>
      <c r="CC64" s="10" t="str">
        <f t="shared" si="33"/>
        <v/>
      </c>
      <c r="CD64" s="10" t="str">
        <f t="shared" si="34"/>
        <v>/</v>
      </c>
      <c r="CE64" s="10" t="str">
        <f t="shared" si="35"/>
        <v/>
      </c>
      <c r="CF64" s="10" t="str">
        <f t="shared" si="36"/>
        <v/>
      </c>
      <c r="CG64" s="10" t="str">
        <f t="shared" si="37"/>
        <v/>
      </c>
      <c r="CH64" s="10" t="str">
        <f t="shared" si="38"/>
        <v>Membre certifié World Fair Trade Organization, Les Jardins de Gaïa s’engagent pour un commerce plus juste et répondent aux exigences du commerce équitable. Pour en savoir plus : www.wfto.com.</v>
      </c>
      <c r="CI64" s="10" t="str">
        <f t="shared" si="39"/>
        <v/>
      </c>
      <c r="CJ64" s="10" t="str">
        <f t="shared" si="40"/>
        <v/>
      </c>
      <c r="CK64" s="10" t="str">
        <f t="shared" si="41"/>
        <v/>
      </c>
      <c r="CL64" s="10" t="str">
        <f t="shared" si="42"/>
        <v>Like a secret of the muses, the leaves of this beautiful, fragrant white tea reveal themselves when they meet pure water. The result is an inspired cup with delicious raspberry and elderberry flavours. Let yourself be seduced by this delectable secre</v>
      </c>
      <c r="CM64" s="10" t="str">
        <f t="shared" si="43"/>
        <v>t.</v>
      </c>
      <c r="CN64" s="10" t="str">
        <f t="shared" si="44"/>
        <v/>
      </c>
      <c r="CO64" s="10" t="str">
        <f t="shared" si="45"/>
        <v/>
      </c>
      <c r="CP64" s="10" t="str">
        <f t="shared" si="46"/>
        <v>Ingredients: white tea*, natural (raspberry* 7%, elderflower*) flavourings, raspberry pieces* 3%, flower petals (rose*, mallow*, lavender*, marigold*, sunflower*, cornflower*) , lemon peels* 1%, lemon essential oil* 0,3%. * From organic farming.</v>
      </c>
      <c r="CQ64" s="10" t="str">
        <f t="shared" si="47"/>
        <v/>
      </c>
      <c r="CR64" s="10" t="str">
        <f t="shared" si="48"/>
        <v/>
      </c>
      <c r="CS64" s="10" t="str">
        <f t="shared" si="49"/>
        <v/>
      </c>
      <c r="CT64" s="10" t="str">
        <f t="shared" si="50"/>
        <v>/</v>
      </c>
      <c r="CU64" s="10" t="str">
        <f t="shared" si="51"/>
        <v/>
      </c>
      <c r="CV64" s="10" t="str">
        <f t="shared" si="52"/>
        <v/>
      </c>
      <c r="CW64" s="10" t="str">
        <f t="shared" si="53"/>
        <v/>
      </c>
    </row>
    <row r="65" spans="1:101" ht="129.6">
      <c r="A65" s="131" t="s">
        <v>1902</v>
      </c>
      <c r="B65" s="9" t="s">
        <v>787</v>
      </c>
      <c r="C65" s="17" t="s">
        <v>791</v>
      </c>
      <c r="D65" s="126" t="s">
        <v>1824</v>
      </c>
      <c r="E65" s="29" t="s">
        <v>1908</v>
      </c>
      <c r="F65" s="9" t="s">
        <v>57</v>
      </c>
      <c r="G65" s="9"/>
      <c r="H65" s="10" t="s">
        <v>5</v>
      </c>
      <c r="I65" s="10" t="s">
        <v>6</v>
      </c>
      <c r="J65" s="10" t="s">
        <v>29</v>
      </c>
      <c r="K65" s="10" t="s">
        <v>29</v>
      </c>
      <c r="L65" s="10" t="s">
        <v>29</v>
      </c>
      <c r="M65" s="10" t="s">
        <v>29</v>
      </c>
      <c r="N65" s="10" t="s">
        <v>37</v>
      </c>
      <c r="O65" s="9"/>
      <c r="P65" s="29"/>
      <c r="Q65" s="17" t="s">
        <v>1895</v>
      </c>
      <c r="R65" s="60"/>
      <c r="S65" s="17" t="s">
        <v>1896</v>
      </c>
      <c r="T65" s="17" t="s">
        <v>1913</v>
      </c>
      <c r="U65" s="17"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65" s="8" t="s">
        <v>29</v>
      </c>
      <c r="W65" s="9" t="s">
        <v>31</v>
      </c>
      <c r="X65" s="10">
        <v>100</v>
      </c>
      <c r="Y65" s="11" t="s">
        <v>123</v>
      </c>
      <c r="Z65" s="19">
        <v>85</v>
      </c>
      <c r="AA65" s="10">
        <v>2</v>
      </c>
      <c r="AB65" s="12">
        <v>50</v>
      </c>
      <c r="AC65" s="22">
        <v>3582810360224</v>
      </c>
      <c r="AD65" s="10" t="s">
        <v>29</v>
      </c>
      <c r="AE65" s="10"/>
      <c r="AF65" s="20" t="s">
        <v>1903</v>
      </c>
      <c r="AG65" s="20" t="s">
        <v>1904</v>
      </c>
      <c r="AH65" s="20" t="s">
        <v>38</v>
      </c>
      <c r="AI65" s="54"/>
      <c r="AJ65" s="54"/>
      <c r="AK65" s="55"/>
      <c r="AL65" s="20"/>
      <c r="AM65" s="20"/>
      <c r="AN65" s="20"/>
      <c r="AO65" s="20"/>
      <c r="AP65" s="20"/>
      <c r="AQ65" s="64" t="s">
        <v>1928</v>
      </c>
      <c r="AR65" s="16" t="s">
        <v>1929</v>
      </c>
      <c r="AS65" s="51" t="s">
        <v>1558</v>
      </c>
      <c r="AT65" s="20"/>
      <c r="AU65" s="145" t="s">
        <v>1972</v>
      </c>
      <c r="AV65" s="145" t="s">
        <v>1961</v>
      </c>
      <c r="AW65" s="125"/>
      <c r="AX65" s="56"/>
      <c r="AY65" s="20"/>
      <c r="AZ65" s="20"/>
      <c r="BA65" s="145" t="s">
        <v>1974</v>
      </c>
      <c r="BB65" s="20"/>
      <c r="BC65" s="20"/>
      <c r="BD65" s="20"/>
      <c r="BE65" s="20"/>
      <c r="BF65" s="20"/>
      <c r="BG65" s="20"/>
      <c r="BH65" s="20"/>
      <c r="BI65" s="20"/>
      <c r="BJ65" s="20"/>
      <c r="BK65" s="20"/>
      <c r="BL65" s="20"/>
      <c r="BM65" s="62"/>
      <c r="BN65" s="7" t="str">
        <f>IF(IFERROR(FIND("romatis",TableauJDG[[#This Row],[TYPE DE THÉ FR]]),0)=0,"","aromatisé")</f>
        <v>aromatisé</v>
      </c>
      <c r="BO65" s="17" t="s">
        <v>1912</v>
      </c>
      <c r="BV65" s="10" t="str">
        <f t="shared" si="54"/>
        <v>A l’image des parfums enivrants et des couleurs vibrantes qui émaillent les rues indiennes, cette recette est une fête pour les papilles en quête d’émotions. Après une attaque végétale légèrement camphrée, elle laisse place à des notes d’amande, de c</v>
      </c>
      <c r="BW65" s="10" t="str">
        <f t="shared" si="55"/>
        <v>annelle et de rose tout en ferveur et gourmandise.</v>
      </c>
      <c r="BX65" s="10" t="str">
        <f t="shared" ref="BX65:BX96" si="56">IF(MID($Q65,251,1)=" ",IF(MID($Q65,500,1)=" ",IF(MID($Q65,749,1)=" ",MID($Q65,499,249),IF(MID($Q65,748,1)=" ",MID($Q65,499,248),MID($Q65,499,250))),IF(MID($Q65,499,1)=" ",IF(MID($Q65,748,1)=" ",MID($Q65,498,249),IF(MID($Q65,747,1)=" ",MID($Q65,498,248),MID($Q65,498,250))),IF(MID($Q65,750,1)=" ",MID($Q65,500,249),IF(MID($Q65,749,1)=" ",MID($Q65,500,248),MID($Q65,500,250))))),IF(MID($Q65,250,1)=" ",IF(MID($Q65,499,1)=" ",IF(MID($Q65,746,1)=" ",MID($Q65,498,247),IF(MID($Q65,745,1)=" ",MID($Q65,498,246),MID($Q65,498,248))),IF(MID($Q65,498,1)=" ",IF(MID($Q65,745,1)=" ",MID($Q65,497,247),IF(MID($Q65,744,1)=" ",MID($Q65,497,246),MID($Q65,497,248))),IF(MID($Q65,749,1)=" ",MID($Q65,499,249),IF(MID($Q65,748,1)=" ",MID($Q65,499,248),MID($Q65,499,250))))),IF(MID($Q65,501,1)=" ",IF(MID($Q65,750,1)=" ",MID($Q65,500,249),IF(MID($Q65,749,1)=" ",MID($Q65,500,248),MID($Q65,500,250))),IF(MID($Q65,500,1)=" ",IF(MID($Q65,749,1)=" ",MID($Q65,499,249),IF(MID($Q65,750,1)=" ",MID($Q65,499,249),MID($Q65,499,250))),IF(MID($Q65,751,1)=" ",MID($Q65,501,249),IF(MID($Q65,750,1)=" ",MID($Q65,501,248),MID($Q65,501,250)))))))</f>
        <v/>
      </c>
      <c r="BY65" s="10" t="str">
        <f t="shared" ref="BY65:BY96" si="57">IF(MID($Q65,251,1)=" ",IF(MID($Q65,500,1)=" ",IF(MID($Q65,749,1)=" ",MID($Q65,748,250),IF(MID($Q65,748,1)=" ",MID($Q65,747,250),MID($Q65,749,250))),IF(MID($Q65,499,1)=" ",IF(MID($Q65,748,1)=" ",MID($Q65,747,250),IF(MID($Q65,747,1)=" ",MID($Q65,746,250),MID($Q65,748,250))),IF(MID($Q65,750,1)=" ",MID($Q65,749,250),IF(MID($Q65,749,1)=" ",MID($Q65,748,250),MID($Q65,750,250))))),IF(MID($Q65,250,1)=" ",IF(MID($Q65,499,1)=" ",IF(MID($Q65,746,1)=" ",MID($Q65,745,250),IF(MID($Q65,745,1)=" ",MID($Q65,744,250),MID($Q65,746,250))),IF(MID($Q65,498,1)=" ",IF(MID($Q65,745,1)=" ",MID($Q65,744,250),IF(MID($Q65,744,1)=" ",MID($Q65,743,250),MID($Q65,745,250))),IF(MID($Q65,749,1)=" ",MID($Q65,748,250),IF(MID($Q65,748,1)=" ",MID($Q65,747,250),MID($Q65,749,250))))),IF(MID($Q65,501,1)=" ",IF(MID($Q65,750,1)=" ",MID($Q65,749,250),IF(MID($Q65,749,1)=" ",MID($Q65,748,250),MID($Q65,750,250))),IF(MID($Q65,500,1)=" ",IF(MID($Q65,749,1)=" ",MID($Q65,748,250),IF(MID($Q65,750,1)=" ",MID($Q65,749,250),MID($Q65,750,250))),IF(MID($Q65,751,1)=" ",MID($Q65,750,250),IF(MID($Q65,750,1)=" ",MID($Q65,749,250),MID($Q65,751,250)))))))</f>
        <v/>
      </c>
      <c r="BZ65" s="10" t="str">
        <f t="shared" ref="BZ65:BZ96" si="58">IF(MID($T65,251,1)=" ",MID($T65,1,249),IF(MID($T65,250,1)=" ",MID($T65,1,248),MID($T65,1,250)))</f>
        <v>Ingrédients : thé vert*, arômes naturels de (amande* 8%, rose* 2%), feuilles de cannelier* 5%, cannelle*, cardamome*, fenouil*, amandes effilées* 3%, pétales de rose* 1%, pétales de fleurs*. *Issu de l'agriculture biologique.</v>
      </c>
      <c r="CA65" s="10" t="str">
        <f t="shared" ref="CA65:CA96" si="59">IF(MID($T65,251,1)=" ",IF(MID($T65,500,1)=" ",MID($T65,250,249),IF(MID($T65,499,1)=" ",MID($T65,250,248),MID($T65,250,250))),IF(MID($T65,250,1)=" ",IF(MID($T65,499,1)=" ",MID($T65,249,249),IF(MID($T65,498,1)=" ",MID($T65,249,248),MID($T65,249,250))),IF(MID($T65,501,1)=" ",MID($T65,251,249),IF(MID($T65,500,1)=" ",MID($T65,251,248),MID($T65,251,250)))))</f>
        <v/>
      </c>
      <c r="CB65" s="10" t="str">
        <f t="shared" ref="CB65:CB96" si="60">IF(MID($T65,251,1)=" ",IF(MID($T65,500,1)=" ",IF(MID($T65,749,1)=" ",MID($T65,499,249),IF(MID($T65,748,1)=" ",MID($T65,499,248),MID($T65,499,250))),IF(MID($T65,499,1)=" ",IF(MID($T65,748,1)=" ",MID($T65,498,249),IF(MID($T65,747,1)=" ",MID($T65,498,248),MID($T65,498,250))),IF(MID($T65,750,1)=" ",MID($T65,500,249),IF(MID($T65,749,1)=" ",MID($T65,500,248),MID($T65,500,250))))),IF(MID($T65,250,1)=" ",IF(MID($T65,499,1)=" ",IF(MID($T65,746,1)=" ",MID($T65,498,247),IF(MID($T65,745,1)=" ",MID($T65,498,246),MID($T65,498,248))),IF(MID($T65,498,1)=" ",IF(MID($T65,745,1)=" ",MID($T65,497,247),IF(MID($T65,744,1)=" ",MID($T65,497,246),MID($T65,497,248))),IF(MID($T65,749,1)=" ",MID($T65,499,249),IF(MID($T65,748,1)=" ",MID($T65,499,248),MID($T65,499,250))))),IF(MID($T65,501,1)=" ",IF(MID($T65,750,1)=" ",MID($T65,500,249),IF(MID($T65,749,1)=" ",MID($T65,500,248),MID($T65,500,250))),IF(MID($T65,500,1)=" ",IF(MID($T65,749,1)=" ",MID($T65,499,249),IF(MID($T65,750,1)=" ",MID($T65,499,249),MID($T65,499,250))),IF(MID($T65,751,1)=" ",MID($T65,501,249),IF(MID($T65,750,1)=" ",MID($T65,501,248),MID($T65,501,250)))))))</f>
        <v/>
      </c>
      <c r="CC65" s="10" t="str">
        <f t="shared" ref="CC65:CC96" si="61">IF(MID($T65,251,1)=" ",IF(MID($T65,500,1)=" ",IF(MID($T65,749,1)=" ",MID($T65,748,250),IF(MID($T65,748,1)=" ",MID($T65,747,250),MID($T65,749,250))),IF(MID($T65,499,1)=" ",IF(MID($T65,748,1)=" ",MID($T65,747,250),IF(MID($T65,747,1)=" ",MID($T65,746,250),MID($T65,748,250))),IF(MID($T65,750,1)=" ",MID($T65,749,250),IF(MID($T65,749,1)=" ",MID($T65,748,250),MID($T65,750,250))))),IF(MID($T65,250,1)=" ",IF(MID($T65,499,1)=" ",IF(MID($T65,746,1)=" ",MID($T65,745,250),IF(MID($T65,745,1)=" ",MID($T65,744,250),MID($T65,746,250))),IF(MID($T65,498,1)=" ",IF(MID($T65,745,1)=" ",MID($T65,744,250),IF(MID($T65,744,1)=" ",MID($T65,743,250),MID($T65,745,250))),IF(MID($T65,749,1)=" ",MID($T65,748,250),IF(MID($T65,748,1)=" ",MID($T65,747,250),MID($T65,749,250))))),IF(MID($T65,501,1)=" ",IF(MID($T65,750,1)=" ",MID($T65,749,250),IF(MID($T65,749,1)=" ",MID($T65,748,250),MID($T65,750,250))),IF(MID($T65,500,1)=" ",IF(MID($T65,749,1)=" ",MID($T65,748,250),IF(MID($T65,750,1)=" ",MID($T65,749,250),MID($T65,750,250))),IF(MID($T65,751,1)=" ",MID($T65,750,250),IF(MID($T65,750,1)=" ",MID($T65,749,250),MID($T65,751,250)))))))</f>
        <v/>
      </c>
      <c r="CD65" s="10" t="str">
        <f t="shared" ref="CD65:CD96" si="62">IF(MID($V65,251,1)=" ",MID($V65,1,249),IF(MID($V65,250,1)=" ",MID($V65,1,248),MID($V65,1,250)))</f>
        <v>/</v>
      </c>
      <c r="CE65" s="10" t="str">
        <f t="shared" ref="CE65:CE96" si="63">IF(MID($V65,251,1)=" ",IF(MID($V65,500,1)=" ",MID($V65,250,249),IF(MID($V65,499,1)=" ",MID($V65,250,248),MID($V65,250,250))),IF(MID($V65,250,1)=" ",IF(MID($V65,499,1)=" ",MID($V65,249,249),IF(MID($V65,498,1)=" ",MID($V65,249,248),MID($V65,249,250))),IF(MID($V65,501,1)=" ",MID($V65,251,249),IF(MID($V65,500,1)=" ",MID($V65,251,248),MID($V65,251,250)))))</f>
        <v/>
      </c>
      <c r="CF65" s="10" t="str">
        <f t="shared" ref="CF65:CF96" si="64">IF(MID($V65,251,1)=" ",IF(MID($V65,500,1)=" ",IF(MID($V65,749,1)=" ",MID($V65,499,249),IF(MID($V65,748,1)=" ",MID($V65,499,248),MID($V65,499,250))),IF(MID($V65,499,1)=" ",IF(MID($V65,748,1)=" ",MID($V65,498,249),IF(MID($V65,747,1)=" ",MID($V65,498,248),MID($V65,498,250))),IF(MID($V65,750,1)=" ",MID($V65,500,249),IF(MID($V65,749,1)=" ",MID($V65,500,248),MID($V65,500,250))))),IF(MID($V65,250,1)=" ",IF(MID($V65,499,1)=" ",IF(MID($V65,746,1)=" ",MID($V65,498,247),IF(MID($V65,745,1)=" ",MID($V65,498,246),MID($V65,498,248))),IF(MID($V65,498,1)=" ",IF(MID($V65,745,1)=" ",MID($V65,497,247),IF(MID($V65,744,1)=" ",MID($V65,497,246),MID($V65,497,248))),IF(MID($V65,749,1)=" ",MID($V65,499,249),IF(MID($V65,748,1)=" ",MID($V65,499,248),MID($V65,499,250))))),IF(MID($V65,501,1)=" ",IF(MID($V65,750,1)=" ",MID($V65,500,249),IF(MID($V65,749,1)=" ",MID($V65,500,248),MID($V65,500,250))),IF(MID($V65,500,1)=" ",IF(MID($V65,749,1)=" ",MID($V65,499,249),IF(MID($V65,750,1)=" ",MID($V65,499,249),MID($V65,499,250))),IF(MID($V65,751,1)=" ",MID($V65,501,249),IF(MID($V65,750,1)=" ",MID($V65,501,248),MID($V65,501,250)))))))</f>
        <v/>
      </c>
      <c r="CG65" s="10" t="str">
        <f t="shared" ref="CG65:CG96" si="65">IF(MID($V65,251,1)=" ",IF(MID($V65,500,1)=" ",IF(MID($V65,749,1)=" ",MID($V65,748,250),IF(MID($V65,748,1)=" ",MID($V65,747,250),MID($V65,749,250))),IF(MID($V65,499,1)=" ",IF(MID($V65,748,1)=" ",MID($V65,747,250),IF(MID($V65,747,1)=" ",MID($V65,746,250),MID($V65,748,250))),IF(MID($V65,750,1)=" ",MID($V65,749,250),IF(MID($V65,749,1)=" ",MID($V65,748,250),MID($V65,750,250))))),IF(MID($V65,250,1)=" ",IF(MID($V65,499,1)=" ",IF(MID($V65,746,1)=" ",MID($V65,745,250),IF(MID($V65,745,1)=" ",MID($V65,744,250),MID($V65,746,250))),IF(MID($V65,498,1)=" ",IF(MID($V65,745,1)=" ",MID($V65,744,250),IF(MID($V65,744,1)=" ",MID($V65,743,250),MID($V65,745,250))),IF(MID($V65,749,1)=" ",MID($V65,748,250),IF(MID($V65,748,1)=" ",MID($V65,747,250),MID($V65,749,250))))),IF(MID($V65,501,1)=" ",IF(MID($V65,750,1)=" ",MID($V65,749,250),IF(MID($V65,749,1)=" ",MID($V65,748,250),MID($V65,750,250))),IF(MID($V65,500,1)=" ",IF(MID($V65,749,1)=" ",MID($V65,748,250),IF(MID($V65,750,1)=" ",MID($V65,749,250),MID($V65,750,250))),IF(MID($V65,751,1)=" ",MID($V65,750,250),IF(MID($V65,750,1)=" ",MID($V65,749,250),MID($V65,751,250)))))))</f>
        <v/>
      </c>
      <c r="CH65" s="10" t="str">
        <f t="shared" ref="CH65:CH96" si="66">IF(MID($W65,251,1)=" ",MID($W65,1,249),IF(MID($W65,250,1)=" ",MID($W65,1,248),MID($W65,1,250)))</f>
        <v>Membre certifié World Fair Trade Organization, Les Jardins de Gaïa s’engagent pour un commerce plus juste et répondent aux exigences du commerce équitable. Pour en savoir plus : www.wfto.com.</v>
      </c>
      <c r="CI65" s="10" t="str">
        <f t="shared" ref="CI65:CI96" si="67">IF(MID($W65,251,1)=" ",IF(MID($W65,500,1)=" ",MID($W65,250,249),IF(MID($W65,499,1)=" ",MID($W65,250,248),MID($W65,250,250))),IF(MID($W65,250,1)=" ",IF(MID($W65,499,1)=" ",MID($W65,249,249),IF(MID($W65,498,1)=" ",MID($W65,249,248),MID($W65,249,250))),IF(MID($W65,501,1)=" ",MID($W65,251,249),IF(MID($W65,500,1)=" ",MID($W65,251,248),MID($W65,251,250)))))</f>
        <v/>
      </c>
      <c r="CJ65" s="10" t="str">
        <f t="shared" ref="CJ65:CJ96" si="68">IF(MID($W65,251,1)=" ",IF(MID($W65,500,1)=" ",IF(MID($W65,749,1)=" ",MID($W65,499,249),IF(MID($W65,748,1)=" ",MID($W65,499,248),MID($W65,499,250))),IF(MID($W65,499,1)=" ",IF(MID($W65,748,1)=" ",MID($W65,498,249),IF(MID($W65,747,1)=" ",MID($W65,498,248),MID($W65,498,250))),IF(MID($W65,750,1)=" ",MID($W65,500,249),IF(MID($W65,749,1)=" ",MID($W65,500,248),MID($W65,500,250))))),IF(MID($W65,250,1)=" ",IF(MID($W65,499,1)=" ",IF(MID($W65,746,1)=" ",MID($W65,498,247),IF(MID($W65,745,1)=" ",MID($W65,498,246),MID($W65,498,248))),IF(MID($W65,498,1)=" ",IF(MID($W65,745,1)=" ",MID($W65,497,247),IF(MID($W65,744,1)=" ",MID($W65,497,246),MID($W65,497,248))),IF(MID($W65,749,1)=" ",MID($W65,499,249),IF(MID($W65,748,1)=" ",MID($W65,499,248),MID($W65,499,250))))),IF(MID($W65,501,1)=" ",IF(MID($W65,750,1)=" ",MID($W65,500,249),IF(MID($W65,749,1)=" ",MID($W65,500,248),MID($W65,500,250))),IF(MID($W65,500,1)=" ",IF(MID($W65,749,1)=" ",MID($W65,499,249),IF(MID($W65,750,1)=" ",MID($W65,499,249),MID($W65,499,250))),IF(MID($W65,751,1)=" ",MID($W65,501,249),IF(MID($W65,750,1)=" ",MID($W65,501,248),MID($W65,501,250)))))))</f>
        <v/>
      </c>
      <c r="CK65" s="10" t="str">
        <f t="shared" ref="CK65:CK96" si="69">IF(MID($W65,251,1)=" ",IF(MID($W65,500,1)=" ",IF(MID($W65,749,1)=" ",MID($W65,748,250),IF(MID($W65,748,1)=" ",MID($W65,747,250),MID($W65,749,250))),IF(MID($W65,499,1)=" ",IF(MID($W65,748,1)=" ",MID($W65,747,250),IF(MID($W65,747,1)=" ",MID($W65,746,250),MID($W65,748,250))),IF(MID($W65,750,1)=" ",MID($W65,749,250),IF(MID($W65,749,1)=" ",MID($W65,748,250),MID($W65,750,250))))),IF(MID($W65,250,1)=" ",IF(MID($W65,499,1)=" ",IF(MID($W65,746,1)=" ",MID($W65,745,250),IF(MID($W65,745,1)=" ",MID($W65,744,250),MID($W65,746,250))),IF(MID($W65,498,1)=" ",IF(MID($W65,745,1)=" ",MID($W65,744,250),IF(MID($W65,744,1)=" ",MID($W65,743,250),MID($W65,745,250))),IF(MID($W65,749,1)=" ",MID($W65,748,250),IF(MID($W65,748,1)=" ",MID($W65,747,250),MID($W65,749,250))))),IF(MID($W65,501,1)=" ",IF(MID($W65,750,1)=" ",MID($W65,749,250),IF(MID($W65,749,1)=" ",MID($W65,748,250),MID($W65,750,250))),IF(MID($W65,500,1)=" ",IF(MID($W65,749,1)=" ",MID($W65,748,250),IF(MID($W65,750,1)=" ",MID($W65,749,250),MID($W65,750,250))),IF(MID($W65,751,1)=" ",MID($W65,750,250),IF(MID($W65,750,1)=" ",MID($W65,749,250),MID($W65,751,250)))))))</f>
        <v/>
      </c>
      <c r="CL65" s="10" t="str">
        <f t="shared" ref="CL65:CL96" si="70">IF(MID($AU65,251,1)=" ",MID($AU65,1,249),IF(MID($AU65,250,1)=" ",MID($AU65,1,248),MID($AU65,1,250)))</f>
        <v>Like the intoxicating scents and vibrant colours that adorn Indian streets, this recipe is a feast for taste buds in search of excitement. After a slightly camphorated vegetal attack, it gives way to notes of almond, cinnamon and rose, full of warmt</v>
      </c>
      <c r="CM65" s="10" t="str">
        <f t="shared" ref="CM65:CM96" si="71">IF(MID($AU65,251,1)=" ",IF(MID($AU65,500,1)=" ",MID($AU65,250,249),IF(MID($AU65,499,1)=" ",MID($AU65,250,248),MID($AU65,250,250))),IF(MID($AU65,250,1)=" ",IF(MID($AU65,499,1)=" ",MID($AU65,249,249),IF(MID($AU65,498,1)=" ",MID($AU65,249,248),MID($AU65,249,250))),IF(MID($AU65,501,1)=" ",MID($AU65,251,249),IF(MID($AU65,500,1)=" ",MID($AU65,251,248),MID($AU65,251,250)))))</f>
        <v>h and indulgence.</v>
      </c>
      <c r="CN65" s="10" t="str">
        <f t="shared" ref="CN65:CN96" si="72">IF(MID($AU65,251,1)=" ",IF(MID($AU65,500,1)=" ",IF(MID($AU65,749,1)=" ",MID($AU65,499,249),IF(MID($AU65,748,1)=" ",MID($AU65,499,248),MID($AU65,499,250))),IF(MID($AU65,499,1)=" ",IF(MID($AU65,748,1)=" ",MID($AU65,498,249),IF(MID($AU65,747,1)=" ",MID($AU65,498,248),MID($AU65,498,250))),IF(MID($AU65,750,1)=" ",MID($AU65,500,249),IF(MID($AU65,749,1)=" ",MID($AU65,500,248),MID($AU65,500,250))))),IF(MID($AU65,250,1)=" ",IF(MID($AU65,499,1)=" ",IF(MID($AU65,746,1)=" ",MID($AU65,498,247),IF(MID($AU65,745,1)=" ",MID($AU65,498,246),MID($AU65,498,248))),IF(MID($AU65,498,1)=" ",IF(MID($AU65,745,1)=" ",MID($AU65,497,247),IF(MID($AU65,744,1)=" ",MID($AU65,497,246),MID($AU65,497,248))),IF(MID($AU65,749,1)=" ",MID($AU65,499,249),IF(MID($AU65,748,1)=" ",MID($AU65,499,248),MID($AU65,499,250))))),IF(MID($AU65,501,1)=" ",IF(MID($AU65,750,1)=" ",MID($AU65,500,249),IF(MID($AU65,749,1)=" ",MID($AU65,500,248),MID($AU65,500,250))),IF(MID($AU65,500,1)=" ",IF(MID($AU65,749,1)=" ",MID($AU65,499,249),IF(MID($AU65,750,1)=" ",MID($AU65,499,249),MID($AU65,499,250))),IF(MID($AU65,751,1)=" ",MID($AU65,501,249),IF(MID($AU65,750,1)=" ",MID($AU65,501,248),MID($AU65,501,250)))))))</f>
        <v/>
      </c>
      <c r="CO65" s="10" t="str">
        <f t="shared" ref="CO65:CO96" si="73">IF(MID($AU65,251,1)=" ",IF(MID($AU65,500,1)=" ",IF(MID($AU65,749,1)=" ",MID($AU65,748,250),IF(MID($AU65,748,1)=" ",MID($AU65,747,250),MID($AU65,749,250))),IF(MID($AU65,499,1)=" ",IF(MID($AU65,748,1)=" ",MID($AU65,747,250),IF(MID($AU65,747,1)=" ",MID($AU65,746,250),MID($AU65,748,250))),IF(MID($AU65,750,1)=" ",MID($AU65,749,250),IF(MID($AU65,749,1)=" ",MID($AU65,748,250),MID($AU65,750,250))))),IF(MID($AU65,250,1)=" ",IF(MID($AU65,499,1)=" ",IF(MID($AU65,746,1)=" ",MID($AU65,745,250),IF(MID($AU65,745,1)=" ",MID($AU65,744,250),MID($AU65,746,250))),IF(MID($AU65,498,1)=" ",IF(MID($AU65,745,1)=" ",MID($AU65,744,250),IF(MID($AU65,744,1)=" ",MID($AU65,743,250),MID($AU65,745,250))),IF(MID($AU65,749,1)=" ",MID($AU65,748,250),IF(MID($AU65,748,1)=" ",MID($AU65,747,250),MID($AU65,749,250))))),IF(MID($AU65,501,1)=" ",IF(MID($AU65,750,1)=" ",MID($AU65,749,250),IF(MID($AU65,749,1)=" ",MID($AU65,748,250),MID($AU65,750,250))),IF(MID($AU65,500,1)=" ",IF(MID($AU65,749,1)=" ",MID($AU65,748,250),IF(MID($AU65,750,1)=" ",MID($AU65,749,250),MID($AU65,750,250))),IF(MID($AU65,751,1)=" ",MID($AU65,750,250),IF(MID($AU65,750,1)=" ",MID($AU65,749,250),MID($AU65,751,250)))))))</f>
        <v/>
      </c>
      <c r="CP65" s="10" t="str">
        <f t="shared" ref="CP65:CP96" si="74">IF(MID($AV65,251,1)=" ",MID($AV65,1,249),IF(MID($AV65,250,1)=" ",MID($AV65,1,248),MID($AV65,1,250)))</f>
        <v xml:space="preserve">Ingredients: green tea*, natural (almond* 8%, rose* 2%) flavourings, cinnamon leaves* 5%, cinnamon*, cardamom*, fennel*, flaked almonds* 3%, rose petals* 1%, flower petals*. *From organic farming. </v>
      </c>
      <c r="CQ65" s="10" t="str">
        <f t="shared" ref="CQ65:CQ96" si="75">IF(MID($AV65,251,1)=" ",IF(MID($AV65,500,1)=" ",MID($AV65,250,249),IF(MID($AV65,499,1)=" ",MID($AV65,250,248),MID($AV65,250,250))),IF(MID($AV65,250,1)=" ",IF(MID($AV65,499,1)=" ",MID($AV65,249,249),IF(MID($AV65,498,1)=" ",MID($AV65,249,248),MID($AV65,249,250))),IF(MID($AV65,501,1)=" ",MID($AV65,251,249),IF(MID($AV65,500,1)=" ",MID($AV65,251,248),MID($AV65,251,250)))))</f>
        <v/>
      </c>
      <c r="CR65" s="10" t="str">
        <f t="shared" ref="CR65:CR96" si="76">IF(MID($AV65,251,1)=" ",IF(MID($AV65,500,1)=" ",IF(MID($AV65,749,1)=" ",MID($AV65,499,249),IF(MID($AV65,748,1)=" ",MID($AV65,499,248),MID($AV65,499,250))),IF(MID($AV65,499,1)=" ",IF(MID($AV65,748,1)=" ",MID($AV65,498,249),IF(MID($AV65,747,1)=" ",MID($AV65,498,248),MID($AV65,498,250))),IF(MID($AV65,750,1)=" ",MID($AV65,500,249),IF(MID($AV65,749,1)=" ",MID($AV65,500,248),MID($AV65,500,250))))),IF(MID($AV65,250,1)=" ",IF(MID($AV65,499,1)=" ",IF(MID($AV65,746,1)=" ",MID($AV65,498,247),IF(MID($AV65,745,1)=" ",MID($AV65,498,246),MID($AV65,498,248))),IF(MID($AV65,498,1)=" ",IF(MID($AV65,745,1)=" ",MID($AV65,497,247),IF(MID($AV65,744,1)=" ",MID($AV65,497,246),MID($AV65,497,248))),IF(MID($AV65,749,1)=" ",MID($AV65,499,249),IF(MID($AV65,748,1)=" ",MID($AV65,499,248),MID($AV65,499,250))))),IF(MID($AV65,501,1)=" ",IF(MID($AV65,750,1)=" ",MID($AV65,500,249),IF(MID($AV65,749,1)=" ",MID($AV65,500,248),MID($AV65,500,250))),IF(MID($AV65,500,1)=" ",IF(MID($AV65,749,1)=" ",MID($AV65,499,249),IF(MID($AV65,750,1)=" ",MID($AV65,499,249),MID($AV65,499,250))),IF(MID($AV65,751,1)=" ",MID($AV65,501,249),IF(MID($AV65,750,1)=" ",MID($AV65,501,248),MID($AV65,501,250)))))))</f>
        <v/>
      </c>
      <c r="CS65" s="10" t="str">
        <f t="shared" ref="CS65:CS96" si="77">IF(MID($AV65,251,1)=" ",IF(MID($AV65,500,1)=" ",IF(MID($AV65,749,1)=" ",MID($AV65,748,250),IF(MID($AV65,748,1)=" ",MID($AV65,747,250),MID($AV65,749,250))),IF(MID($AV65,499,1)=" ",IF(MID($AV65,748,1)=" ",MID($AV65,747,250),IF(MID($AV65,747,1)=" ",MID($AV65,746,250),MID($AV65,748,250))),IF(MID($AV65,750,1)=" ",MID($AV65,749,250),IF(MID($AV65,749,1)=" ",MID($AV65,748,250),MID($AV65,750,250))))),IF(MID($AV65,250,1)=" ",IF(MID($AV65,499,1)=" ",IF(MID($AV65,746,1)=" ",MID($AV65,745,250),IF(MID($AV65,745,1)=" ",MID($AV65,744,250),MID($AV65,746,250))),IF(MID($AV65,498,1)=" ",IF(MID($AV65,745,1)=" ",MID($AV65,744,250),IF(MID($AV65,744,1)=" ",MID($AV65,743,250),MID($AV65,745,250))),IF(MID($AV65,749,1)=" ",MID($AV65,748,250),IF(MID($AV65,748,1)=" ",MID($AV65,747,250),MID($AV65,749,250))))),IF(MID($AV65,501,1)=" ",IF(MID($AV65,750,1)=" ",MID($AV65,749,250),IF(MID($AV65,749,1)=" ",MID($AV65,748,250),MID($AV65,750,250))),IF(MID($AV65,500,1)=" ",IF(MID($AV65,749,1)=" ",MID($AV65,748,250),IF(MID($AV65,750,1)=" ",MID($AV65,749,250),MID($AV65,750,250))),IF(MID($AV65,751,1)=" ",MID($AV65,750,250),IF(MID($AV65,750,1)=" ",MID($AV65,749,250),MID($AV65,751,250)))))))</f>
        <v/>
      </c>
      <c r="CT65" s="10" t="str">
        <f t="shared" ref="CT65:CT96" si="78">IF(MID($AX65,251,1)=" ",MID($AX65,1,249),IF(MID($AX65,250,1)=" ",MID($AX65,1,248),MID($AX65,1,250)))</f>
        <v/>
      </c>
      <c r="CU65" s="10" t="str">
        <f t="shared" ref="CU65:CU96" si="79">IF(MID($AX65,251,1)=" ",IF(MID($AX65,500,1)=" ",MID($AX65,250,249),IF(MID($AX65,499,1)=" ",MID($AX65,250,248),MID($AX65,250,250))),IF(MID($AX65,250,1)=" ",IF(MID($AX65,499,1)=" ",MID($AX65,249,249),IF(MID($AX65,498,1)=" ",MID($AX65,249,248),MID($AX65,249,250))),IF(MID($AX65,501,1)=" ",MID($AX65,251,249),IF(MID($AX65,500,1)=" ",MID($AX65,251,248),MID($AX65,251,250)))))</f>
        <v/>
      </c>
      <c r="CV65" s="10" t="str">
        <f t="shared" ref="CV65:CV96" si="80">IF(MID($AX65,251,1)=" ",IF(MID($AX65,500,1)=" ",IF(MID($AX65,749,1)=" ",MID($AX65,499,249),IF(MID($AX65,748,1)=" ",MID($AX65,499,248),MID($AX65,499,250))),IF(MID($AX65,499,1)=" ",IF(MID($AX65,748,1)=" ",MID($AX65,498,249),IF(MID($AX65,747,1)=" ",MID($AX65,498,248),MID($AX65,498,250))),IF(MID($AX65,750,1)=" ",MID($AX65,500,249),IF(MID($AX65,749,1)=" ",MID($AX65,500,248),MID($AX65,500,250))))),IF(MID($AX65,250,1)=" ",IF(MID($AX65,499,1)=" ",IF(MID($AX65,746,1)=" ",MID($AX65,498,247),IF(MID($AX65,745,1)=" ",MID($AX65,498,246),MID($AX65,498,248))),IF(MID($AX65,498,1)=" ",IF(MID($AX65,745,1)=" ",MID($AX65,497,247),IF(MID($AX65,744,1)=" ",MID($AX65,497,246),MID($AX65,497,248))),IF(MID($AX65,749,1)=" ",MID($AX65,499,249),IF(MID($AX65,748,1)=" ",MID($AX65,499,248),MID($AX65,499,250))))),IF(MID($AX65,501,1)=" ",IF(MID($AX65,750,1)=" ",MID($AX65,500,249),IF(MID($AX65,749,1)=" ",MID($AX65,500,248),MID($AX65,500,250))),IF(MID($AX65,500,1)=" ",IF(MID($AX65,749,1)=" ",MID($AX65,499,249),IF(MID($AX65,750,1)=" ",MID($AX65,499,249),MID($AX65,499,250))),IF(MID($AX65,751,1)=" ",MID($AX65,501,249),IF(MID($AX65,750,1)=" ",MID($AX65,501,248),MID($AX65,501,250)))))))</f>
        <v/>
      </c>
      <c r="CW65" s="10" t="str">
        <f t="shared" ref="CW65:CW96" si="81">IF(MID($AX65,251,1)=" ",IF(MID($AX65,500,1)=" ",IF(MID($AX65,749,1)=" ",MID($AX65,748,250),IF(MID($AX65,748,1)=" ",MID($AX65,747,250),MID($AX65,749,250))),IF(MID($AX65,499,1)=" ",IF(MID($AX65,748,1)=" ",MID($AX65,747,250),IF(MID($AX65,747,1)=" ",MID($AX65,746,250),MID($AX65,748,250))),IF(MID($AX65,750,1)=" ",MID($AX65,749,250),IF(MID($AX65,749,1)=" ",MID($AX65,748,250),MID($AX65,750,250))))),IF(MID($AX65,250,1)=" ",IF(MID($AX65,499,1)=" ",IF(MID($AX65,746,1)=" ",MID($AX65,745,250),IF(MID($AX65,745,1)=" ",MID($AX65,744,250),MID($AX65,746,250))),IF(MID($AX65,498,1)=" ",IF(MID($AX65,745,1)=" ",MID($AX65,744,250),IF(MID($AX65,744,1)=" ",MID($AX65,743,250),MID($AX65,745,250))),IF(MID($AX65,749,1)=" ",MID($AX65,748,250),IF(MID($AX65,748,1)=" ",MID($AX65,747,250),MID($AX65,749,250))))),IF(MID($AX65,501,1)=" ",IF(MID($AX65,750,1)=" ",MID($AX65,749,250),IF(MID($AX65,749,1)=" ",MID($AX65,748,250),MID($AX65,750,250))),IF(MID($AX65,500,1)=" ",IF(MID($AX65,749,1)=" ",MID($AX65,748,250),IF(MID($AX65,750,1)=" ",MID($AX65,749,250),MID($AX65,750,250))),IF(MID($AX65,751,1)=" ",MID($AX65,750,250),IF(MID($AX65,750,1)=" ",MID($AX65,749,250),MID($AX65,751,250)))))))</f>
        <v/>
      </c>
    </row>
    <row r="66" spans="1:101" ht="109.2">
      <c r="A66" s="129" t="s">
        <v>412</v>
      </c>
      <c r="B66" s="9" t="s">
        <v>787</v>
      </c>
      <c r="C66" s="9" t="s">
        <v>795</v>
      </c>
      <c r="D66" s="8" t="s">
        <v>409</v>
      </c>
      <c r="E66" s="9" t="s">
        <v>983</v>
      </c>
      <c r="F66" s="9" t="s">
        <v>57</v>
      </c>
      <c r="G66" s="10" t="s">
        <v>61</v>
      </c>
      <c r="H66" s="10" t="s">
        <v>5</v>
      </c>
      <c r="I66" s="10" t="s">
        <v>6</v>
      </c>
      <c r="J66" s="10" t="s">
        <v>29</v>
      </c>
      <c r="K66" s="10" t="s">
        <v>8</v>
      </c>
      <c r="L66" s="10" t="s">
        <v>29</v>
      </c>
      <c r="M66" s="10" t="s">
        <v>29</v>
      </c>
      <c r="N66" s="10" t="s">
        <v>37</v>
      </c>
      <c r="O66" s="9"/>
      <c r="P66" s="9" t="s">
        <v>410</v>
      </c>
      <c r="Q66" s="60" t="s">
        <v>984</v>
      </c>
      <c r="R66" s="60"/>
      <c r="S66" s="39" t="s">
        <v>796</v>
      </c>
      <c r="T66" s="9" t="s">
        <v>411</v>
      </c>
      <c r="U66"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66" s="8" t="s">
        <v>29</v>
      </c>
      <c r="W66" s="9" t="s">
        <v>31</v>
      </c>
      <c r="X66" s="10">
        <v>100</v>
      </c>
      <c r="Y66" s="11" t="s">
        <v>59</v>
      </c>
      <c r="Z66" s="19">
        <v>80</v>
      </c>
      <c r="AA66" s="10">
        <v>2</v>
      </c>
      <c r="AB66" s="12">
        <v>50</v>
      </c>
      <c r="AC66" s="12">
        <v>3582810361726</v>
      </c>
      <c r="AD66" s="10" t="s">
        <v>29</v>
      </c>
      <c r="AE66" s="10" t="s">
        <v>413</v>
      </c>
      <c r="AF66" s="10" t="s">
        <v>985</v>
      </c>
      <c r="AG66" s="10" t="s">
        <v>986</v>
      </c>
      <c r="AH66" s="20" t="s">
        <v>38</v>
      </c>
      <c r="AI66" s="54" t="s">
        <v>776</v>
      </c>
      <c r="AJ66" s="54" t="s">
        <v>776</v>
      </c>
      <c r="AK66" s="55">
        <v>45758</v>
      </c>
      <c r="AL66" s="10"/>
      <c r="AM66" s="10"/>
      <c r="AN66" s="10"/>
      <c r="AO66" s="10"/>
      <c r="AP66" s="10"/>
      <c r="AQ66" s="51" t="s">
        <v>1330</v>
      </c>
      <c r="AR66" s="51" t="s">
        <v>1331</v>
      </c>
      <c r="AS66" s="82" t="s">
        <v>1555</v>
      </c>
      <c r="AT66" s="9" t="s">
        <v>61</v>
      </c>
      <c r="AU66" s="140" t="s">
        <v>1332</v>
      </c>
      <c r="AV66" s="82" t="s">
        <v>1333</v>
      </c>
      <c r="AW66" s="52"/>
      <c r="AX66" s="51"/>
      <c r="AY66" s="51"/>
      <c r="AZ66" s="51"/>
      <c r="BA66" s="51"/>
      <c r="BB66" s="51"/>
      <c r="BC66" s="51"/>
      <c r="BD66" s="51"/>
      <c r="BE66" s="51"/>
      <c r="BF66" s="92"/>
      <c r="BG66" s="92"/>
      <c r="BH66" s="92"/>
      <c r="BI66" s="92"/>
      <c r="BJ66" s="92"/>
      <c r="BK66" s="92"/>
      <c r="BL66" s="92"/>
      <c r="BN66" s="7" t="str">
        <f>IF(IFERROR(FIND("romatis",TableauJDG[[#This Row],[TYPE DE THÉ FR]]),0)=0,"","aromatisé")</f>
        <v>aromatisé</v>
      </c>
      <c r="BV66" s="10" t="str">
        <f t="shared" ref="BV66:BV97" si="82">IF(MID($Q66,251,1)=" ",MID($Q66,1,249),IF(MID($Q66,250,1)=" ",MID($Q66,1,248),MID($Q66,1,250)))</f>
        <v>Cette recette tonique et inattendue associe la fraîcheur du thé vert issu de théiers anciens du Vietnam aux notes fraîches, acidulées et épicées du délicieux duo citron-basilic. Un mariage aux   accords enthousiasmants et savoureux, idéal pour prendr</v>
      </c>
      <c r="BW66" s="10" t="str">
        <f t="shared" ref="BW66:BW97" si="83">IF(MID($Q66,251,1)=" ",IF(MID($Q66,500,1)=" ",MID($Q66,250,249),IF(MID($Q66,499,1)=" ",MID($Q66,250,248),MID($Q66,250,250))),IF(MID($Q66,250,1)=" ",IF(MID($Q66,499,1)=" ",MID($Q66,249,249),IF(MID($Q66,498,1)=" ",MID($Q66,249,248),MID($Q66,249,250))),IF(MID($Q66,501,1)=" ",MID($Q66,251,249),IF(MID($Q66,500,1)=" ",MID($Q66,251,248),MID($Q66,251,250)))))</f>
        <v>e son envol et oser donner vie au songe du colibri.</v>
      </c>
      <c r="BX66" s="10" t="str">
        <f t="shared" si="56"/>
        <v/>
      </c>
      <c r="BY66" s="10" t="str">
        <f t="shared" si="57"/>
        <v/>
      </c>
      <c r="BZ66" s="10" t="str">
        <f t="shared" si="58"/>
        <v xml:space="preserve">Ingrédients : thé vert*, basilic* 12%, pétales de souci*, huile essentielle de citron* 2%. *Issu de l'agriculture biologique. </v>
      </c>
      <c r="CA66" s="10" t="str">
        <f t="shared" si="59"/>
        <v/>
      </c>
      <c r="CB66" s="10" t="str">
        <f t="shared" si="60"/>
        <v/>
      </c>
      <c r="CC66" s="10" t="str">
        <f t="shared" si="61"/>
        <v/>
      </c>
      <c r="CD66" s="10" t="str">
        <f t="shared" si="62"/>
        <v>/</v>
      </c>
      <c r="CE66" s="10" t="str">
        <f t="shared" si="63"/>
        <v/>
      </c>
      <c r="CF66" s="10" t="str">
        <f t="shared" si="64"/>
        <v/>
      </c>
      <c r="CG66" s="10" t="str">
        <f t="shared" si="65"/>
        <v/>
      </c>
      <c r="CH66" s="10" t="str">
        <f t="shared" si="66"/>
        <v>Membre certifié World Fair Trade Organization, Les Jardins de Gaïa s’engagent pour un commerce plus juste et répondent aux exigences du commerce équitable. Pour en savoir plus : www.wfto.com.</v>
      </c>
      <c r="CI66" s="10" t="str">
        <f t="shared" si="67"/>
        <v/>
      </c>
      <c r="CJ66" s="10" t="str">
        <f t="shared" si="68"/>
        <v/>
      </c>
      <c r="CK66" s="10" t="str">
        <f t="shared" si="69"/>
        <v/>
      </c>
      <c r="CL66" s="10" t="str">
        <f t="shared" si="70"/>
        <v>This unexpectedly invigorating recipe combines the freshness of green tea from ancient Vietnamese tea bushes with the fresh, tangy, spicy notes of a delicious lemon-basil duo. An exciting and delicious combination, ideal for taking off and daring t</v>
      </c>
      <c r="CM66" s="10" t="str">
        <f t="shared" si="71"/>
        <v>o bring the hummingbird's reverie to life.</v>
      </c>
      <c r="CN66" s="10" t="str">
        <f t="shared" si="72"/>
        <v/>
      </c>
      <c r="CO66" s="10" t="str">
        <f t="shared" si="73"/>
        <v/>
      </c>
      <c r="CP66" s="10" t="str">
        <f t="shared" si="74"/>
        <v xml:space="preserve">Ingredients: green tea*, basil* 12%, marigold petals*, lemon essential oil* 2%. *From organic farming. </v>
      </c>
      <c r="CQ66" s="10" t="str">
        <f t="shared" si="75"/>
        <v/>
      </c>
      <c r="CR66" s="10" t="str">
        <f t="shared" si="76"/>
        <v/>
      </c>
      <c r="CS66" s="10" t="str">
        <f t="shared" si="77"/>
        <v/>
      </c>
      <c r="CT66" s="10" t="str">
        <f t="shared" si="78"/>
        <v/>
      </c>
      <c r="CU66" s="10" t="str">
        <f t="shared" si="79"/>
        <v/>
      </c>
      <c r="CV66" s="10" t="str">
        <f t="shared" si="80"/>
        <v/>
      </c>
      <c r="CW66" s="10" t="str">
        <f t="shared" si="81"/>
        <v/>
      </c>
    </row>
    <row r="67" spans="1:101" ht="115.2">
      <c r="A67" s="129" t="s">
        <v>954</v>
      </c>
      <c r="B67" s="9" t="s">
        <v>779</v>
      </c>
      <c r="C67" s="9"/>
      <c r="D67" s="8" t="s">
        <v>949</v>
      </c>
      <c r="E67" s="9" t="s">
        <v>950</v>
      </c>
      <c r="F67" s="9" t="s">
        <v>951</v>
      </c>
      <c r="G67" s="9" t="s">
        <v>61</v>
      </c>
      <c r="H67" s="10" t="s">
        <v>5</v>
      </c>
      <c r="I67" s="10" t="s">
        <v>6</v>
      </c>
      <c r="J67" s="10" t="s">
        <v>29</v>
      </c>
      <c r="K67" s="10" t="s">
        <v>29</v>
      </c>
      <c r="L67" s="10" t="s">
        <v>29</v>
      </c>
      <c r="M67" s="10" t="s">
        <v>29</v>
      </c>
      <c r="N67" s="10" t="s">
        <v>37</v>
      </c>
      <c r="O67" s="9" t="s">
        <v>780</v>
      </c>
      <c r="P67" s="25" t="s">
        <v>29</v>
      </c>
      <c r="Q67" s="98" t="s">
        <v>952</v>
      </c>
      <c r="R67" s="26"/>
      <c r="S67" s="95" t="s">
        <v>1635</v>
      </c>
      <c r="T67" s="9" t="s">
        <v>953</v>
      </c>
      <c r="U67"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67" s="9"/>
      <c r="W67" s="9" t="s">
        <v>31</v>
      </c>
      <c r="X67" s="10">
        <v>80</v>
      </c>
      <c r="Y67" s="11" t="s">
        <v>59</v>
      </c>
      <c r="Z67" s="19">
        <v>85</v>
      </c>
      <c r="AA67" s="10">
        <v>2</v>
      </c>
      <c r="AB67" s="10">
        <v>40</v>
      </c>
      <c r="AC67" s="12">
        <v>3582810362624</v>
      </c>
      <c r="AD67" s="10"/>
      <c r="AE67" s="20" t="s">
        <v>1735</v>
      </c>
      <c r="AF67" s="10" t="s">
        <v>955</v>
      </c>
      <c r="AG67" s="10" t="s">
        <v>956</v>
      </c>
      <c r="AH67" s="20"/>
      <c r="AI67" s="54" t="s">
        <v>776</v>
      </c>
      <c r="AJ67" s="54" t="s">
        <v>776</v>
      </c>
      <c r="AK67" s="55">
        <v>45758</v>
      </c>
      <c r="AL67" s="10"/>
      <c r="AM67" s="10"/>
      <c r="AN67" s="10"/>
      <c r="AO67" s="50" t="s">
        <v>774</v>
      </c>
      <c r="AP67" s="44" t="s">
        <v>1623</v>
      </c>
      <c r="AQ67" s="51" t="s">
        <v>1344</v>
      </c>
      <c r="AR67" s="51" t="s">
        <v>1345</v>
      </c>
      <c r="AS67" s="87" t="s">
        <v>1555</v>
      </c>
      <c r="AT67" s="87" t="e">
        <f>VLOOKUP(A67,TRADS,14,0)</f>
        <v>#REF!</v>
      </c>
      <c r="AU67" s="141" t="s">
        <v>1586</v>
      </c>
      <c r="AV67" s="87" t="s">
        <v>1346</v>
      </c>
      <c r="AW67" s="87"/>
      <c r="AX67" s="114" t="s">
        <v>29</v>
      </c>
      <c r="AY67" s="51" t="e">
        <v>#N/A</v>
      </c>
      <c r="AZ67" s="51" t="e">
        <v>#N/A</v>
      </c>
      <c r="BA67" s="51" t="s">
        <v>1636</v>
      </c>
      <c r="BB67" s="51" t="s">
        <v>1642</v>
      </c>
      <c r="BC67" s="51" t="s">
        <v>1573</v>
      </c>
      <c r="BD67" s="51" t="s">
        <v>1287</v>
      </c>
      <c r="BE67" s="51"/>
      <c r="BF67" s="92"/>
      <c r="BG67" s="92"/>
      <c r="BH67" s="92"/>
      <c r="BI67" s="92"/>
      <c r="BJ67" s="92"/>
      <c r="BK67" s="92"/>
      <c r="BL67" s="92"/>
      <c r="BM67" s="93">
        <v>1</v>
      </c>
      <c r="BN67" s="7" t="str">
        <f>IF(IFERROR(FIND("romatis",TableauJDG[[#This Row],[TYPE DE THÉ FR]]),0)=0,"","aromatisé")</f>
        <v>aromatisé</v>
      </c>
      <c r="BV67" s="10" t="str">
        <f t="shared" si="82"/>
        <v>Cette recette à base d’un thé vert venu à la voile du Vietnam porte en elle le souffle inspirant des mers. Tel un voyage empreint d’exotisme, sa dégustation est bercée par des saveurs intensément fruitées de grenade et de fruit de la passion sur un f</v>
      </c>
      <c r="BW67" s="10" t="str">
        <f t="shared" si="83"/>
        <v>ond délicieusement épicé de cardamome.</v>
      </c>
      <c r="BX67" s="10" t="str">
        <f t="shared" si="56"/>
        <v/>
      </c>
      <c r="BY67" s="10" t="str">
        <f t="shared" si="57"/>
        <v/>
      </c>
      <c r="BZ67" s="10" t="str">
        <f t="shared" si="58"/>
        <v>Ingrédients : thé vert*, écorces de grenade* 20%, arômes naturels de (grenade* 6%, fruit de la passion* 4%), cardamome* 5%, lemongrass*, passiflore* 3%. *Issu de l’agriculture biologique.</v>
      </c>
      <c r="CA67" s="10" t="str">
        <f t="shared" si="59"/>
        <v/>
      </c>
      <c r="CB67" s="10" t="str">
        <f t="shared" si="60"/>
        <v/>
      </c>
      <c r="CC67" s="10" t="str">
        <f t="shared" si="61"/>
        <v/>
      </c>
      <c r="CD67" s="10" t="str">
        <f t="shared" si="62"/>
        <v/>
      </c>
      <c r="CE67" s="10" t="str">
        <f t="shared" si="63"/>
        <v/>
      </c>
      <c r="CF67" s="10" t="str">
        <f t="shared" si="64"/>
        <v/>
      </c>
      <c r="CG67" s="10" t="str">
        <f t="shared" si="65"/>
        <v/>
      </c>
      <c r="CH67" s="10" t="str">
        <f t="shared" si="66"/>
        <v>Membre certifié World Fair Trade Organization, Les Jardins de Gaïa s’engagent pour un commerce plus juste et répondent aux exigences du commerce équitable. Pour en savoir plus : www.wfto.com.</v>
      </c>
      <c r="CI67" s="10" t="str">
        <f t="shared" si="67"/>
        <v/>
      </c>
      <c r="CJ67" s="10" t="str">
        <f t="shared" si="68"/>
        <v/>
      </c>
      <c r="CK67" s="10" t="str">
        <f t="shared" si="69"/>
        <v/>
      </c>
      <c r="CL67" s="10" t="str">
        <f t="shared" si="70"/>
        <v>This recipe, based on a green tea sailed from Vietnam, carries with it the inspiring breath of the seas. Like an exotic voyage, its tasting is lulled by intensely fruity flavours of pomegranate and passion fruit on a deliciously spicy cardamom backgr</v>
      </c>
      <c r="CM67" s="10" t="str">
        <f t="shared" si="71"/>
        <v>ound.</v>
      </c>
      <c r="CN67" s="10" t="str">
        <f t="shared" si="72"/>
        <v/>
      </c>
      <c r="CO67" s="10" t="str">
        <f t="shared" si="73"/>
        <v/>
      </c>
      <c r="CP67" s="10" t="str">
        <f t="shared" si="74"/>
        <v>Ingredients: green tea*, pomegranate peels* 20%, natural (pomegranate* 6%, passion fruit* 4%) flavourings, cardamom* 5%, lemongrass*, passion flower* 3%. *From organic farming.</v>
      </c>
      <c r="CQ67" s="10" t="str">
        <f t="shared" si="75"/>
        <v/>
      </c>
      <c r="CR67" s="10" t="str">
        <f t="shared" si="76"/>
        <v/>
      </c>
      <c r="CS67" s="10" t="str">
        <f t="shared" si="77"/>
        <v/>
      </c>
      <c r="CT67" s="10" t="str">
        <f t="shared" si="78"/>
        <v>/</v>
      </c>
      <c r="CU67" s="10" t="str">
        <f t="shared" si="79"/>
        <v/>
      </c>
      <c r="CV67" s="10" t="str">
        <f t="shared" si="80"/>
        <v/>
      </c>
      <c r="CW67" s="10" t="str">
        <f t="shared" si="81"/>
        <v/>
      </c>
    </row>
    <row r="68" spans="1:101" ht="100.8">
      <c r="A68" s="129" t="s">
        <v>418</v>
      </c>
      <c r="B68" s="9" t="s">
        <v>26</v>
      </c>
      <c r="C68" s="9"/>
      <c r="D68" s="8" t="s">
        <v>414</v>
      </c>
      <c r="E68" s="9" t="s">
        <v>415</v>
      </c>
      <c r="F68" s="9" t="s">
        <v>81</v>
      </c>
      <c r="G68" s="9" t="s">
        <v>54</v>
      </c>
      <c r="H68" s="10" t="s">
        <v>5</v>
      </c>
      <c r="I68" s="10" t="s">
        <v>29</v>
      </c>
      <c r="J68" s="10" t="s">
        <v>29</v>
      </c>
      <c r="K68" s="10" t="s">
        <v>29</v>
      </c>
      <c r="L68" s="10" t="s">
        <v>29</v>
      </c>
      <c r="M68" s="10" t="s">
        <v>29</v>
      </c>
      <c r="N68" s="10" t="s">
        <v>46</v>
      </c>
      <c r="O68" s="9"/>
      <c r="P68" s="9" t="s">
        <v>416</v>
      </c>
      <c r="Q68" s="57" t="s">
        <v>987</v>
      </c>
      <c r="R68" s="57"/>
      <c r="S68" s="9"/>
      <c r="T68" s="9" t="s">
        <v>417</v>
      </c>
      <c r="U68"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68" s="9" t="s">
        <v>29</v>
      </c>
      <c r="W68" s="9" t="s">
        <v>29</v>
      </c>
      <c r="X68" s="10">
        <v>100</v>
      </c>
      <c r="Y68" s="19" t="s">
        <v>32</v>
      </c>
      <c r="Z68" s="19">
        <v>75</v>
      </c>
      <c r="AA68" s="10">
        <v>2</v>
      </c>
      <c r="AB68" s="10">
        <v>50</v>
      </c>
      <c r="AC68" s="12">
        <v>3582814120121</v>
      </c>
      <c r="AD68" s="10" t="s">
        <v>29</v>
      </c>
      <c r="AE68" s="10" t="s">
        <v>419</v>
      </c>
      <c r="AF68" s="10" t="s">
        <v>988</v>
      </c>
      <c r="AG68" s="10" t="s">
        <v>989</v>
      </c>
      <c r="AH68" s="20" t="s">
        <v>54</v>
      </c>
      <c r="AI68" s="54" t="s">
        <v>776</v>
      </c>
      <c r="AJ68" s="54" t="s">
        <v>776</v>
      </c>
      <c r="AK68" s="55">
        <v>45306</v>
      </c>
      <c r="AL68" s="10"/>
      <c r="AM68" s="10">
        <v>25024</v>
      </c>
      <c r="AN68" s="10"/>
      <c r="AO68" s="50" t="s">
        <v>774</v>
      </c>
      <c r="AP68" s="50" t="s">
        <v>1591</v>
      </c>
      <c r="AQ68" s="51" t="s">
        <v>1452</v>
      </c>
      <c r="AR68" s="51" t="s">
        <v>1252</v>
      </c>
      <c r="AS68" s="87" t="s">
        <v>1559</v>
      </c>
      <c r="AT68" s="87" t="e">
        <f>VLOOKUP(A68,TRADS,14,0)</f>
        <v>#REF!</v>
      </c>
      <c r="AU68" s="87" t="s">
        <v>1453</v>
      </c>
      <c r="AV68" s="87" t="s">
        <v>1454</v>
      </c>
      <c r="AW68" s="87"/>
      <c r="AX68" s="87" t="s">
        <v>29</v>
      </c>
      <c r="AY68" s="51" t="s">
        <v>1253</v>
      </c>
      <c r="AZ68" s="51" t="s">
        <v>1254</v>
      </c>
      <c r="BA68" s="51">
        <v>0</v>
      </c>
      <c r="BB68" s="51" t="s">
        <v>1641</v>
      </c>
      <c r="BC68" s="51" t="s">
        <v>1572</v>
      </c>
      <c r="BD68" s="51" t="s">
        <v>1287</v>
      </c>
      <c r="BE68" s="51"/>
      <c r="BF68" s="92"/>
      <c r="BG68" s="92"/>
      <c r="BH68" s="92"/>
      <c r="BI68" s="92"/>
      <c r="BJ68" s="92"/>
      <c r="BK68" s="92"/>
      <c r="BL68" s="92"/>
      <c r="BN68" s="7" t="str">
        <f>IF(IFERROR(FIND("romatis",TableauJDG[[#This Row],[TYPE DE THÉ FR]]),0)=0,"","aromatisé")</f>
        <v/>
      </c>
      <c r="BV68" s="10" t="str">
        <f t="shared" si="82"/>
        <v>Laissez-vous surprendre par ce mariage détonnant du thé vert japonais, du gingembre et de la verveine, inspiré par la fougue des Samouraïs. Ses notes citronnées et légèrement piquantes s'associent à merveille avec les saveurs végétales, fraîches et d</v>
      </c>
      <c r="BW68" s="10" t="str">
        <f t="shared" si="83"/>
        <v>ouces du thé vert étuvé. Délicieux chaud ou glacé !</v>
      </c>
      <c r="BX68" s="10" t="str">
        <f t="shared" si="56"/>
        <v/>
      </c>
      <c r="BY68" s="10" t="str">
        <f t="shared" si="57"/>
        <v/>
      </c>
      <c r="BZ68" s="10" t="str">
        <f t="shared" si="58"/>
        <v>Ingrédients : thé vert japonais*, gingembre* 12%, verveine* 8%. *Issu de l'agriculture biologique.</v>
      </c>
      <c r="CA68" s="10" t="str">
        <f t="shared" si="59"/>
        <v/>
      </c>
      <c r="CB68" s="10" t="str">
        <f t="shared" si="60"/>
        <v/>
      </c>
      <c r="CC68" s="10" t="str">
        <f t="shared" si="61"/>
        <v/>
      </c>
      <c r="CD68" s="10" t="str">
        <f t="shared" si="62"/>
        <v>/</v>
      </c>
      <c r="CE68" s="10" t="str">
        <f t="shared" si="63"/>
        <v/>
      </c>
      <c r="CF68" s="10" t="str">
        <f t="shared" si="64"/>
        <v/>
      </c>
      <c r="CG68" s="10" t="str">
        <f t="shared" si="65"/>
        <v/>
      </c>
      <c r="CH68" s="10" t="str">
        <f t="shared" si="66"/>
        <v>/</v>
      </c>
      <c r="CI68" s="10" t="str">
        <f t="shared" si="67"/>
        <v/>
      </c>
      <c r="CJ68" s="10" t="str">
        <f t="shared" si="68"/>
        <v/>
      </c>
      <c r="CK68" s="10" t="str">
        <f t="shared" si="69"/>
        <v/>
      </c>
      <c r="CL68" s="10" t="str">
        <f t="shared" si="70"/>
        <v>Let yourself be surprised by this explosive blend of Japanese green tea, ginger and verbena, inspired by the fiery spirit of the Samurai. Its lemony, slightly spicy notes combine perfectly with the fresh, mild, herbal flavours of steamed green tea. D</v>
      </c>
      <c r="CM68" s="10" t="str">
        <f t="shared" si="71"/>
        <v>elicious hot or iced!</v>
      </c>
      <c r="CN68" s="10" t="str">
        <f t="shared" si="72"/>
        <v/>
      </c>
      <c r="CO68" s="10" t="str">
        <f t="shared" si="73"/>
        <v/>
      </c>
      <c r="CP68" s="10" t="str">
        <f t="shared" si="74"/>
        <v>Ingredients: Japanese green tea*, ginger* 12%, verbena* 8%. *From organic farming.</v>
      </c>
      <c r="CQ68" s="10" t="str">
        <f t="shared" si="75"/>
        <v/>
      </c>
      <c r="CR68" s="10" t="str">
        <f t="shared" si="76"/>
        <v/>
      </c>
      <c r="CS68" s="10" t="str">
        <f t="shared" si="77"/>
        <v/>
      </c>
      <c r="CT68" s="10" t="str">
        <f t="shared" si="78"/>
        <v>/</v>
      </c>
      <c r="CU68" s="10" t="str">
        <f t="shared" si="79"/>
        <v/>
      </c>
      <c r="CV68" s="10" t="str">
        <f t="shared" si="80"/>
        <v/>
      </c>
      <c r="CW68" s="10" t="str">
        <f t="shared" si="81"/>
        <v/>
      </c>
    </row>
    <row r="69" spans="1:101" ht="129.6">
      <c r="A69" s="130" t="s">
        <v>403</v>
      </c>
      <c r="B69" s="24" t="s">
        <v>777</v>
      </c>
      <c r="C69" s="9" t="s">
        <v>39</v>
      </c>
      <c r="D69" s="18" t="s">
        <v>1836</v>
      </c>
      <c r="E69" s="9" t="s">
        <v>980</v>
      </c>
      <c r="F69" s="9" t="s">
        <v>40</v>
      </c>
      <c r="G69" s="56" t="s">
        <v>29</v>
      </c>
      <c r="H69" s="10" t="s">
        <v>5</v>
      </c>
      <c r="I69" s="10" t="s">
        <v>29</v>
      </c>
      <c r="J69" s="10" t="s">
        <v>29</v>
      </c>
      <c r="K69" s="10" t="s">
        <v>29</v>
      </c>
      <c r="L69" s="10" t="s">
        <v>29</v>
      </c>
      <c r="M69" s="10" t="s">
        <v>29</v>
      </c>
      <c r="N69" s="10" t="s">
        <v>104</v>
      </c>
      <c r="O69" s="9"/>
      <c r="P69" s="9" t="s">
        <v>401</v>
      </c>
      <c r="Q69" s="15" t="s">
        <v>1837</v>
      </c>
      <c r="R69" s="9"/>
      <c r="S69" s="9"/>
      <c r="T69" s="9" t="s">
        <v>402</v>
      </c>
      <c r="U69"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69" s="9" t="s">
        <v>41</v>
      </c>
      <c r="W69" s="9" t="s">
        <v>29</v>
      </c>
      <c r="X69" s="10">
        <v>120</v>
      </c>
      <c r="Y69" s="11" t="s">
        <v>42</v>
      </c>
      <c r="Z69" s="19">
        <v>95</v>
      </c>
      <c r="AA69" s="10">
        <v>2</v>
      </c>
      <c r="AB69" s="10">
        <v>60</v>
      </c>
      <c r="AC69" s="12">
        <v>3582811004400</v>
      </c>
      <c r="AD69" s="10" t="s">
        <v>29</v>
      </c>
      <c r="AE69" s="10" t="s">
        <v>1873</v>
      </c>
      <c r="AF69" s="10" t="s">
        <v>1873</v>
      </c>
      <c r="AG69" s="10" t="s">
        <v>29</v>
      </c>
      <c r="AH69" s="20"/>
      <c r="AI69" s="54" t="s">
        <v>776</v>
      </c>
      <c r="AJ69" s="54" t="s">
        <v>776</v>
      </c>
      <c r="AK69" s="55">
        <v>45846</v>
      </c>
      <c r="AL69" s="10" t="s">
        <v>774</v>
      </c>
      <c r="AM69" s="10"/>
      <c r="AN69" s="10"/>
      <c r="AO69" s="10"/>
      <c r="AP69" s="10"/>
      <c r="AQ69" s="51" t="s">
        <v>1935</v>
      </c>
      <c r="AR69" s="51" t="s">
        <v>1421</v>
      </c>
      <c r="AS69" s="84" t="s">
        <v>1552</v>
      </c>
      <c r="AT69" s="9" t="s">
        <v>29</v>
      </c>
      <c r="AU69" s="140" t="s">
        <v>1422</v>
      </c>
      <c r="AV69" s="9" t="s">
        <v>1423</v>
      </c>
      <c r="AW69" s="52"/>
      <c r="AX69" s="74" t="s">
        <v>1818</v>
      </c>
      <c r="AY69" s="51"/>
      <c r="AZ69" s="51"/>
      <c r="BA69" s="51"/>
      <c r="BB69" s="51"/>
      <c r="BC69" s="51"/>
      <c r="BD69" s="51"/>
      <c r="BE69" s="51"/>
      <c r="BF69" s="92"/>
      <c r="BG69" s="92"/>
      <c r="BH69" s="92"/>
      <c r="BI69" s="92"/>
      <c r="BJ69" s="92"/>
      <c r="BK69" s="92"/>
      <c r="BL69" s="92"/>
      <c r="BN69" s="7" t="str">
        <f>IF(IFERROR(FIND("romatis",TableauJDG[[#This Row],[TYPE DE THÉ FR]]),0)=0,"","aromatisé")</f>
        <v/>
      </c>
      <c r="BO69" s="10" t="s">
        <v>1971</v>
      </c>
      <c r="BV69" s="10" t="str">
        <f t="shared" si="82"/>
        <v>Conjuguez saveurs et bien-être en savourant cette tisane colorée ! Avec ses notes fruitées et épicées mises en valeur par la rondeur de la vanille, elle séduit immédiatement les papilles autant qu’elle améliore la digestion. Idéale pour une sortie d</v>
      </c>
      <c r="BW69" s="10" t="str">
        <f t="shared" si="83"/>
        <v>e table avec un agréable sentiment de légèreté !</v>
      </c>
      <c r="BX69" s="10" t="str">
        <f t="shared" si="56"/>
        <v/>
      </c>
      <c r="BY69" s="10" t="str">
        <f t="shared" si="57"/>
        <v/>
      </c>
      <c r="BZ69" s="10" t="str">
        <f t="shared" si="58"/>
        <v>Ingrédients : écorces d’orange* (Citrus sinensis), cannelle de Ceylan* 18% (Cinnamomum zeylanicum), coriandre* 18% (Coriandrum sativum), mélisse* 12% (Melissa officinalis), gingembre* (Zingiber officinale), fenouil* 12% (Foeniculum vulgare), armoise</v>
      </c>
      <c r="CA69" s="10" t="str">
        <f t="shared" si="59"/>
        <v xml:space="preserve">* (Artemisia vulgaris), boutons de rose* (Rosa damascena), extrait de vanille* 0,5%. *Issu de l’agriculture biologique. </v>
      </c>
      <c r="CB69" s="10" t="str">
        <f t="shared" si="60"/>
        <v/>
      </c>
      <c r="CC69" s="10" t="str">
        <f t="shared" si="61"/>
        <v/>
      </c>
      <c r="CD69" s="10" t="str">
        <f t="shared" si="62"/>
        <v>Consommation journalière conseillée : 3 tasses de 25 cl.
Il est recommandé d'adopter un mode de vie sain et une alimentation variée et équilibrée pour profiter pleinement des vertus de cette infusion. Informations nutritionnelles moyennes pour 100 m</v>
      </c>
      <c r="CE69" s="10" t="str">
        <f t="shared" si="63"/>
        <v>l : Énergie 3 kJ/1 kcal. Cette infusion contient des quantités négligeables de matières grasses dont acides gras saturés, de glucides dont sucres, de protéines et de sel.</v>
      </c>
      <c r="CF69" s="10" t="str">
        <f t="shared" si="64"/>
        <v/>
      </c>
      <c r="CG69" s="10" t="str">
        <f t="shared" si="65"/>
        <v/>
      </c>
      <c r="CH69" s="10" t="str">
        <f t="shared" si="66"/>
        <v>/</v>
      </c>
      <c r="CI69" s="10" t="str">
        <f t="shared" si="67"/>
        <v/>
      </c>
      <c r="CJ69" s="10" t="str">
        <f t="shared" si="68"/>
        <v/>
      </c>
      <c r="CK69" s="10" t="str">
        <f t="shared" si="69"/>
        <v/>
      </c>
      <c r="CL69" s="10" t="str">
        <f t="shared" si="70"/>
        <v>Combine flavour and well-being with this colourful herbal tea! Fruity and spicy, it immediately seduces the taste buds as much as it improves digestion. Ideal at the end of a meal, it makes you feel light and chewy!</v>
      </c>
      <c r="CM69" s="10" t="str">
        <f t="shared" si="71"/>
        <v/>
      </c>
      <c r="CN69" s="10" t="str">
        <f t="shared" si="72"/>
        <v/>
      </c>
      <c r="CO69" s="10" t="str">
        <f t="shared" si="73"/>
        <v/>
      </c>
      <c r="CP69" s="10" t="str">
        <f t="shared" si="74"/>
        <v>Ingredients: orange peels* (Citrus sinensis), Ceylon cinnamon* 18% (Cinnamomum zeylanicum), coriander* 18% (Coriandrum sativum), lemon balm* 12% (Melissa officinalis), ginger* (Zingiber officinale), fennel* 12% (Foeniculum vulgare), mugwort* (Artemis</v>
      </c>
      <c r="CQ69" s="10" t="str">
        <f t="shared" si="75"/>
        <v xml:space="preserve">ia vulgaris), rosebuds* (Rosa damascena), vanilla extract* 0.5%. *From organic farming. </v>
      </c>
      <c r="CR69" s="10" t="str">
        <f t="shared" si="76"/>
        <v/>
      </c>
      <c r="CS69" s="10" t="str">
        <f t="shared" si="77"/>
        <v/>
      </c>
      <c r="CT69" s="10" t="str">
        <f t="shared" si="78"/>
        <v>Recommended daily consumption: 3 cups of 25 cl. 
A healthy lifestyle and a varied, balanced diet are recommended to fully benefit from the properties of this infusion. Average nutritional information per 100 ml: Energy 3 kJ/1 kcal. This herbal tea co</v>
      </c>
      <c r="CU69" s="10" t="str">
        <f t="shared" si="79"/>
        <v>ntains negligible amounts of fats (including saturated fats), carbohydrates (including sugars), proteins and salt.</v>
      </c>
      <c r="CV69" s="10" t="str">
        <f t="shared" si="80"/>
        <v/>
      </c>
      <c r="CW69" s="10" t="str">
        <f t="shared" si="81"/>
        <v/>
      </c>
    </row>
    <row r="70" spans="1:101" ht="93.6">
      <c r="A70" s="130" t="s">
        <v>423</v>
      </c>
      <c r="B70" s="9" t="s">
        <v>26</v>
      </c>
      <c r="C70" s="9" t="s">
        <v>39</v>
      </c>
      <c r="D70" s="8" t="s">
        <v>420</v>
      </c>
      <c r="E70" s="9" t="s">
        <v>29</v>
      </c>
      <c r="F70" s="9" t="s">
        <v>86</v>
      </c>
      <c r="G70" s="10" t="s">
        <v>421</v>
      </c>
      <c r="H70" s="10" t="s">
        <v>5</v>
      </c>
      <c r="I70" s="20" t="s">
        <v>6</v>
      </c>
      <c r="J70" s="10" t="s">
        <v>7</v>
      </c>
      <c r="K70" s="10" t="s">
        <v>29</v>
      </c>
      <c r="L70" s="10" t="s">
        <v>29</v>
      </c>
      <c r="M70" s="10" t="s">
        <v>29</v>
      </c>
      <c r="N70" s="10" t="s">
        <v>46</v>
      </c>
      <c r="O70" s="9"/>
      <c r="P70" s="9" t="s">
        <v>422</v>
      </c>
      <c r="Q70" s="9" t="s">
        <v>990</v>
      </c>
      <c r="R70" s="9"/>
      <c r="S70" s="9"/>
      <c r="T70" s="58" t="s">
        <v>991</v>
      </c>
      <c r="U70"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70" s="8" t="s">
        <v>29</v>
      </c>
      <c r="W70" s="9" t="s">
        <v>31</v>
      </c>
      <c r="X70" s="10">
        <v>100</v>
      </c>
      <c r="Y70" s="11" t="s">
        <v>42</v>
      </c>
      <c r="Z70" s="19">
        <v>95</v>
      </c>
      <c r="AA70" s="10">
        <v>2</v>
      </c>
      <c r="AB70" s="10">
        <v>50</v>
      </c>
      <c r="AC70" s="12">
        <v>3582811026020</v>
      </c>
      <c r="AD70" s="10" t="s">
        <v>29</v>
      </c>
      <c r="AE70" s="10" t="s">
        <v>1695</v>
      </c>
      <c r="AF70" s="10" t="s">
        <v>1694</v>
      </c>
      <c r="AG70" s="10" t="s">
        <v>29</v>
      </c>
      <c r="AH70" s="20" t="s">
        <v>128</v>
      </c>
      <c r="AI70" s="54" t="s">
        <v>776</v>
      </c>
      <c r="AJ70" s="54" t="s">
        <v>776</v>
      </c>
      <c r="AK70" s="55">
        <v>45846</v>
      </c>
      <c r="AL70" s="10"/>
      <c r="AM70" s="10"/>
      <c r="AN70" s="10"/>
      <c r="AO70" s="10"/>
      <c r="AP70" s="10"/>
      <c r="AQ70" s="51" t="s">
        <v>420</v>
      </c>
      <c r="AR70" s="51" t="s">
        <v>29</v>
      </c>
      <c r="AS70" s="84" t="s">
        <v>1552</v>
      </c>
      <c r="AT70" s="9" t="s">
        <v>421</v>
      </c>
      <c r="AU70" s="96" t="s">
        <v>1420</v>
      </c>
      <c r="AV70" s="82" t="s">
        <v>1805</v>
      </c>
      <c r="AW70" s="52"/>
      <c r="AX70" s="51"/>
      <c r="AY70" s="51"/>
      <c r="AZ70" s="51"/>
      <c r="BA70" s="51"/>
      <c r="BB70" s="51"/>
      <c r="BC70" s="51"/>
      <c r="BD70" s="51"/>
      <c r="BE70" s="51"/>
      <c r="BF70" s="92"/>
      <c r="BG70" s="92"/>
      <c r="BH70" s="92"/>
      <c r="BI70" s="92"/>
      <c r="BJ70" s="92"/>
      <c r="BK70" s="92"/>
      <c r="BL70" s="92"/>
      <c r="BN70" s="7" t="str">
        <f>IF(IFERROR(FIND("romatis",TableauJDG[[#This Row],[TYPE DE THÉ FR]]),0)=0,"","aromatisé")</f>
        <v/>
      </c>
      <c r="BO70" s="10" t="s">
        <v>1968</v>
      </c>
      <c r="BV70" s="10" t="str">
        <f t="shared" si="82"/>
        <v>Vif et pétillant, le lemongrass aussi appelé verveine des Indes est un vrai rayon de soleil en infusion ! Ses saveurs citronnées intenses empreintes d’un zeste d’exotisme s'apprécient particulièrement en mode glacé dès que le thermomètre commence à s</v>
      </c>
      <c r="BW70" s="10" t="str">
        <f t="shared" si="83"/>
        <v>'affoler. Rafraîchissement garanti !</v>
      </c>
      <c r="BX70" s="10" t="str">
        <f t="shared" si="56"/>
        <v/>
      </c>
      <c r="BY70" s="10" t="str">
        <f t="shared" si="57"/>
        <v/>
      </c>
      <c r="BZ70" s="10" t="str">
        <f t="shared" si="58"/>
        <v xml:space="preserve">Ingrédient : lemongrass** (Cymbopogon citratus). **Issu de l'agriculture biologique et biodynamique. demeter est le label des produits issus de l'agriculture biodynamique. </v>
      </c>
      <c r="CA70" s="10" t="str">
        <f t="shared" si="59"/>
        <v/>
      </c>
      <c r="CB70" s="10" t="str">
        <f t="shared" si="60"/>
        <v/>
      </c>
      <c r="CC70" s="10" t="str">
        <f t="shared" si="61"/>
        <v/>
      </c>
      <c r="CD70" s="10" t="str">
        <f t="shared" si="62"/>
        <v>/</v>
      </c>
      <c r="CE70" s="10" t="str">
        <f t="shared" si="63"/>
        <v/>
      </c>
      <c r="CF70" s="10" t="str">
        <f t="shared" si="64"/>
        <v/>
      </c>
      <c r="CG70" s="10" t="str">
        <f t="shared" si="65"/>
        <v/>
      </c>
      <c r="CH70" s="10" t="str">
        <f t="shared" si="66"/>
        <v>Membre certifié World Fair Trade Organization, Les Jardins de Gaïa s’engagent pour un commerce plus juste et répondent aux exigences du commerce équitable. Pour en savoir plus : www.wfto.com.</v>
      </c>
      <c r="CI70" s="10" t="str">
        <f t="shared" si="67"/>
        <v/>
      </c>
      <c r="CJ70" s="10" t="str">
        <f t="shared" si="68"/>
        <v/>
      </c>
      <c r="CK70" s="10" t="str">
        <f t="shared" si="69"/>
        <v/>
      </c>
      <c r="CL70" s="10" t="str">
        <f t="shared" si="70"/>
        <v>Bright and sparkling, lemongrass, also known as Indian verbena, is a real ray of sunshine in infusion! Its intense lemony flavours, with a hint of exoticism, are best enjoyed iced as soon as the thermometer starts to climb. Refreshment guaranteed!</v>
      </c>
      <c r="CM70" s="10" t="str">
        <f t="shared" si="71"/>
        <v/>
      </c>
      <c r="CN70" s="10" t="str">
        <f t="shared" si="72"/>
        <v/>
      </c>
      <c r="CO70" s="10" t="str">
        <f t="shared" si="73"/>
        <v/>
      </c>
      <c r="CP70" s="10" t="str">
        <f t="shared" si="74"/>
        <v xml:space="preserve">Ingredient: lemongrass** (Cymbopogon citratus). **From organic and biodynamic farming. demeter is the brand for products from biodynamic agriculture. </v>
      </c>
      <c r="CQ70" s="10" t="str">
        <f t="shared" si="75"/>
        <v/>
      </c>
      <c r="CR70" s="10" t="str">
        <f t="shared" si="76"/>
        <v/>
      </c>
      <c r="CS70" s="10" t="str">
        <f t="shared" si="77"/>
        <v/>
      </c>
      <c r="CT70" s="10" t="str">
        <f t="shared" si="78"/>
        <v/>
      </c>
      <c r="CU70" s="10" t="str">
        <f t="shared" si="79"/>
        <v/>
      </c>
      <c r="CV70" s="10" t="str">
        <f t="shared" si="80"/>
        <v/>
      </c>
      <c r="CW70" s="10" t="str">
        <f t="shared" si="81"/>
        <v/>
      </c>
    </row>
    <row r="71" spans="1:101" ht="109.2">
      <c r="A71" s="128" t="s">
        <v>429</v>
      </c>
      <c r="B71" s="9" t="s">
        <v>787</v>
      </c>
      <c r="C71" s="9" t="s">
        <v>788</v>
      </c>
      <c r="D71" s="8" t="s">
        <v>424</v>
      </c>
      <c r="E71" s="9" t="s">
        <v>425</v>
      </c>
      <c r="F71" s="9" t="s">
        <v>40</v>
      </c>
      <c r="G71" s="10" t="s">
        <v>426</v>
      </c>
      <c r="H71" s="10" t="s">
        <v>5</v>
      </c>
      <c r="I71" s="10" t="s">
        <v>29</v>
      </c>
      <c r="J71" s="10" t="s">
        <v>29</v>
      </c>
      <c r="K71" s="10" t="s">
        <v>29</v>
      </c>
      <c r="L71" s="10" t="s">
        <v>29</v>
      </c>
      <c r="M71" s="10" t="s">
        <v>29</v>
      </c>
      <c r="N71" s="10" t="s">
        <v>37</v>
      </c>
      <c r="O71" s="9"/>
      <c r="P71" s="9" t="s">
        <v>427</v>
      </c>
      <c r="Q71" s="146" t="s">
        <v>992</v>
      </c>
      <c r="R71" s="60"/>
      <c r="S71" s="49" t="s">
        <v>993</v>
      </c>
      <c r="T71" s="9" t="s">
        <v>428</v>
      </c>
      <c r="U71"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71" s="8" t="s">
        <v>29</v>
      </c>
      <c r="W71" s="9" t="s">
        <v>29</v>
      </c>
      <c r="X71" s="10">
        <v>40</v>
      </c>
      <c r="Y71" s="11" t="s">
        <v>116</v>
      </c>
      <c r="Z71" s="19">
        <v>95</v>
      </c>
      <c r="AA71" s="10">
        <v>2</v>
      </c>
      <c r="AB71" s="12">
        <v>20</v>
      </c>
      <c r="AC71" s="22">
        <v>3582811000365</v>
      </c>
      <c r="AD71" s="10" t="s">
        <v>29</v>
      </c>
      <c r="AE71" s="10" t="s">
        <v>430</v>
      </c>
      <c r="AF71" s="10" t="s">
        <v>994</v>
      </c>
      <c r="AG71" s="10" t="s">
        <v>995</v>
      </c>
      <c r="AH71" s="20" t="s">
        <v>38</v>
      </c>
      <c r="AI71" s="54" t="s">
        <v>776</v>
      </c>
      <c r="AJ71" s="54" t="s">
        <v>776</v>
      </c>
      <c r="AK71" s="55">
        <v>45708</v>
      </c>
      <c r="AL71" s="10"/>
      <c r="AM71" s="10">
        <v>25037</v>
      </c>
      <c r="AN71" s="10"/>
      <c r="AO71" s="10"/>
      <c r="AP71" s="10"/>
      <c r="AQ71" s="51" t="s">
        <v>1462</v>
      </c>
      <c r="AR71" s="51" t="s">
        <v>1463</v>
      </c>
      <c r="AS71" s="82" t="s">
        <v>1561</v>
      </c>
      <c r="AT71" s="51"/>
      <c r="AU71" s="96" t="s">
        <v>1464</v>
      </c>
      <c r="AV71" s="82" t="s">
        <v>1465</v>
      </c>
      <c r="AW71" s="52"/>
      <c r="AX71" s="51"/>
      <c r="AY71" s="51"/>
      <c r="AZ71" s="51"/>
      <c r="BA71" s="51"/>
      <c r="BB71" s="51"/>
      <c r="BC71" s="51"/>
      <c r="BD71" s="51"/>
      <c r="BE71" s="51"/>
      <c r="BF71" s="92"/>
      <c r="BG71" s="92"/>
      <c r="BH71" s="92"/>
      <c r="BI71" s="92"/>
      <c r="BJ71" s="92"/>
      <c r="BK71" s="92"/>
      <c r="BL71" s="92"/>
      <c r="BN71" s="7" t="str">
        <f>IF(IFERROR(FIND("romatis",TableauJDG[[#This Row],[TYPE DE THÉ FR]]),0)=0,"","aromatisé")</f>
        <v/>
      </c>
      <c r="BV71" s="10" t="str">
        <f t="shared" si="82"/>
        <v>La grâce d’une envolée sauvage est la source d’inspiration de cette infusion de plantes. Sur des saveurs de mélisse et de tilleul, entre force et douceur, cette recette déploie ses notes épicées, fraîches, camphrées et citronnées. Pour une pause aéri</v>
      </c>
      <c r="BW71" s="10" t="str">
        <f t="shared" si="83"/>
        <v>enne et contemplative les yeux dans le ciel...</v>
      </c>
      <c r="BX71" s="10" t="str">
        <f t="shared" si="56"/>
        <v/>
      </c>
      <c r="BY71" s="10" t="str">
        <f t="shared" si="57"/>
        <v/>
      </c>
      <c r="BZ71" s="10" t="str">
        <f t="shared" si="58"/>
        <v>Ingrédients : tilleul*, eucalyptus* 22%, morceaux de pomme*, mélisse*, myrte*, reine des prés*, clou de girofle* 4%, pétales de souci*, pétales de bleuet*. *Issu de l’agriculture biologique.</v>
      </c>
      <c r="CA71" s="10" t="str">
        <f t="shared" si="59"/>
        <v/>
      </c>
      <c r="CB71" s="10" t="str">
        <f t="shared" si="60"/>
        <v/>
      </c>
      <c r="CC71" s="10" t="str">
        <f t="shared" si="61"/>
        <v/>
      </c>
      <c r="CD71" s="10" t="str">
        <f t="shared" si="62"/>
        <v>/</v>
      </c>
      <c r="CE71" s="10" t="str">
        <f t="shared" si="63"/>
        <v/>
      </c>
      <c r="CF71" s="10" t="str">
        <f t="shared" si="64"/>
        <v/>
      </c>
      <c r="CG71" s="10" t="str">
        <f t="shared" si="65"/>
        <v/>
      </c>
      <c r="CH71" s="10" t="str">
        <f t="shared" si="66"/>
        <v>/</v>
      </c>
      <c r="CI71" s="10" t="str">
        <f t="shared" si="67"/>
        <v/>
      </c>
      <c r="CJ71" s="10" t="str">
        <f t="shared" si="68"/>
        <v/>
      </c>
      <c r="CK71" s="10" t="str">
        <f t="shared" si="69"/>
        <v/>
      </c>
      <c r="CL71" s="10" t="str">
        <f t="shared" si="70"/>
        <v>The grace of a wild flight is the source of inspiration for this herbal infusion. With flavours of lemon balm and lime blossom, between strength and sweetness, this recipe unfurls its spicy, fresh, camphorated and lemony notes. For an airy, contempla</v>
      </c>
      <c r="CM71" s="10" t="str">
        <f t="shared" si="71"/>
        <v>tive pause looking up to the sky...</v>
      </c>
      <c r="CN71" s="10" t="str">
        <f t="shared" si="72"/>
        <v/>
      </c>
      <c r="CO71" s="10" t="str">
        <f t="shared" si="73"/>
        <v/>
      </c>
      <c r="CP71" s="10" t="str">
        <f t="shared" si="74"/>
        <v>Ingredients: lime blossom*, eucalyptus* 22%, apple pieces*, lemon balm*, myrtle*, meadowsweet*, cloves* 4%, marigold petals*, cornflower petals*. *From organic farming.</v>
      </c>
      <c r="CQ71" s="10" t="str">
        <f t="shared" si="75"/>
        <v/>
      </c>
      <c r="CR71" s="10" t="str">
        <f t="shared" si="76"/>
        <v/>
      </c>
      <c r="CS71" s="10" t="str">
        <f t="shared" si="77"/>
        <v/>
      </c>
      <c r="CT71" s="10" t="str">
        <f t="shared" si="78"/>
        <v/>
      </c>
      <c r="CU71" s="10" t="str">
        <f t="shared" si="79"/>
        <v/>
      </c>
      <c r="CV71" s="10" t="str">
        <f t="shared" si="80"/>
        <v/>
      </c>
      <c r="CW71" s="10" t="str">
        <f t="shared" si="81"/>
        <v/>
      </c>
    </row>
    <row r="72" spans="1:101" ht="93.6">
      <c r="A72" s="128" t="s">
        <v>743</v>
      </c>
      <c r="B72" s="9" t="s">
        <v>26</v>
      </c>
      <c r="C72" s="9"/>
      <c r="D72" s="31" t="s">
        <v>1838</v>
      </c>
      <c r="E72" s="9" t="s">
        <v>124</v>
      </c>
      <c r="F72" s="9" t="s">
        <v>27</v>
      </c>
      <c r="G72" s="9" t="s">
        <v>90</v>
      </c>
      <c r="H72" s="10" t="s">
        <v>5</v>
      </c>
      <c r="I72" s="10" t="s">
        <v>6</v>
      </c>
      <c r="J72" s="10" t="s">
        <v>7</v>
      </c>
      <c r="K72" s="10" t="s">
        <v>29</v>
      </c>
      <c r="L72" s="10" t="s">
        <v>29</v>
      </c>
      <c r="M72" s="10" t="s">
        <v>10</v>
      </c>
      <c r="N72" s="10" t="s">
        <v>30</v>
      </c>
      <c r="O72" s="9"/>
      <c r="P72" s="9" t="s">
        <v>742</v>
      </c>
      <c r="Q72" s="15" t="s">
        <v>1839</v>
      </c>
      <c r="R72" s="9"/>
      <c r="S72" s="9"/>
      <c r="T72" s="24" t="s">
        <v>1722</v>
      </c>
      <c r="U72" s="24"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72" s="9" t="s">
        <v>29</v>
      </c>
      <c r="W72" s="9" t="s">
        <v>31</v>
      </c>
      <c r="X72" s="10">
        <v>100</v>
      </c>
      <c r="Y72" s="11" t="s">
        <v>32</v>
      </c>
      <c r="Z72" s="19">
        <v>95</v>
      </c>
      <c r="AA72" s="10">
        <v>2</v>
      </c>
      <c r="AB72" s="10">
        <v>50</v>
      </c>
      <c r="AC72" s="12">
        <v>3582810231326</v>
      </c>
      <c r="AD72" s="10" t="s">
        <v>29</v>
      </c>
      <c r="AE72" s="10" t="s">
        <v>744</v>
      </c>
      <c r="AF72" s="10" t="s">
        <v>1874</v>
      </c>
      <c r="AG72" s="10" t="s">
        <v>1875</v>
      </c>
      <c r="AH72" s="13" t="s">
        <v>91</v>
      </c>
      <c r="AI72" s="54" t="s">
        <v>776</v>
      </c>
      <c r="AJ72" s="54" t="s">
        <v>776</v>
      </c>
      <c r="AK72" s="55">
        <v>45693</v>
      </c>
      <c r="AL72" s="10"/>
      <c r="AM72" s="10">
        <v>25028</v>
      </c>
      <c r="AN72" s="10"/>
      <c r="AO72" s="50"/>
      <c r="AP72" s="50"/>
      <c r="AQ72" s="18" t="s">
        <v>1933</v>
      </c>
      <c r="AR72" s="82" t="s">
        <v>124</v>
      </c>
      <c r="AS72" s="82" t="s">
        <v>1562</v>
      </c>
      <c r="AT72" s="82" t="s">
        <v>1399</v>
      </c>
      <c r="AU72" s="96" t="s">
        <v>1486</v>
      </c>
      <c r="AV72" s="82" t="s">
        <v>1485</v>
      </c>
      <c r="AW72" s="52"/>
      <c r="AX72" s="51"/>
      <c r="AY72" s="51"/>
      <c r="AZ72" s="51"/>
      <c r="BA72" s="51"/>
      <c r="BB72" s="51"/>
      <c r="BC72" s="51"/>
      <c r="BD72" s="51"/>
      <c r="BE72" s="51"/>
      <c r="BF72" s="92"/>
      <c r="BG72" s="92"/>
      <c r="BH72" s="92"/>
      <c r="BI72" s="92"/>
      <c r="BJ72" s="92"/>
      <c r="BK72" s="92"/>
      <c r="BL72" s="92"/>
      <c r="BN72" s="7" t="str">
        <f>IF(IFERROR(FIND("romatis",TableauJDG[[#This Row],[TYPE DE THÉ FR]]),0)=0,"","aromatisé")</f>
        <v/>
      </c>
      <c r="BO72" s="10" t="s">
        <v>1963</v>
      </c>
      <c r="BV72" s="10" t="str">
        <f t="shared" si="82"/>
        <v>Récolté en été au milieu des éléphants qui peuplent le Jardin de thé biodynamique de Putharjhora, ce thé noir offre une tasse cuivrée aux saveurs fruitées soulignées par une jolie note épicée qui rappelle celle des thés d’Assam. Un thé au caractère g</v>
      </c>
      <c r="BW72" s="10" t="str">
        <f t="shared" si="83"/>
        <v>énéreux qui supporte un peu de lait.</v>
      </c>
      <c r="BX72" s="10" t="str">
        <f t="shared" si="56"/>
        <v/>
      </c>
      <c r="BY72" s="10" t="str">
        <f t="shared" si="57"/>
        <v/>
      </c>
      <c r="BZ72" s="10" t="str">
        <f t="shared" si="58"/>
        <v>Ingrédient : thé noir**. **Issu de l'agriculture biologique et biodynamique. demeter est le label des produits issus de l'agriculture biodynamique.</v>
      </c>
      <c r="CA72" s="10" t="str">
        <f t="shared" si="59"/>
        <v/>
      </c>
      <c r="CB72" s="10" t="str">
        <f t="shared" si="60"/>
        <v/>
      </c>
      <c r="CC72" s="10" t="str">
        <f t="shared" si="61"/>
        <v/>
      </c>
      <c r="CD72" s="10" t="str">
        <f t="shared" si="62"/>
        <v>/</v>
      </c>
      <c r="CE72" s="10" t="str">
        <f t="shared" si="63"/>
        <v/>
      </c>
      <c r="CF72" s="10" t="str">
        <f t="shared" si="64"/>
        <v/>
      </c>
      <c r="CG72" s="10" t="str">
        <f t="shared" si="65"/>
        <v/>
      </c>
      <c r="CH72" s="10" t="str">
        <f t="shared" si="66"/>
        <v>Membre certifié World Fair Trade Organization, Les Jardins de Gaïa s’engagent pour un commerce plus juste et répondent aux exigences du commerce équitable. Pour en savoir plus : www.wfto.com.</v>
      </c>
      <c r="CI72" s="10" t="str">
        <f t="shared" si="67"/>
        <v/>
      </c>
      <c r="CJ72" s="10" t="str">
        <f t="shared" si="68"/>
        <v/>
      </c>
      <c r="CK72" s="10" t="str">
        <f t="shared" si="69"/>
        <v/>
      </c>
      <c r="CL72" s="10" t="str">
        <f t="shared" si="70"/>
        <v>The large, even leaves of this summer-harvested, biodynamically-produced black tea offer a coppery cup with fruity flavours underlined by a lovely spicy note reminiscent of Assam teas. A tea with a generous character that tolerates a little milk.</v>
      </c>
      <c r="CM72" s="10" t="str">
        <f t="shared" si="71"/>
        <v/>
      </c>
      <c r="CN72" s="10" t="str">
        <f t="shared" si="72"/>
        <v/>
      </c>
      <c r="CO72" s="10" t="str">
        <f t="shared" si="73"/>
        <v/>
      </c>
      <c r="CP72" s="10" t="str">
        <f t="shared" si="74"/>
        <v xml:space="preserve">Ingredient: black tea**. **From organic and biodynamic farming. demeter is the brand for products from biodynamic agriculture. </v>
      </c>
      <c r="CQ72" s="10" t="str">
        <f t="shared" si="75"/>
        <v/>
      </c>
      <c r="CR72" s="10" t="str">
        <f t="shared" si="76"/>
        <v/>
      </c>
      <c r="CS72" s="10" t="str">
        <f t="shared" si="77"/>
        <v/>
      </c>
      <c r="CT72" s="10" t="str">
        <f t="shared" si="78"/>
        <v/>
      </c>
      <c r="CU72" s="10" t="str">
        <f t="shared" si="79"/>
        <v/>
      </c>
      <c r="CV72" s="10" t="str">
        <f t="shared" si="80"/>
        <v/>
      </c>
      <c r="CW72" s="10" t="str">
        <f t="shared" si="81"/>
        <v/>
      </c>
    </row>
    <row r="73" spans="1:101" ht="86.4">
      <c r="A73" s="128" t="s">
        <v>1887</v>
      </c>
      <c r="B73" s="9" t="s">
        <v>26</v>
      </c>
      <c r="C73" s="9" t="s">
        <v>39</v>
      </c>
      <c r="D73" s="8" t="s">
        <v>1884</v>
      </c>
      <c r="E73" s="9" t="s">
        <v>1881</v>
      </c>
      <c r="F73" s="9" t="s">
        <v>40</v>
      </c>
      <c r="G73" s="10"/>
      <c r="H73" s="10" t="s">
        <v>5</v>
      </c>
      <c r="I73" s="10" t="s">
        <v>29</v>
      </c>
      <c r="J73" s="10" t="s">
        <v>29</v>
      </c>
      <c r="K73" s="10" t="s">
        <v>29</v>
      </c>
      <c r="L73" s="10" t="s">
        <v>29</v>
      </c>
      <c r="M73" s="10" t="s">
        <v>29</v>
      </c>
      <c r="N73" s="10" t="s">
        <v>37</v>
      </c>
      <c r="O73" s="9"/>
      <c r="P73" s="9"/>
      <c r="Q73" s="39" t="s">
        <v>1885</v>
      </c>
      <c r="R73" s="60"/>
      <c r="S73" s="136" t="s">
        <v>1886</v>
      </c>
      <c r="T73" s="9" t="s">
        <v>1882</v>
      </c>
      <c r="U73"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73" s="8" t="s">
        <v>29</v>
      </c>
      <c r="W73" s="9" t="s">
        <v>29</v>
      </c>
      <c r="X73" s="10">
        <v>50</v>
      </c>
      <c r="Y73" s="11" t="s">
        <v>42</v>
      </c>
      <c r="Z73" s="19">
        <v>95</v>
      </c>
      <c r="AA73" s="10">
        <v>2</v>
      </c>
      <c r="AB73" s="12">
        <v>25</v>
      </c>
      <c r="AC73" s="22">
        <v>3582811008668</v>
      </c>
      <c r="AD73" s="10" t="s">
        <v>29</v>
      </c>
      <c r="AE73" s="10"/>
      <c r="AF73" s="10" t="s">
        <v>1883</v>
      </c>
      <c r="AG73" s="10" t="s">
        <v>1888</v>
      </c>
      <c r="AH73" s="20" t="s">
        <v>38</v>
      </c>
      <c r="AI73" s="54"/>
      <c r="AJ73" s="54"/>
      <c r="AK73" s="55"/>
      <c r="AL73" s="10"/>
      <c r="AM73" s="10"/>
      <c r="AN73" s="10"/>
      <c r="AO73" s="10"/>
      <c r="AP73" s="10"/>
      <c r="AQ73" s="51"/>
      <c r="AR73" s="51"/>
      <c r="AS73" s="82"/>
      <c r="AT73" s="51"/>
      <c r="AU73" s="140"/>
      <c r="AV73" s="82"/>
      <c r="AW73" s="52"/>
      <c r="AX73" s="51"/>
      <c r="AY73" s="51"/>
      <c r="AZ73" s="51"/>
      <c r="BA73" s="51"/>
      <c r="BB73" s="51"/>
      <c r="BC73" s="51"/>
      <c r="BD73" s="51"/>
      <c r="BE73" s="51"/>
      <c r="BF73" s="92"/>
      <c r="BG73" s="92"/>
      <c r="BH73" s="92"/>
      <c r="BI73" s="92"/>
      <c r="BJ73" s="92"/>
      <c r="BK73" s="92"/>
      <c r="BL73" s="92"/>
      <c r="BN73" s="7" t="str">
        <f>IF(IFERROR(FIND("romatis",TableauJDG[[#This Row],[TYPE DE THÉ FR]]),0)=0,"","aromatisé")</f>
        <v/>
      </c>
      <c r="BV73" s="10" t="str">
        <f t="shared" si="82"/>
        <v>Comme on dansait dans les prés des « Tanzmatten », faites savoureusement swinguer vos papilles sur les notes toniques de cette tisane ! Laissez-vous emporter par sa fraîcheur, ses accords harmonieux de notes zestées et d’accents épicés, le tout délic</v>
      </c>
      <c r="BW73" s="10" t="str">
        <f t="shared" si="83"/>
        <v>ieusement accompagné des saveurs acidulées de la reine des prés.</v>
      </c>
      <c r="BX73" s="10" t="str">
        <f t="shared" si="56"/>
        <v/>
      </c>
      <c r="BY73" s="10" t="str">
        <f t="shared" si="57"/>
        <v/>
      </c>
      <c r="BZ73" s="10" t="str">
        <f t="shared" si="58"/>
        <v>Ingrédients : lemongrass* 23%, morceaux de pomme*, reine des prés* 16%, menthe poivrée*, églantine*, feuilles de framboisier*, réglisse*, mélange de fleurs* (soucis, rose, bleuet), cardamome*. *Issu de l’agriculture biologique.
Contient de la régliss</v>
      </c>
      <c r="CA73" s="10" t="str">
        <f t="shared" si="59"/>
        <v>e, les personnes souffrant d'hypertension doivent éviter toute consommation excessive.</v>
      </c>
      <c r="CB73" s="10" t="str">
        <f t="shared" si="60"/>
        <v/>
      </c>
      <c r="CC73" s="10" t="str">
        <f t="shared" si="61"/>
        <v/>
      </c>
      <c r="CD73" s="10" t="str">
        <f t="shared" si="62"/>
        <v>/</v>
      </c>
      <c r="CE73" s="10" t="str">
        <f t="shared" si="63"/>
        <v/>
      </c>
      <c r="CF73" s="10" t="str">
        <f t="shared" si="64"/>
        <v/>
      </c>
      <c r="CG73" s="10" t="str">
        <f t="shared" si="65"/>
        <v/>
      </c>
      <c r="CH73" s="10" t="str">
        <f t="shared" si="66"/>
        <v>/</v>
      </c>
      <c r="CI73" s="10" t="str">
        <f t="shared" si="67"/>
        <v/>
      </c>
      <c r="CJ73" s="10" t="str">
        <f t="shared" si="68"/>
        <v/>
      </c>
      <c r="CK73" s="10" t="str">
        <f t="shared" si="69"/>
        <v/>
      </c>
      <c r="CL73" s="10" t="str">
        <f t="shared" si="70"/>
        <v/>
      </c>
      <c r="CM73" s="10" t="str">
        <f t="shared" si="71"/>
        <v/>
      </c>
      <c r="CN73" s="10" t="str">
        <f t="shared" si="72"/>
        <v/>
      </c>
      <c r="CO73" s="10" t="str">
        <f t="shared" si="73"/>
        <v/>
      </c>
      <c r="CP73" s="10" t="str">
        <f t="shared" si="74"/>
        <v/>
      </c>
      <c r="CQ73" s="10" t="str">
        <f t="shared" si="75"/>
        <v/>
      </c>
      <c r="CR73" s="10" t="str">
        <f t="shared" si="76"/>
        <v/>
      </c>
      <c r="CS73" s="10" t="str">
        <f t="shared" si="77"/>
        <v/>
      </c>
      <c r="CT73" s="10" t="str">
        <f t="shared" si="78"/>
        <v/>
      </c>
      <c r="CU73" s="10" t="str">
        <f t="shared" si="79"/>
        <v/>
      </c>
      <c r="CV73" s="10" t="str">
        <f t="shared" si="80"/>
        <v/>
      </c>
      <c r="CW73" s="10" t="str">
        <f t="shared" si="81"/>
        <v/>
      </c>
    </row>
    <row r="74" spans="1:101" ht="93.6">
      <c r="A74" s="129" t="s">
        <v>432</v>
      </c>
      <c r="B74" s="9" t="s">
        <v>26</v>
      </c>
      <c r="C74" s="9"/>
      <c r="D74" s="8" t="s">
        <v>431</v>
      </c>
      <c r="E74" s="9" t="s">
        <v>386</v>
      </c>
      <c r="F74" s="9" t="s">
        <v>784</v>
      </c>
      <c r="G74" s="9" t="s">
        <v>71</v>
      </c>
      <c r="H74" s="10" t="s">
        <v>5</v>
      </c>
      <c r="I74" s="10" t="s">
        <v>6</v>
      </c>
      <c r="J74" s="10" t="s">
        <v>29</v>
      </c>
      <c r="K74" s="10" t="s">
        <v>29</v>
      </c>
      <c r="L74" s="10" t="s">
        <v>29</v>
      </c>
      <c r="M74" s="10" t="s">
        <v>29</v>
      </c>
      <c r="N74" s="10" t="s">
        <v>30</v>
      </c>
      <c r="O74" s="9"/>
      <c r="P74" s="9" t="s">
        <v>996</v>
      </c>
      <c r="Q74" s="9" t="s">
        <v>997</v>
      </c>
      <c r="R74" s="9"/>
      <c r="S74" s="9"/>
      <c r="T74" s="9" t="s">
        <v>785</v>
      </c>
      <c r="U74"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74" s="9" t="s">
        <v>29</v>
      </c>
      <c r="W74" s="9" t="s">
        <v>31</v>
      </c>
      <c r="X74" s="10">
        <v>80</v>
      </c>
      <c r="Y74" s="19" t="s">
        <v>59</v>
      </c>
      <c r="Z74" s="19">
        <v>95</v>
      </c>
      <c r="AA74" s="10">
        <v>2</v>
      </c>
      <c r="AB74" s="10">
        <v>40</v>
      </c>
      <c r="AC74" s="12">
        <v>3582810736029</v>
      </c>
      <c r="AD74" s="10" t="s">
        <v>29</v>
      </c>
      <c r="AE74" s="10" t="s">
        <v>433</v>
      </c>
      <c r="AF74" s="10" t="s">
        <v>998</v>
      </c>
      <c r="AG74" s="10" t="s">
        <v>999</v>
      </c>
      <c r="AH74" s="20" t="s">
        <v>388</v>
      </c>
      <c r="AI74" s="54" t="s">
        <v>776</v>
      </c>
      <c r="AJ74" s="54" t="s">
        <v>776</v>
      </c>
      <c r="AK74" s="55">
        <v>45321</v>
      </c>
      <c r="AL74" s="10"/>
      <c r="AM74" s="10">
        <v>25015</v>
      </c>
      <c r="AN74" s="10"/>
      <c r="AO74" s="10"/>
      <c r="AP74" s="10"/>
      <c r="AQ74" s="51" t="s">
        <v>1508</v>
      </c>
      <c r="AR74" s="51" t="s">
        <v>386</v>
      </c>
      <c r="AS74" s="82" t="s">
        <v>1654</v>
      </c>
      <c r="AT74" s="82" t="s">
        <v>1484</v>
      </c>
      <c r="AU74" s="96" t="s">
        <v>1653</v>
      </c>
      <c r="AV74" s="82" t="s">
        <v>1615</v>
      </c>
      <c r="AW74" s="52"/>
      <c r="AX74" s="51"/>
      <c r="AY74" s="51"/>
      <c r="AZ74" s="51"/>
      <c r="BA74" s="51"/>
      <c r="BB74" s="51"/>
      <c r="BC74" s="51"/>
      <c r="BD74" s="51"/>
      <c r="BE74" s="51"/>
      <c r="BF74" s="92"/>
      <c r="BG74" s="92"/>
      <c r="BH74" s="92"/>
      <c r="BI74" s="92"/>
      <c r="BJ74" s="92"/>
      <c r="BK74" s="92"/>
      <c r="BL74" s="92"/>
      <c r="BN74" s="7" t="str">
        <f>IF(IFERROR(FIND("romatis",TableauJDG[[#This Row],[TYPE DE THÉ FR]]),0)=0,"","aromatisé")</f>
        <v/>
      </c>
      <c r="BV74" s="10" t="str">
        <f t="shared" si="82"/>
        <v>Ce charmant thé wulong indien à la liqueur souple et onctueuse délivre une belle palette de notes maltées, boisées et fruitées. Sa dégustation offre des saveurs gourmandes et exotiques de vanille, de chocolat au lait, de bois de santal et se conclu</v>
      </c>
      <c r="BW74" s="10" t="str">
        <f t="shared" si="83"/>
        <v xml:space="preserve">t sur belle finale minérale et pyrogénée. </v>
      </c>
      <c r="BX74" s="10" t="str">
        <f t="shared" si="56"/>
        <v/>
      </c>
      <c r="BY74" s="10" t="str">
        <f t="shared" si="57"/>
        <v/>
      </c>
      <c r="BZ74" s="10" t="str">
        <f t="shared" si="58"/>
        <v>Ingrédient : thé wulong*. *Issu de l'agriculture biologique.</v>
      </c>
      <c r="CA74" s="10" t="str">
        <f t="shared" si="59"/>
        <v/>
      </c>
      <c r="CB74" s="10" t="str">
        <f t="shared" si="60"/>
        <v/>
      </c>
      <c r="CC74" s="10" t="str">
        <f t="shared" si="61"/>
        <v/>
      </c>
      <c r="CD74" s="10" t="str">
        <f t="shared" si="62"/>
        <v>/</v>
      </c>
      <c r="CE74" s="10" t="str">
        <f t="shared" si="63"/>
        <v/>
      </c>
      <c r="CF74" s="10" t="str">
        <f t="shared" si="64"/>
        <v/>
      </c>
      <c r="CG74" s="10" t="str">
        <f t="shared" si="65"/>
        <v/>
      </c>
      <c r="CH74" s="10" t="str">
        <f t="shared" si="66"/>
        <v>Membre certifié World Fair Trade Organization, Les Jardins de Gaïa s’engagent pour un commerce plus juste et répondent aux exigences du commerce équitable. Pour en savoir plus : www.wfto.com.</v>
      </c>
      <c r="CI74" s="10" t="str">
        <f t="shared" si="67"/>
        <v/>
      </c>
      <c r="CJ74" s="10" t="str">
        <f t="shared" si="68"/>
        <v/>
      </c>
      <c r="CK74" s="10" t="str">
        <f t="shared" si="69"/>
        <v/>
      </c>
      <c r="CL74" s="10" t="str">
        <f t="shared" si="70"/>
        <v>This charming Indian wulong tea with its supple, smooth brew delivers a beautiful palette of malty, woody and fruity notes. Tasting offers gourmet, exotic flavours of vanilla, milk chocolate and sandalwood, ending with a beautiful mineral, pyrogeni</v>
      </c>
      <c r="CM74" s="10" t="str">
        <f t="shared" si="71"/>
        <v xml:space="preserve">c finish. </v>
      </c>
      <c r="CN74" s="10" t="str">
        <f t="shared" si="72"/>
        <v/>
      </c>
      <c r="CO74" s="10" t="str">
        <f t="shared" si="73"/>
        <v/>
      </c>
      <c r="CP74" s="10" t="str">
        <f t="shared" si="74"/>
        <v>Ingredient: wulong tea*. *From organic farming.</v>
      </c>
      <c r="CQ74" s="10" t="str">
        <f t="shared" si="75"/>
        <v/>
      </c>
      <c r="CR74" s="10" t="str">
        <f t="shared" si="76"/>
        <v/>
      </c>
      <c r="CS74" s="10" t="str">
        <f t="shared" si="77"/>
        <v/>
      </c>
      <c r="CT74" s="10" t="str">
        <f t="shared" si="78"/>
        <v/>
      </c>
      <c r="CU74" s="10" t="str">
        <f t="shared" si="79"/>
        <v/>
      </c>
      <c r="CV74" s="10" t="str">
        <f t="shared" si="80"/>
        <v/>
      </c>
      <c r="CW74" s="10" t="str">
        <f t="shared" si="81"/>
        <v/>
      </c>
    </row>
    <row r="75" spans="1:101" ht="86.4">
      <c r="A75" s="129" t="s">
        <v>1769</v>
      </c>
      <c r="B75" s="9" t="s">
        <v>787</v>
      </c>
      <c r="C75" s="9" t="s">
        <v>788</v>
      </c>
      <c r="D75" s="8" t="s">
        <v>1772</v>
      </c>
      <c r="E75" s="9" t="s">
        <v>1773</v>
      </c>
      <c r="F75" s="9" t="s">
        <v>62</v>
      </c>
      <c r="G75" s="9" t="s">
        <v>61</v>
      </c>
      <c r="H75" s="10" t="s">
        <v>5</v>
      </c>
      <c r="I75" s="23" t="s">
        <v>6</v>
      </c>
      <c r="J75" s="23" t="s">
        <v>29</v>
      </c>
      <c r="K75" s="23" t="s">
        <v>29</v>
      </c>
      <c r="L75" s="36" t="s">
        <v>1983</v>
      </c>
      <c r="M75" s="23" t="s">
        <v>29</v>
      </c>
      <c r="N75" s="10" t="s">
        <v>37</v>
      </c>
      <c r="O75" s="9"/>
      <c r="P75" s="25" t="s">
        <v>29</v>
      </c>
      <c r="Q75" s="9" t="s">
        <v>1768</v>
      </c>
      <c r="R75" s="9"/>
      <c r="S75" s="135" t="s">
        <v>1786</v>
      </c>
      <c r="T75" s="9" t="s">
        <v>1797</v>
      </c>
      <c r="U75"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75" s="25" t="s">
        <v>29</v>
      </c>
      <c r="W75" s="9" t="s">
        <v>31</v>
      </c>
      <c r="X75" s="10">
        <v>40</v>
      </c>
      <c r="Y75" s="11" t="s">
        <v>32</v>
      </c>
      <c r="Z75" s="19">
        <v>85</v>
      </c>
      <c r="AA75" s="10">
        <v>2</v>
      </c>
      <c r="AB75" s="10">
        <v>20</v>
      </c>
      <c r="AC75" s="12">
        <v>3582810650868</v>
      </c>
      <c r="AD75" s="23" t="s">
        <v>29</v>
      </c>
      <c r="AE75" s="23" t="s">
        <v>29</v>
      </c>
      <c r="AF75" s="10" t="s">
        <v>1771</v>
      </c>
      <c r="AG75" s="10" t="s">
        <v>1770</v>
      </c>
      <c r="AH75" s="56" t="s">
        <v>29</v>
      </c>
      <c r="AI75" s="54"/>
      <c r="AJ75" s="54" t="s">
        <v>776</v>
      </c>
      <c r="AK75" s="55"/>
      <c r="AL75" s="10"/>
      <c r="AM75" s="10"/>
      <c r="AN75" s="10"/>
      <c r="AO75" s="10"/>
      <c r="AP75" s="10"/>
      <c r="AQ75" s="51" t="s">
        <v>1806</v>
      </c>
      <c r="AR75" s="51" t="s">
        <v>1808</v>
      </c>
      <c r="AS75" s="51" t="s">
        <v>1555</v>
      </c>
      <c r="AT75" s="10"/>
      <c r="AU75" s="132" t="s">
        <v>1767</v>
      </c>
      <c r="AV75" s="52" t="s">
        <v>1807</v>
      </c>
      <c r="AW75" s="52"/>
      <c r="AX75" s="51"/>
      <c r="AY75" s="51"/>
      <c r="AZ75" s="51"/>
      <c r="BA75" s="51"/>
      <c r="BB75" s="51"/>
      <c r="BC75" s="51"/>
      <c r="BD75" s="51"/>
      <c r="BE75" s="51"/>
      <c r="BF75" s="92"/>
      <c r="BG75" s="92"/>
      <c r="BH75" s="92"/>
      <c r="BI75" s="92"/>
      <c r="BJ75" s="92"/>
      <c r="BK75" s="92"/>
      <c r="BL75" s="92"/>
      <c r="BN75" s="7" t="str">
        <f>IF(IFERROR(FIND("romatis",TableauJDG[[#This Row],[TYPE DE THÉ FR]]),0)=0,"","aromatisé")</f>
        <v>aromatisé</v>
      </c>
      <c r="BV75" s="10" t="str">
        <f t="shared" si="82"/>
        <v>L’Esprit de la forêt infuse son univers fascinant dans cette recette à base de thé blanc dédiée à la sauvegarde du lynx. Sur un fond boisé se dévoilent savoureusement le peps fruité du cassis, la fraîcheur de la menthe et les notes miellées de la dou</v>
      </c>
      <c r="BW75" s="10" t="str">
        <f t="shared" si="83"/>
        <v xml:space="preserve">ce camomille. Pour un moment magique et inspirant… </v>
      </c>
      <c r="BX75" s="10" t="str">
        <f t="shared" si="56"/>
        <v/>
      </c>
      <c r="BY75" s="10" t="str">
        <f t="shared" si="57"/>
        <v/>
      </c>
      <c r="BZ75" s="10" t="str">
        <f t="shared" si="58"/>
        <v>Ingrédients : thé blanc*, camomille* 26%, menthe douce* 16%, arômes naturels de (cassis* 3%, myrtille*), pétales de fleurs* (camomille* 4%, bleuet*, bruyère*). *Issu de l’agriculture biologique.</v>
      </c>
      <c r="CA75" s="10" t="str">
        <f t="shared" si="59"/>
        <v/>
      </c>
      <c r="CB75" s="10" t="str">
        <f t="shared" si="60"/>
        <v/>
      </c>
      <c r="CC75" s="10" t="str">
        <f t="shared" si="61"/>
        <v/>
      </c>
      <c r="CD75" s="10" t="str">
        <f t="shared" si="62"/>
        <v>/</v>
      </c>
      <c r="CE75" s="10" t="str">
        <f t="shared" si="63"/>
        <v/>
      </c>
      <c r="CF75" s="10" t="str">
        <f t="shared" si="64"/>
        <v/>
      </c>
      <c r="CG75" s="10" t="str">
        <f t="shared" si="65"/>
        <v/>
      </c>
      <c r="CH75" s="10" t="str">
        <f t="shared" si="66"/>
        <v>Membre certifié World Fair Trade Organization, Les Jardins de Gaïa s’engagent pour un commerce plus juste et répondent aux exigences du commerce équitable. Pour en savoir plus : www.wfto.com.</v>
      </c>
      <c r="CI75" s="10" t="str">
        <f t="shared" si="67"/>
        <v/>
      </c>
      <c r="CJ75" s="10" t="str">
        <f t="shared" si="68"/>
        <v/>
      </c>
      <c r="CK75" s="10" t="str">
        <f t="shared" si="69"/>
        <v/>
      </c>
      <c r="CL75" s="10" t="str">
        <f t="shared" si="70"/>
        <v>The Spirit of the Forest infuses its fascinating universe into this white tea-based recipe dedicated to saving the lynx. On a woody base, the fruity pep of blackcurrant, the freshness of mint and the honeyed notes of sweet chamomile are deliciously r</v>
      </c>
      <c r="CM75" s="10" t="str">
        <f t="shared" si="71"/>
        <v>evealed. For a magical, inspiring moment...</v>
      </c>
      <c r="CN75" s="10" t="str">
        <f t="shared" si="72"/>
        <v/>
      </c>
      <c r="CO75" s="10" t="str">
        <f t="shared" si="73"/>
        <v/>
      </c>
      <c r="CP75" s="10" t="str">
        <f t="shared" si="74"/>
        <v xml:space="preserve">Ingredients: white tea*, chamomile* 26%, spearmint 16%, natural (blackcurrant* 3%, blueberry*) flavourings, flower petals (chamomile*, cornflower*, heather*). *From organic farming. </v>
      </c>
      <c r="CQ75" s="10" t="str">
        <f t="shared" si="75"/>
        <v/>
      </c>
      <c r="CR75" s="10" t="str">
        <f t="shared" si="76"/>
        <v/>
      </c>
      <c r="CS75" s="10" t="str">
        <f t="shared" si="77"/>
        <v/>
      </c>
      <c r="CT75" s="10" t="str">
        <f t="shared" si="78"/>
        <v/>
      </c>
      <c r="CU75" s="10" t="str">
        <f t="shared" si="79"/>
        <v/>
      </c>
      <c r="CV75" s="10" t="str">
        <f t="shared" si="80"/>
        <v/>
      </c>
      <c r="CW75" s="10" t="str">
        <f t="shared" si="81"/>
        <v/>
      </c>
    </row>
    <row r="76" spans="1:101" ht="100.8">
      <c r="A76" s="129" t="s">
        <v>438</v>
      </c>
      <c r="B76" s="9" t="s">
        <v>777</v>
      </c>
      <c r="C76" s="9"/>
      <c r="D76" s="8" t="s">
        <v>434</v>
      </c>
      <c r="E76" s="9" t="s">
        <v>435</v>
      </c>
      <c r="F76" s="9" t="s">
        <v>57</v>
      </c>
      <c r="G76" s="9" t="s">
        <v>1001</v>
      </c>
      <c r="H76" s="10" t="s">
        <v>5</v>
      </c>
      <c r="I76" s="10" t="s">
        <v>29</v>
      </c>
      <c r="J76" s="10" t="s">
        <v>29</v>
      </c>
      <c r="K76" s="10" t="s">
        <v>29</v>
      </c>
      <c r="L76" s="10" t="s">
        <v>29</v>
      </c>
      <c r="M76" s="10" t="s">
        <v>29</v>
      </c>
      <c r="N76" s="10" t="s">
        <v>37</v>
      </c>
      <c r="O76" s="9"/>
      <c r="P76" s="9" t="s">
        <v>436</v>
      </c>
      <c r="Q76" s="98" t="s">
        <v>1000</v>
      </c>
      <c r="R76" s="26"/>
      <c r="S76" s="9"/>
      <c r="T76" s="9" t="s">
        <v>437</v>
      </c>
      <c r="U76"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76" s="9" t="s">
        <v>41</v>
      </c>
      <c r="W76" s="9" t="s">
        <v>29</v>
      </c>
      <c r="X76" s="10">
        <v>100</v>
      </c>
      <c r="Y76" s="19" t="s">
        <v>59</v>
      </c>
      <c r="Z76" s="19">
        <v>75</v>
      </c>
      <c r="AA76" s="10">
        <v>2</v>
      </c>
      <c r="AB76" s="10">
        <v>50</v>
      </c>
      <c r="AC76" s="12">
        <v>3582810869024</v>
      </c>
      <c r="AD76" s="10" t="s">
        <v>29</v>
      </c>
      <c r="AE76" s="10" t="s">
        <v>1002</v>
      </c>
      <c r="AF76" s="10" t="s">
        <v>1002</v>
      </c>
      <c r="AG76" s="10" t="s">
        <v>1003</v>
      </c>
      <c r="AH76" s="20" t="s">
        <v>1004</v>
      </c>
      <c r="AI76" s="54" t="s">
        <v>776</v>
      </c>
      <c r="AJ76" s="54" t="s">
        <v>776</v>
      </c>
      <c r="AK76" s="55">
        <v>45846</v>
      </c>
      <c r="AL76" s="10"/>
      <c r="AM76" s="10"/>
      <c r="AN76" s="10"/>
      <c r="AO76" s="10"/>
      <c r="AP76" s="10"/>
      <c r="AQ76" s="51" t="s">
        <v>1364</v>
      </c>
      <c r="AR76" s="51" t="s">
        <v>1365</v>
      </c>
      <c r="AS76" s="82" t="s">
        <v>1555</v>
      </c>
      <c r="AT76" s="9" t="s">
        <v>1366</v>
      </c>
      <c r="AU76" s="83" t="s">
        <v>1367</v>
      </c>
      <c r="AV76" s="82" t="s">
        <v>1368</v>
      </c>
      <c r="AW76" s="52"/>
      <c r="AX76" s="74" t="s">
        <v>1818</v>
      </c>
      <c r="AY76" s="51"/>
      <c r="AZ76" s="51"/>
      <c r="BA76" s="51"/>
      <c r="BB76" s="51"/>
      <c r="BC76" s="51"/>
      <c r="BD76" s="51"/>
      <c r="BE76" s="51"/>
      <c r="BF76" s="92"/>
      <c r="BG76" s="92"/>
      <c r="BH76" s="92"/>
      <c r="BI76" s="92"/>
      <c r="BJ76" s="92"/>
      <c r="BK76" s="92"/>
      <c r="BL76" s="92"/>
      <c r="BN76" s="7" t="str">
        <f>IF(IFERROR(FIND("romatis",TableauJDG[[#This Row],[TYPE DE THÉ FR]]),0)=0,"","aromatisé")</f>
        <v>aromatisé</v>
      </c>
      <c r="BV76" s="10" t="str">
        <f t="shared" si="82"/>
        <v>Ce mariage de thés verts japonais associé au trio tonique « maté-guarana-gingembre » séduit par ses saveurs fruitées et citronnées et son agréable effet tonique ! À l’image du lézard qui recharge ses batteries au soleil, faites le plein d’énergie à t</v>
      </c>
      <c r="BW76" s="10" t="str">
        <f t="shared" si="83"/>
        <v>out moment de la journée !</v>
      </c>
      <c r="BX76" s="10" t="str">
        <f t="shared" si="56"/>
        <v/>
      </c>
      <c r="BY76" s="10" t="str">
        <f t="shared" si="57"/>
        <v/>
      </c>
      <c r="BZ76" s="10" t="str">
        <f t="shared" si="58"/>
        <v>Ingrédients : thé vert* 65%, maté* 11%, lemongrass*, guarana*, gingembre*, verveine*, morceaux de pêche*, arôme naturel de pêche*. *Issu de l'agriculture biologique.</v>
      </c>
      <c r="CA76" s="10" t="str">
        <f t="shared" si="59"/>
        <v/>
      </c>
      <c r="CB76" s="10" t="str">
        <f t="shared" si="60"/>
        <v/>
      </c>
      <c r="CC76" s="10" t="str">
        <f t="shared" si="61"/>
        <v/>
      </c>
      <c r="CD76" s="10" t="str">
        <f t="shared" si="62"/>
        <v>Consommation journalière conseillée : 3 tasses de 25 cl.
Il est recommandé d'adopter un mode de vie sain et une alimentation variée et équilibrée pour profiter pleinement des vertus de cette infusion. Informations nutritionnelles moyennes pour 100 m</v>
      </c>
      <c r="CE76" s="10" t="str">
        <f t="shared" si="63"/>
        <v>l : Énergie 3 kJ/1 kcal. Cette infusion contient des quantités négligeables de matières grasses dont acides gras saturés, de glucides dont sucres, de protéines et de sel.</v>
      </c>
      <c r="CF76" s="10" t="str">
        <f t="shared" si="64"/>
        <v/>
      </c>
      <c r="CG76" s="10" t="str">
        <f t="shared" si="65"/>
        <v/>
      </c>
      <c r="CH76" s="10" t="str">
        <f t="shared" si="66"/>
        <v>/</v>
      </c>
      <c r="CI76" s="10" t="str">
        <f t="shared" si="67"/>
        <v/>
      </c>
      <c r="CJ76" s="10" t="str">
        <f t="shared" si="68"/>
        <v/>
      </c>
      <c r="CK76" s="10" t="str">
        <f t="shared" si="69"/>
        <v/>
      </c>
      <c r="CL76" s="10" t="str">
        <f t="shared" si="70"/>
        <v>This marriage of Japanese green teas with the tonic trio "mate-guarana-ginger" seduces with its fruity, lemony flavours and pleasant tonic effect! Like a lizard recharging its batteries in the sun, it's a great way to fill up on energy at any time o</v>
      </c>
      <c r="CM76" s="10" t="str">
        <f t="shared" si="71"/>
        <v>f day!</v>
      </c>
      <c r="CN76" s="10" t="str">
        <f t="shared" si="72"/>
        <v/>
      </c>
      <c r="CO76" s="10" t="str">
        <f t="shared" si="73"/>
        <v/>
      </c>
      <c r="CP76" s="10" t="str">
        <f t="shared" si="74"/>
        <v xml:space="preserve">Ingredients: green tea* 65%, mate* 11%, lemongrass*, guarana*, ginger*, verbena*, peach pieces*, natural peach  flavouring*. *From organic farming. </v>
      </c>
      <c r="CQ76" s="10" t="str">
        <f t="shared" si="75"/>
        <v/>
      </c>
      <c r="CR76" s="10" t="str">
        <f t="shared" si="76"/>
        <v/>
      </c>
      <c r="CS76" s="10" t="str">
        <f t="shared" si="77"/>
        <v/>
      </c>
      <c r="CT76" s="10" t="str">
        <f t="shared" si="78"/>
        <v>Recommended daily consumption: 3 cups of 25 cl. 
A healthy lifestyle and a varied, balanced diet are recommended to fully benefit from the properties of this infusion. Average nutritional information per 100 ml: Energy 3 kJ/1 kcal. This herbal tea co</v>
      </c>
      <c r="CU76" s="10" t="str">
        <f t="shared" si="79"/>
        <v>ntains negligible amounts of fats (including saturated fats), carbohydrates (including sugars), proteins and salt.</v>
      </c>
      <c r="CV76" s="10" t="str">
        <f t="shared" si="80"/>
        <v/>
      </c>
      <c r="CW76" s="10" t="str">
        <f t="shared" si="81"/>
        <v/>
      </c>
    </row>
    <row r="77" spans="1:101" ht="109.2">
      <c r="A77" s="129" t="s">
        <v>442</v>
      </c>
      <c r="B77" s="9" t="s">
        <v>26</v>
      </c>
      <c r="C77" s="9"/>
      <c r="D77" s="8" t="s">
        <v>439</v>
      </c>
      <c r="E77" s="9" t="s">
        <v>440</v>
      </c>
      <c r="F77" s="9" t="s">
        <v>27</v>
      </c>
      <c r="G77" s="9" t="s">
        <v>67</v>
      </c>
      <c r="H77" s="10" t="s">
        <v>5</v>
      </c>
      <c r="I77" s="10" t="s">
        <v>6</v>
      </c>
      <c r="J77" s="10" t="s">
        <v>29</v>
      </c>
      <c r="K77" s="10" t="s">
        <v>8</v>
      </c>
      <c r="L77" s="10" t="s">
        <v>29</v>
      </c>
      <c r="M77" s="10" t="s">
        <v>29</v>
      </c>
      <c r="N77" s="10" t="s">
        <v>68</v>
      </c>
      <c r="O77" s="9"/>
      <c r="P77" s="9" t="s">
        <v>441</v>
      </c>
      <c r="Q77" s="9" t="s">
        <v>1005</v>
      </c>
      <c r="R77" s="9"/>
      <c r="S77" s="9"/>
      <c r="T77" s="9" t="s">
        <v>69</v>
      </c>
      <c r="U77"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77" s="9" t="s">
        <v>29</v>
      </c>
      <c r="W77" s="9" t="s">
        <v>31</v>
      </c>
      <c r="X77" s="10">
        <v>100</v>
      </c>
      <c r="Y77" s="11" t="s">
        <v>32</v>
      </c>
      <c r="Z77" s="19">
        <v>95</v>
      </c>
      <c r="AA77" s="10">
        <v>2</v>
      </c>
      <c r="AB77" s="10">
        <v>50</v>
      </c>
      <c r="AC77" s="12">
        <v>3582810240823</v>
      </c>
      <c r="AD77" s="10" t="s">
        <v>29</v>
      </c>
      <c r="AE77" s="10" t="s">
        <v>443</v>
      </c>
      <c r="AF77" s="10" t="s">
        <v>1006</v>
      </c>
      <c r="AG77" s="10" t="s">
        <v>1007</v>
      </c>
      <c r="AH77" s="20" t="s">
        <v>70</v>
      </c>
      <c r="AI77" s="54" t="s">
        <v>776</v>
      </c>
      <c r="AJ77" s="54" t="s">
        <v>776</v>
      </c>
      <c r="AK77" s="55">
        <v>45722</v>
      </c>
      <c r="AL77" s="10"/>
      <c r="AM77" s="10"/>
      <c r="AN77" s="10"/>
      <c r="AO77" s="10"/>
      <c r="AP77" s="10"/>
      <c r="AQ77" s="51" t="s">
        <v>439</v>
      </c>
      <c r="AR77" s="51" t="s">
        <v>440</v>
      </c>
      <c r="AS77" s="82" t="s">
        <v>1562</v>
      </c>
      <c r="AT77" s="82" t="s">
        <v>67</v>
      </c>
      <c r="AU77" s="140" t="s">
        <v>1491</v>
      </c>
      <c r="AV77" s="82" t="s">
        <v>741</v>
      </c>
      <c r="AW77" s="52"/>
      <c r="AX77" s="51"/>
      <c r="AY77" s="51"/>
      <c r="AZ77" s="51"/>
      <c r="BA77" s="51"/>
      <c r="BB77" s="51"/>
      <c r="BC77" s="51"/>
      <c r="BD77" s="51"/>
      <c r="BE77" s="51"/>
      <c r="BF77" s="92"/>
      <c r="BG77" s="92"/>
      <c r="BH77" s="92"/>
      <c r="BI77" s="92"/>
      <c r="BJ77" s="92"/>
      <c r="BK77" s="92"/>
      <c r="BL77" s="92"/>
      <c r="BN77" s="7" t="str">
        <f>IF(IFERROR(FIND("romatis",TableauJDG[[#This Row],[TYPE DE THÉ FR]]),0)=0,"","aromatisé")</f>
        <v/>
      </c>
      <c r="BV77" s="10" t="str">
        <f t="shared" si="82"/>
        <v>Originaire du Vietnam, ce thé noir issu de théiers anciens est le fruit du travail des membres de la minorité ethnique locale « Dao ». Ses feuilles sombres et torsadées offrent une tasse douce et maltée aux jolies notes de châtaignes grillées et de f</v>
      </c>
      <c r="BW77" s="10" t="str">
        <f t="shared" si="83"/>
        <v>leurs. Un régal le matin avec un nuage lait…</v>
      </c>
      <c r="BX77" s="10" t="str">
        <f t="shared" si="56"/>
        <v/>
      </c>
      <c r="BY77" s="10" t="str">
        <f t="shared" si="57"/>
        <v/>
      </c>
      <c r="BZ77" s="10" t="str">
        <f t="shared" si="58"/>
        <v>Ingrédient : thé noir*. *Issu de l'agriculture biologique.</v>
      </c>
      <c r="CA77" s="10" t="str">
        <f t="shared" si="59"/>
        <v/>
      </c>
      <c r="CB77" s="10" t="str">
        <f t="shared" si="60"/>
        <v/>
      </c>
      <c r="CC77" s="10" t="str">
        <f t="shared" si="61"/>
        <v/>
      </c>
      <c r="CD77" s="10" t="str">
        <f t="shared" si="62"/>
        <v>/</v>
      </c>
      <c r="CE77" s="10" t="str">
        <f t="shared" si="63"/>
        <v/>
      </c>
      <c r="CF77" s="10" t="str">
        <f t="shared" si="64"/>
        <v/>
      </c>
      <c r="CG77" s="10" t="str">
        <f t="shared" si="65"/>
        <v/>
      </c>
      <c r="CH77" s="10" t="str">
        <f t="shared" si="66"/>
        <v>Membre certifié World Fair Trade Organization, Les Jardins de Gaïa s’engagent pour un commerce plus juste et répondent aux exigences du commerce équitable. Pour en savoir plus : www.wfto.com.</v>
      </c>
      <c r="CI77" s="10" t="str">
        <f t="shared" si="67"/>
        <v/>
      </c>
      <c r="CJ77" s="10" t="str">
        <f t="shared" si="68"/>
        <v/>
      </c>
      <c r="CK77" s="10" t="str">
        <f t="shared" si="69"/>
        <v/>
      </c>
      <c r="CL77" s="10" t="str">
        <f t="shared" si="70"/>
        <v>Originating in Vietnam, this black tea from ancient tea bushes is the fruit of the labor of members of the local Dao ethnic minority. Its dark, twisted leaves offer a sweet, malty cup with lovely notes of roasted chestnuts and flowers. A treat in th</v>
      </c>
      <c r="CM77" s="10" t="str">
        <f t="shared" si="71"/>
        <v>e morning with a cloud of milk...</v>
      </c>
      <c r="CN77" s="10" t="str">
        <f t="shared" si="72"/>
        <v/>
      </c>
      <c r="CO77" s="10" t="str">
        <f t="shared" si="73"/>
        <v/>
      </c>
      <c r="CP77" s="10" t="str">
        <f t="shared" si="74"/>
        <v>Ingredient: black tea*. *From organic farming.</v>
      </c>
      <c r="CQ77" s="10" t="str">
        <f t="shared" si="75"/>
        <v/>
      </c>
      <c r="CR77" s="10" t="str">
        <f t="shared" si="76"/>
        <v/>
      </c>
      <c r="CS77" s="10" t="str">
        <f t="shared" si="77"/>
        <v/>
      </c>
      <c r="CT77" s="10" t="str">
        <f t="shared" si="78"/>
        <v/>
      </c>
      <c r="CU77" s="10" t="str">
        <f t="shared" si="79"/>
        <v/>
      </c>
      <c r="CV77" s="10" t="str">
        <f t="shared" si="80"/>
        <v/>
      </c>
      <c r="CW77" s="10" t="str">
        <f t="shared" si="81"/>
        <v/>
      </c>
    </row>
    <row r="78" spans="1:101" ht="93.6">
      <c r="A78" s="128" t="s">
        <v>446</v>
      </c>
      <c r="B78" s="9" t="s">
        <v>787</v>
      </c>
      <c r="C78" s="9" t="s">
        <v>791</v>
      </c>
      <c r="D78" s="8" t="s">
        <v>444</v>
      </c>
      <c r="E78" s="108" t="s">
        <v>1674</v>
      </c>
      <c r="F78" s="9" t="s">
        <v>276</v>
      </c>
      <c r="G78" s="9" t="s">
        <v>288</v>
      </c>
      <c r="H78" s="10" t="s">
        <v>5</v>
      </c>
      <c r="I78" s="10" t="s">
        <v>6</v>
      </c>
      <c r="J78" s="10" t="s">
        <v>29</v>
      </c>
      <c r="K78" s="10" t="s">
        <v>29</v>
      </c>
      <c r="L78" s="10" t="s">
        <v>29</v>
      </c>
      <c r="M78" s="10" t="s">
        <v>29</v>
      </c>
      <c r="N78" s="10" t="s">
        <v>37</v>
      </c>
      <c r="O78" s="9"/>
      <c r="P78" s="9" t="s">
        <v>445</v>
      </c>
      <c r="Q78" s="60" t="s">
        <v>1008</v>
      </c>
      <c r="R78" s="60"/>
      <c r="S78" s="9" t="s">
        <v>792</v>
      </c>
      <c r="T78" s="24" t="s">
        <v>1009</v>
      </c>
      <c r="U78" s="24"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78" s="9" t="s">
        <v>29</v>
      </c>
      <c r="W78" s="9" t="s">
        <v>31</v>
      </c>
      <c r="X78" s="10">
        <v>100</v>
      </c>
      <c r="Y78" s="11" t="s">
        <v>72</v>
      </c>
      <c r="Z78" s="19">
        <v>95</v>
      </c>
      <c r="AA78" s="10">
        <v>2</v>
      </c>
      <c r="AB78" s="10">
        <v>50</v>
      </c>
      <c r="AC78" s="12">
        <v>3582810273722</v>
      </c>
      <c r="AD78" s="10" t="s">
        <v>29</v>
      </c>
      <c r="AE78" s="10" t="s">
        <v>447</v>
      </c>
      <c r="AF78" s="10" t="s">
        <v>1010</v>
      </c>
      <c r="AG78" s="10" t="s">
        <v>1011</v>
      </c>
      <c r="AH78" s="20" t="s">
        <v>38</v>
      </c>
      <c r="AI78" s="54" t="s">
        <v>776</v>
      </c>
      <c r="AJ78" s="54" t="s">
        <v>776</v>
      </c>
      <c r="AK78" s="55">
        <v>45698</v>
      </c>
      <c r="AL78" s="10"/>
      <c r="AM78" s="10">
        <v>25029</v>
      </c>
      <c r="AN78" s="10"/>
      <c r="AO78" s="10"/>
      <c r="AP78" s="10"/>
      <c r="AQ78" s="51" t="s">
        <v>444</v>
      </c>
      <c r="AR78" s="51" t="s">
        <v>1476</v>
      </c>
      <c r="AS78" s="82" t="s">
        <v>1550</v>
      </c>
      <c r="AT78" s="82" t="s">
        <v>1477</v>
      </c>
      <c r="AU78" s="142" t="s">
        <v>1478</v>
      </c>
      <c r="AV78" s="82" t="s">
        <v>1479</v>
      </c>
      <c r="AW78" s="52"/>
      <c r="AX78" s="51"/>
      <c r="AY78" s="51"/>
      <c r="AZ78" s="51"/>
      <c r="BA78" s="51"/>
      <c r="BB78" s="51"/>
      <c r="BC78" s="51"/>
      <c r="BD78" s="51"/>
      <c r="BE78" s="51"/>
      <c r="BF78" s="92"/>
      <c r="BG78" s="92"/>
      <c r="BH78" s="92"/>
      <c r="BI78" s="92"/>
      <c r="BJ78" s="92"/>
      <c r="BK78" s="92"/>
      <c r="BL78" s="92"/>
      <c r="BN78" s="7" t="str">
        <f>IF(IFERROR(FIND("romatis",TableauJDG[[#This Row],[TYPE DE THÉ FR]]),0)=0,"","aromatisé")</f>
        <v/>
      </c>
      <c r="BV78" s="10" t="str">
        <f t="shared" si="82"/>
        <v>Telle une irrésistible étincelle, cette recette à base de thé noir délicieusement épicée est une invitation à réveiller toutes les ardeurs qui sommeillent. Laissez-vous porter par ses saveurs gourmandes aux notes miellées, épicées et citronnées qui o</v>
      </c>
      <c r="BW78" s="10" t="str">
        <f t="shared" si="83"/>
        <v xml:space="preserve">uvrent les portes de plaisirs insoupçonnés… </v>
      </c>
      <c r="BX78" s="10" t="str">
        <f t="shared" si="56"/>
        <v/>
      </c>
      <c r="BY78" s="10" t="str">
        <f t="shared" si="57"/>
        <v/>
      </c>
      <c r="BZ78" s="10" t="str">
        <f t="shared" si="58"/>
        <v>Ingrédients : thé noir*, honeybush* 16%, gingembre*, fève tonka* 7%, curcuma*, écorces de mandarine*, piment* 4%, baies roses*, pétales de coquelicot*. *Issu de l’agriculture biologique.</v>
      </c>
      <c r="CA78" s="10" t="str">
        <f t="shared" si="59"/>
        <v/>
      </c>
      <c r="CB78" s="10" t="str">
        <f t="shared" si="60"/>
        <v/>
      </c>
      <c r="CC78" s="10" t="str">
        <f t="shared" si="61"/>
        <v/>
      </c>
      <c r="CD78" s="10" t="str">
        <f t="shared" si="62"/>
        <v>/</v>
      </c>
      <c r="CE78" s="10" t="str">
        <f t="shared" si="63"/>
        <v/>
      </c>
      <c r="CF78" s="10" t="str">
        <f t="shared" si="64"/>
        <v/>
      </c>
      <c r="CG78" s="10" t="str">
        <f t="shared" si="65"/>
        <v/>
      </c>
      <c r="CH78" s="10" t="str">
        <f t="shared" si="66"/>
        <v>Membre certifié World Fair Trade Organization, Les Jardins de Gaïa s’engagent pour un commerce plus juste et répondent aux exigences du commerce équitable. Pour en savoir plus : www.wfto.com.</v>
      </c>
      <c r="CI78" s="10" t="str">
        <f t="shared" si="67"/>
        <v/>
      </c>
      <c r="CJ78" s="10" t="str">
        <f t="shared" si="68"/>
        <v/>
      </c>
      <c r="CK78" s="10" t="str">
        <f t="shared" si="69"/>
        <v/>
      </c>
      <c r="CL78" s="10" t="str">
        <f t="shared" si="70"/>
        <v>Like an irresistible spark, this deliciously spicy black tea recipe is an invitation to awaken all dormant ardors. Let yourself be carried away by its indulgent flavours with honeyed, spicy and lemony notes, opening the door to unsuspected pleasures.</v>
      </c>
      <c r="CM78" s="10" t="str">
        <f t="shared" si="71"/>
        <v xml:space="preserve">.. </v>
      </c>
      <c r="CN78" s="10" t="str">
        <f t="shared" si="72"/>
        <v/>
      </c>
      <c r="CO78" s="10" t="str">
        <f t="shared" si="73"/>
        <v/>
      </c>
      <c r="CP78" s="10" t="str">
        <f t="shared" si="74"/>
        <v>Ingredients: black tea*, honeybush* 16%, ginger*, tonka bean* 7%, turmeric*, mandarin peels*, chili pepper* 4%, pink berries*, poppy petals*. *From organic farming.</v>
      </c>
      <c r="CQ78" s="10" t="str">
        <f t="shared" si="75"/>
        <v/>
      </c>
      <c r="CR78" s="10" t="str">
        <f t="shared" si="76"/>
        <v/>
      </c>
      <c r="CS78" s="10" t="str">
        <f t="shared" si="77"/>
        <v/>
      </c>
      <c r="CT78" s="10" t="str">
        <f t="shared" si="78"/>
        <v/>
      </c>
      <c r="CU78" s="10" t="str">
        <f t="shared" si="79"/>
        <v/>
      </c>
      <c r="CV78" s="10" t="str">
        <f t="shared" si="80"/>
        <v/>
      </c>
      <c r="CW78" s="10" t="str">
        <f t="shared" si="81"/>
        <v/>
      </c>
    </row>
    <row r="79" spans="1:101" ht="115.2">
      <c r="A79" s="129" t="s">
        <v>1017</v>
      </c>
      <c r="B79" s="9" t="s">
        <v>779</v>
      </c>
      <c r="C79" s="9"/>
      <c r="D79" s="8" t="s">
        <v>1012</v>
      </c>
      <c r="E79" s="24" t="s">
        <v>1013</v>
      </c>
      <c r="F79" s="9" t="s">
        <v>1014</v>
      </c>
      <c r="G79" s="9" t="s">
        <v>61</v>
      </c>
      <c r="H79" s="10" t="s">
        <v>5</v>
      </c>
      <c r="I79" s="10" t="s">
        <v>6</v>
      </c>
      <c r="J79" s="10" t="s">
        <v>29</v>
      </c>
      <c r="K79" s="10" t="s">
        <v>29</v>
      </c>
      <c r="L79" s="10" t="s">
        <v>29</v>
      </c>
      <c r="M79" s="10" t="s">
        <v>29</v>
      </c>
      <c r="N79" s="10" t="s">
        <v>37</v>
      </c>
      <c r="O79" s="9" t="s">
        <v>780</v>
      </c>
      <c r="P79" s="25" t="s">
        <v>29</v>
      </c>
      <c r="Q79" s="98" t="s">
        <v>1015</v>
      </c>
      <c r="R79" s="26"/>
      <c r="S79" s="95" t="s">
        <v>1635</v>
      </c>
      <c r="T79" s="9" t="s">
        <v>1016</v>
      </c>
      <c r="U79"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79" s="9"/>
      <c r="W79" s="9" t="s">
        <v>31</v>
      </c>
      <c r="X79" s="10">
        <v>80</v>
      </c>
      <c r="Y79" s="11" t="s">
        <v>1018</v>
      </c>
      <c r="Z79" s="19">
        <v>95</v>
      </c>
      <c r="AA79" s="10">
        <v>2</v>
      </c>
      <c r="AB79" s="10">
        <v>40</v>
      </c>
      <c r="AC79" s="12">
        <v>3582810274620</v>
      </c>
      <c r="AD79" s="10"/>
      <c r="AE79" s="10" t="s">
        <v>1732</v>
      </c>
      <c r="AF79" s="10" t="s">
        <v>1019</v>
      </c>
      <c r="AG79" s="10" t="s">
        <v>1020</v>
      </c>
      <c r="AH79" s="20"/>
      <c r="AI79" s="54" t="s">
        <v>776</v>
      </c>
      <c r="AJ79" s="54" t="s">
        <v>776</v>
      </c>
      <c r="AK79" s="55">
        <v>45758</v>
      </c>
      <c r="AL79" s="10"/>
      <c r="AM79" s="10"/>
      <c r="AN79" s="10"/>
      <c r="AO79" s="50" t="s">
        <v>774</v>
      </c>
      <c r="AP79" s="44" t="s">
        <v>1625</v>
      </c>
      <c r="AQ79" s="51" t="s">
        <v>1395</v>
      </c>
      <c r="AR79" s="51" t="s">
        <v>1396</v>
      </c>
      <c r="AS79" s="87" t="s">
        <v>1549</v>
      </c>
      <c r="AT79" s="87" t="e">
        <f>VLOOKUP(A79,TRADS,14,0)</f>
        <v>#REF!</v>
      </c>
      <c r="AU79" s="87" t="s">
        <v>1397</v>
      </c>
      <c r="AV79" s="87" t="s">
        <v>1682</v>
      </c>
      <c r="AW79" s="87"/>
      <c r="AX79" s="114" t="s">
        <v>29</v>
      </c>
      <c r="AY79" s="51" t="e">
        <v>#N/A</v>
      </c>
      <c r="AZ79" s="51" t="e">
        <v>#N/A</v>
      </c>
      <c r="BA79" s="51" t="s">
        <v>1636</v>
      </c>
      <c r="BB79" s="51" t="s">
        <v>1642</v>
      </c>
      <c r="BC79" s="51" t="s">
        <v>1573</v>
      </c>
      <c r="BD79" s="51" t="s">
        <v>1287</v>
      </c>
      <c r="BE79" s="51"/>
      <c r="BF79" s="92"/>
      <c r="BG79" s="92"/>
      <c r="BH79" s="92"/>
      <c r="BI79" s="92"/>
      <c r="BJ79" s="92"/>
      <c r="BK79" s="92"/>
      <c r="BL79" s="92"/>
      <c r="BM79" s="93">
        <v>1</v>
      </c>
      <c r="BN79" s="7" t="str">
        <f>IF(IFERROR(FIND("romatis",TableauJDG[[#This Row],[TYPE DE THÉ FR]]),0)=0,"","aromatisé")</f>
        <v>aromatisé</v>
      </c>
      <c r="BV79" s="10" t="str">
        <f t="shared" si="82"/>
        <v>Au terme de son Odyssée, ce thé noir qui a traversé l’océan s’est paré d’un voile de gourmandise pour mieux nous charmer. Les notes caramélisées du sarrasin grillé harmonieusement mêlées aux saveurs boisées du thé servent de fond aromatique à d’irrés</v>
      </c>
      <c r="BW79" s="10" t="str">
        <f t="shared" si="83"/>
        <v xml:space="preserve">istibles saveurs de bananes compotées. </v>
      </c>
      <c r="BX79" s="10" t="str">
        <f t="shared" si="56"/>
        <v/>
      </c>
      <c r="BY79" s="10" t="str">
        <f t="shared" si="57"/>
        <v/>
      </c>
      <c r="BZ79" s="10" t="str">
        <f t="shared" si="58"/>
        <v>Ingrédients : thé noir*, sarrasin torréfié* 17%, arômes naturels de (banane* 6%, caramel* 3%, vanille*), feuilles de fraisier*, morceaux de banane* 1%. *Issu de l’agriculture biologique.</v>
      </c>
      <c r="CA79" s="10" t="str">
        <f t="shared" si="59"/>
        <v/>
      </c>
      <c r="CB79" s="10" t="str">
        <f t="shared" si="60"/>
        <v/>
      </c>
      <c r="CC79" s="10" t="str">
        <f t="shared" si="61"/>
        <v/>
      </c>
      <c r="CD79" s="10" t="str">
        <f t="shared" si="62"/>
        <v/>
      </c>
      <c r="CE79" s="10" t="str">
        <f t="shared" si="63"/>
        <v/>
      </c>
      <c r="CF79" s="10" t="str">
        <f t="shared" si="64"/>
        <v/>
      </c>
      <c r="CG79" s="10" t="str">
        <f t="shared" si="65"/>
        <v/>
      </c>
      <c r="CH79" s="10" t="str">
        <f t="shared" si="66"/>
        <v>Membre certifié World Fair Trade Organization, Les Jardins de Gaïa s’engagent pour un commerce plus juste et répondent aux exigences du commerce équitable. Pour en savoir plus : www.wfto.com.</v>
      </c>
      <c r="CI79" s="10" t="str">
        <f t="shared" si="67"/>
        <v/>
      </c>
      <c r="CJ79" s="10" t="str">
        <f t="shared" si="68"/>
        <v/>
      </c>
      <c r="CK79" s="10" t="str">
        <f t="shared" si="69"/>
        <v/>
      </c>
      <c r="CL79" s="10" t="str">
        <f t="shared" si="70"/>
        <v>At the end of its Odyssey, this black tea which crossed the ocean is adorned with a veil of gourmandise to better charm us. The caramelized notes of roasted buckwheat blend harmoniously with the tea's woody flavours, providing an aromatic backdrop fo</v>
      </c>
      <c r="CM79" s="10" t="str">
        <f t="shared" si="71"/>
        <v xml:space="preserve">r irresistible flavours of stewed bananas. </v>
      </c>
      <c r="CN79" s="10" t="str">
        <f t="shared" si="72"/>
        <v/>
      </c>
      <c r="CO79" s="10" t="str">
        <f t="shared" si="73"/>
        <v/>
      </c>
      <c r="CP79" s="10" t="str">
        <f t="shared" si="74"/>
        <v>Ingredients: black tea*, toasted buckwheat* 17%, natural (banana* 6%, caramel* 3%, vanilla*) flavourings, strawberry leaves*, banana pieces* 1%. *From organic farming.</v>
      </c>
      <c r="CQ79" s="10" t="str">
        <f t="shared" si="75"/>
        <v/>
      </c>
      <c r="CR79" s="10" t="str">
        <f t="shared" si="76"/>
        <v/>
      </c>
      <c r="CS79" s="10" t="str">
        <f t="shared" si="77"/>
        <v/>
      </c>
      <c r="CT79" s="10" t="str">
        <f t="shared" si="78"/>
        <v>/</v>
      </c>
      <c r="CU79" s="10" t="str">
        <f t="shared" si="79"/>
        <v/>
      </c>
      <c r="CV79" s="10" t="str">
        <f t="shared" si="80"/>
        <v/>
      </c>
      <c r="CW79" s="10" t="str">
        <f t="shared" si="81"/>
        <v/>
      </c>
    </row>
    <row r="80" spans="1:101" s="106" customFormat="1" ht="78">
      <c r="A80" s="129" t="s">
        <v>451</v>
      </c>
      <c r="B80" s="9" t="s">
        <v>26</v>
      </c>
      <c r="C80" s="9"/>
      <c r="D80" s="8" t="s">
        <v>448</v>
      </c>
      <c r="E80" s="9" t="s">
        <v>449</v>
      </c>
      <c r="F80" s="9" t="s">
        <v>53</v>
      </c>
      <c r="G80" s="9" t="s">
        <v>96</v>
      </c>
      <c r="H80" s="10" t="s">
        <v>5</v>
      </c>
      <c r="I80" s="10" t="s">
        <v>6</v>
      </c>
      <c r="J80" s="10" t="s">
        <v>29</v>
      </c>
      <c r="K80" s="10" t="s">
        <v>29</v>
      </c>
      <c r="L80" s="10" t="s">
        <v>29</v>
      </c>
      <c r="M80" s="10" t="s">
        <v>29</v>
      </c>
      <c r="N80" s="10" t="s">
        <v>47</v>
      </c>
      <c r="O80" s="9"/>
      <c r="P80" s="9" t="s">
        <v>450</v>
      </c>
      <c r="Q80" s="98" t="s">
        <v>1021</v>
      </c>
      <c r="R80" s="26"/>
      <c r="S80" s="9"/>
      <c r="T80" s="9" t="s">
        <v>56</v>
      </c>
      <c r="U80"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80" s="9" t="s">
        <v>29</v>
      </c>
      <c r="W80" s="9" t="s">
        <v>31</v>
      </c>
      <c r="X80" s="10">
        <v>100</v>
      </c>
      <c r="Y80" s="19" t="s">
        <v>59</v>
      </c>
      <c r="Z80" s="19">
        <v>75</v>
      </c>
      <c r="AA80" s="10">
        <v>2</v>
      </c>
      <c r="AB80" s="10">
        <v>50</v>
      </c>
      <c r="AC80" s="12">
        <v>3582810365625</v>
      </c>
      <c r="AD80" s="10" t="s">
        <v>29</v>
      </c>
      <c r="AE80" s="10" t="s">
        <v>452</v>
      </c>
      <c r="AF80" s="10" t="s">
        <v>1022</v>
      </c>
      <c r="AG80" s="10" t="s">
        <v>1023</v>
      </c>
      <c r="AH80" s="13" t="s">
        <v>60</v>
      </c>
      <c r="AI80" s="54" t="s">
        <v>776</v>
      </c>
      <c r="AJ80" s="54" t="s">
        <v>776</v>
      </c>
      <c r="AK80" s="55">
        <v>45771</v>
      </c>
      <c r="AL80" s="10"/>
      <c r="AM80" s="10"/>
      <c r="AN80" s="10"/>
      <c r="AO80" s="10"/>
      <c r="AP80" s="10"/>
      <c r="AQ80" s="51" t="s">
        <v>448</v>
      </c>
      <c r="AR80" s="51" t="s">
        <v>1542</v>
      </c>
      <c r="AS80" s="82" t="s">
        <v>1563</v>
      </c>
      <c r="AT80" s="9" t="s">
        <v>1509</v>
      </c>
      <c r="AU80" s="140" t="s">
        <v>1543</v>
      </c>
      <c r="AV80" s="82" t="s">
        <v>145</v>
      </c>
      <c r="AW80" s="52"/>
      <c r="AX80" s="51"/>
      <c r="AY80" s="51"/>
      <c r="AZ80" s="51"/>
      <c r="BA80" s="51"/>
      <c r="BB80" s="51"/>
      <c r="BC80" s="51"/>
      <c r="BD80" s="51"/>
      <c r="BE80" s="51"/>
      <c r="BF80" s="92"/>
      <c r="BG80" s="92"/>
      <c r="BH80" s="92"/>
      <c r="BI80" s="92"/>
      <c r="BJ80" s="92"/>
      <c r="BK80" s="92"/>
      <c r="BL80" s="92"/>
      <c r="BM80" s="7"/>
      <c r="BN80" s="7" t="str">
        <f>IF(IFERROR(FIND("romatis",TableauJDG[[#This Row],[TYPE DE THÉ FR]]),0)=0,"","aromatisé")</f>
        <v/>
      </c>
      <c r="BO80" s="10"/>
      <c r="BP80" s="7"/>
      <c r="BQ80" s="7"/>
      <c r="BR80" s="7"/>
      <c r="BS80" s="7"/>
      <c r="BT80" s="7"/>
      <c r="BU80" s="7"/>
      <c r="BV80" s="10" t="str">
        <f t="shared" si="82"/>
        <v>Grand classique des thés verts de Chine, le Long Jing ou « Puit du dragon » se distingue par ses feuilles lisses et plates en forme de langue de moineau. Il offre en bouche une liqueur moelleuse dont le goût rappelle la châtaigne accompagnée de note</v>
      </c>
      <c r="BW80" s="10" t="str">
        <f t="shared" si="83"/>
        <v>s torréfiées caractéristiques.</v>
      </c>
      <c r="BX80" s="10" t="str">
        <f t="shared" si="56"/>
        <v/>
      </c>
      <c r="BY80" s="10" t="str">
        <f t="shared" si="57"/>
        <v/>
      </c>
      <c r="BZ80" s="10" t="str">
        <f t="shared" si="58"/>
        <v>Ingrédient : thé vert*. *Issu de l'agriculture biologique.</v>
      </c>
      <c r="CA80" s="10" t="str">
        <f t="shared" si="59"/>
        <v/>
      </c>
      <c r="CB80" s="10" t="str">
        <f t="shared" si="60"/>
        <v/>
      </c>
      <c r="CC80" s="10" t="str">
        <f t="shared" si="61"/>
        <v/>
      </c>
      <c r="CD80" s="10" t="str">
        <f t="shared" si="62"/>
        <v>/</v>
      </c>
      <c r="CE80" s="10" t="str">
        <f t="shared" si="63"/>
        <v/>
      </c>
      <c r="CF80" s="10" t="str">
        <f t="shared" si="64"/>
        <v/>
      </c>
      <c r="CG80" s="10" t="str">
        <f t="shared" si="65"/>
        <v/>
      </c>
      <c r="CH80" s="10" t="str">
        <f t="shared" si="66"/>
        <v>Membre certifié World Fair Trade Organization, Les Jardins de Gaïa s’engagent pour un commerce plus juste et répondent aux exigences du commerce équitable. Pour en savoir plus : www.wfto.com.</v>
      </c>
      <c r="CI80" s="10" t="str">
        <f t="shared" si="67"/>
        <v/>
      </c>
      <c r="CJ80" s="10" t="str">
        <f t="shared" si="68"/>
        <v/>
      </c>
      <c r="CK80" s="10" t="str">
        <f t="shared" si="69"/>
        <v/>
      </c>
      <c r="CL80" s="10" t="str">
        <f t="shared" si="70"/>
        <v>The smooth, flat leaves in the shape of a sparrow's tongue are distinctive of this Long Jing or "Dragon's Well", a classic among Chinese green teas. Its mellow brew is reminiscent of chestnuts, with characteristic roasted notes.</v>
      </c>
      <c r="CM80" s="10" t="str">
        <f t="shared" si="71"/>
        <v/>
      </c>
      <c r="CN80" s="10" t="str">
        <f t="shared" si="72"/>
        <v/>
      </c>
      <c r="CO80" s="10" t="str">
        <f t="shared" si="73"/>
        <v/>
      </c>
      <c r="CP80" s="10" t="str">
        <f t="shared" si="74"/>
        <v>Ingredient: green tea*. *From organic farming.</v>
      </c>
      <c r="CQ80" s="10" t="str">
        <f t="shared" si="75"/>
        <v/>
      </c>
      <c r="CR80" s="10" t="str">
        <f t="shared" si="76"/>
        <v/>
      </c>
      <c r="CS80" s="10" t="str">
        <f t="shared" si="77"/>
        <v/>
      </c>
      <c r="CT80" s="10" t="str">
        <f t="shared" si="78"/>
        <v/>
      </c>
      <c r="CU80" s="10" t="str">
        <f t="shared" si="79"/>
        <v/>
      </c>
      <c r="CV80" s="10" t="str">
        <f t="shared" si="80"/>
        <v/>
      </c>
      <c r="CW80" s="10" t="str">
        <f t="shared" si="81"/>
        <v/>
      </c>
    </row>
    <row r="81" spans="1:101" ht="86.4">
      <c r="A81" s="129" t="s">
        <v>1024</v>
      </c>
      <c r="B81" s="9" t="s">
        <v>782</v>
      </c>
      <c r="C81" s="9"/>
      <c r="D81" s="8" t="s">
        <v>453</v>
      </c>
      <c r="E81" s="9" t="s">
        <v>454</v>
      </c>
      <c r="F81" s="9" t="s">
        <v>244</v>
      </c>
      <c r="G81" s="9" t="s">
        <v>215</v>
      </c>
      <c r="H81" s="10" t="s">
        <v>5</v>
      </c>
      <c r="I81" s="10" t="s">
        <v>6</v>
      </c>
      <c r="J81" s="10" t="s">
        <v>29</v>
      </c>
      <c r="K81" s="10" t="s">
        <v>29</v>
      </c>
      <c r="L81" s="10" t="s">
        <v>29</v>
      </c>
      <c r="M81" s="10" t="s">
        <v>29</v>
      </c>
      <c r="N81" s="10" t="s">
        <v>47</v>
      </c>
      <c r="O81" s="9"/>
      <c r="P81" s="9" t="s">
        <v>455</v>
      </c>
      <c r="Q81" s="75" t="s">
        <v>1633</v>
      </c>
      <c r="R81" s="75" t="s">
        <v>1632</v>
      </c>
      <c r="S81" s="9"/>
      <c r="T81" s="9" t="s">
        <v>56</v>
      </c>
      <c r="U81"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81" s="9" t="s">
        <v>29</v>
      </c>
      <c r="W81" s="9" t="s">
        <v>31</v>
      </c>
      <c r="X81" s="10">
        <v>50</v>
      </c>
      <c r="Y81" s="19" t="s">
        <v>59</v>
      </c>
      <c r="Z81" s="19">
        <v>75</v>
      </c>
      <c r="AA81" s="10">
        <v>2</v>
      </c>
      <c r="AB81" s="10">
        <v>25</v>
      </c>
      <c r="AC81" s="12">
        <v>3582810345863</v>
      </c>
      <c r="AD81" s="10" t="s">
        <v>50</v>
      </c>
      <c r="AE81" s="10" t="s">
        <v>456</v>
      </c>
      <c r="AF81" s="10" t="s">
        <v>1025</v>
      </c>
      <c r="AG81" s="10" t="s">
        <v>52</v>
      </c>
      <c r="AH81" s="13" t="s">
        <v>51</v>
      </c>
      <c r="AI81" s="10"/>
      <c r="AJ81" s="10"/>
      <c r="AK81" s="10"/>
      <c r="AL81" s="10"/>
      <c r="AM81" s="10"/>
      <c r="AN81" s="10"/>
      <c r="AO81" s="10"/>
      <c r="AP81" s="10"/>
      <c r="AQ81" s="51"/>
      <c r="AR81" s="51"/>
      <c r="AS81" s="51"/>
      <c r="AT81" s="51"/>
      <c r="AU81" s="51"/>
      <c r="AV81" s="52"/>
      <c r="AW81" s="52"/>
      <c r="AX81" s="51"/>
      <c r="AY81" s="51"/>
      <c r="AZ81" s="51"/>
      <c r="BA81" s="51"/>
      <c r="BB81" s="51"/>
      <c r="BC81" s="51"/>
      <c r="BD81" s="51"/>
      <c r="BE81" s="51"/>
      <c r="BF81" s="92"/>
      <c r="BG81" s="92"/>
      <c r="BH81" s="92"/>
      <c r="BI81" s="92"/>
      <c r="BJ81" s="92"/>
      <c r="BK81" s="92"/>
      <c r="BL81" s="92"/>
      <c r="BN81" s="7" t="str">
        <f>IF(IFERROR(FIND("romatis",TableauJDG[[#This Row],[TYPE DE THÉ FR]]),0)=0,"","aromatisé")</f>
        <v/>
      </c>
      <c r="BV81" s="10" t="str">
        <f t="shared" si="82"/>
        <v>Récolté au printemps, ce thé vert célébré par les poètes fait partie des thés verts de Chine les plus prisés. Son infusion d’une belle densité en bouche imprègne longuement le palais par ses saveurs typiques de châtaigne, de légumes printaniers cuit</v>
      </c>
      <c r="BW81" s="10" t="str">
        <f t="shared" si="83"/>
        <v xml:space="preserve">s accompagnées d’une pointe d’amertume.
</v>
      </c>
      <c r="BX81" s="10" t="str">
        <f t="shared" si="56"/>
        <v/>
      </c>
      <c r="BY81" s="10" t="str">
        <f t="shared" si="57"/>
        <v/>
      </c>
      <c r="BZ81" s="10" t="str">
        <f t="shared" si="58"/>
        <v>Ingrédient : thé vert*. *Issu de l'agriculture biologique.</v>
      </c>
      <c r="CA81" s="10" t="str">
        <f t="shared" si="59"/>
        <v/>
      </c>
      <c r="CB81" s="10" t="str">
        <f t="shared" si="60"/>
        <v/>
      </c>
      <c r="CC81" s="10" t="str">
        <f t="shared" si="61"/>
        <v/>
      </c>
      <c r="CD81" s="10" t="str">
        <f t="shared" si="62"/>
        <v>/</v>
      </c>
      <c r="CE81" s="10" t="str">
        <f t="shared" si="63"/>
        <v/>
      </c>
      <c r="CF81" s="10" t="str">
        <f t="shared" si="64"/>
        <v/>
      </c>
      <c r="CG81" s="10" t="str">
        <f t="shared" si="65"/>
        <v/>
      </c>
      <c r="CH81" s="10" t="str">
        <f t="shared" si="66"/>
        <v>Membre certifié World Fair Trade Organization, Les Jardins de Gaïa s’engagent pour un commerce plus juste et répondent aux exigences du commerce équitable. Pour en savoir plus : www.wfto.com.</v>
      </c>
      <c r="CI81" s="10" t="str">
        <f t="shared" si="67"/>
        <v/>
      </c>
      <c r="CJ81" s="10" t="str">
        <f t="shared" si="68"/>
        <v/>
      </c>
      <c r="CK81" s="10" t="str">
        <f t="shared" si="69"/>
        <v/>
      </c>
      <c r="CL81" s="10" t="str">
        <f t="shared" si="70"/>
        <v/>
      </c>
      <c r="CM81" s="10" t="str">
        <f t="shared" si="71"/>
        <v/>
      </c>
      <c r="CN81" s="10" t="str">
        <f t="shared" si="72"/>
        <v/>
      </c>
      <c r="CO81" s="10" t="str">
        <f t="shared" si="73"/>
        <v/>
      </c>
      <c r="CP81" s="10" t="str">
        <f t="shared" si="74"/>
        <v/>
      </c>
      <c r="CQ81" s="10" t="str">
        <f t="shared" si="75"/>
        <v/>
      </c>
      <c r="CR81" s="10" t="str">
        <f t="shared" si="76"/>
        <v/>
      </c>
      <c r="CS81" s="10" t="str">
        <f t="shared" si="77"/>
        <v/>
      </c>
      <c r="CT81" s="10" t="str">
        <f t="shared" si="78"/>
        <v/>
      </c>
      <c r="CU81" s="10" t="str">
        <f t="shared" si="79"/>
        <v/>
      </c>
      <c r="CV81" s="10" t="str">
        <f t="shared" si="80"/>
        <v/>
      </c>
      <c r="CW81" s="10" t="str">
        <f t="shared" si="81"/>
        <v/>
      </c>
    </row>
    <row r="82" spans="1:101" ht="78">
      <c r="A82" s="129" t="s">
        <v>460</v>
      </c>
      <c r="B82" s="9" t="s">
        <v>26</v>
      </c>
      <c r="C82" s="9"/>
      <c r="D82" s="8" t="s">
        <v>457</v>
      </c>
      <c r="E82" s="9" t="s">
        <v>458</v>
      </c>
      <c r="F82" s="9" t="s">
        <v>276</v>
      </c>
      <c r="G82" s="9" t="s">
        <v>61</v>
      </c>
      <c r="H82" s="10" t="s">
        <v>5</v>
      </c>
      <c r="I82" s="10" t="s">
        <v>6</v>
      </c>
      <c r="J82" s="10" t="s">
        <v>29</v>
      </c>
      <c r="K82" s="10" t="s">
        <v>29</v>
      </c>
      <c r="L82" s="10" t="s">
        <v>29</v>
      </c>
      <c r="M82" s="10" t="s">
        <v>29</v>
      </c>
      <c r="N82" s="10" t="s">
        <v>37</v>
      </c>
      <c r="O82" s="9"/>
      <c r="P82" s="9" t="s">
        <v>459</v>
      </c>
      <c r="Q82" s="57" t="s">
        <v>1026</v>
      </c>
      <c r="R82" s="57"/>
      <c r="S82" s="9"/>
      <c r="T82" s="24" t="s">
        <v>1027</v>
      </c>
      <c r="U82" s="24"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82" s="9" t="s">
        <v>29</v>
      </c>
      <c r="W82" s="9" t="s">
        <v>31</v>
      </c>
      <c r="X82" s="10">
        <v>100</v>
      </c>
      <c r="Y82" s="11" t="s">
        <v>32</v>
      </c>
      <c r="Z82" s="19">
        <v>90</v>
      </c>
      <c r="AA82" s="10">
        <v>2</v>
      </c>
      <c r="AB82" s="10">
        <v>50</v>
      </c>
      <c r="AC82" s="12">
        <v>3582810120101</v>
      </c>
      <c r="AD82" s="10" t="s">
        <v>29</v>
      </c>
      <c r="AE82" s="10" t="s">
        <v>461</v>
      </c>
      <c r="AF82" s="10" t="s">
        <v>1028</v>
      </c>
      <c r="AG82" s="10" t="s">
        <v>1029</v>
      </c>
      <c r="AH82" s="13" t="s">
        <v>1030</v>
      </c>
      <c r="AI82" s="54" t="s">
        <v>776</v>
      </c>
      <c r="AJ82" s="54" t="s">
        <v>776</v>
      </c>
      <c r="AK82" s="55">
        <v>45636</v>
      </c>
      <c r="AL82" s="10"/>
      <c r="AM82" s="54">
        <v>24340</v>
      </c>
      <c r="AN82" s="20"/>
      <c r="AO82" s="10"/>
      <c r="AP82" s="10"/>
      <c r="AQ82" s="51" t="s">
        <v>457</v>
      </c>
      <c r="AR82" s="51" t="s">
        <v>1228</v>
      </c>
      <c r="AS82" s="16"/>
      <c r="AT82" s="87" t="e">
        <f>VLOOKUP(A82,TRADS,14,0)</f>
        <v>#REF!</v>
      </c>
      <c r="AU82" s="63" t="s">
        <v>1227</v>
      </c>
      <c r="AV82" s="16" t="s">
        <v>1229</v>
      </c>
      <c r="AW82" s="16"/>
      <c r="AX82" s="68" t="s">
        <v>29</v>
      </c>
      <c r="AY82" s="51"/>
      <c r="AZ82" s="51"/>
      <c r="BA82" s="51"/>
      <c r="BB82" s="51"/>
      <c r="BC82" s="51"/>
      <c r="BD82" s="51"/>
      <c r="BE82" s="51"/>
      <c r="BF82" s="92"/>
      <c r="BG82" s="92"/>
      <c r="BH82" s="92"/>
      <c r="BI82" s="92"/>
      <c r="BJ82" s="92"/>
      <c r="BK82" s="92"/>
      <c r="BL82" s="92"/>
      <c r="BN82" s="7" t="str">
        <f>IF(IFERROR(FIND("romatis",TableauJDG[[#This Row],[TYPE DE THÉ FR]]),0)=0,"","aromatisé")</f>
        <v/>
      </c>
      <c r="BV82" s="10" t="str">
        <f t="shared" si="82"/>
        <v>Cette recette de thé noir aux épices joliment agrémentée de fleurs a été créée autour du plus beau des sentiments : l'Amour. Prenez le temps de savourer les accords que distille cette composition originale avec, à la clé, de beaux moments de plénitud</v>
      </c>
      <c r="BW82" s="10" t="str">
        <f t="shared" si="83"/>
        <v>e.</v>
      </c>
      <c r="BX82" s="10" t="str">
        <f t="shared" si="56"/>
        <v/>
      </c>
      <c r="BY82" s="10" t="str">
        <f t="shared" si="57"/>
        <v/>
      </c>
      <c r="BZ82" s="10" t="str">
        <f t="shared" si="58"/>
        <v>Ingrédients : thé noir*, épices (cannelle*, gingembre*, clous de girofle*, poivre noir*, cardamome*) 17%, pétales de fleurs (rose*, mauve*, bleuet*, souci*) 4%. *Issu de l'agriculture biologique.</v>
      </c>
      <c r="CA82" s="10" t="str">
        <f t="shared" si="59"/>
        <v/>
      </c>
      <c r="CB82" s="10" t="str">
        <f t="shared" si="60"/>
        <v/>
      </c>
      <c r="CC82" s="10" t="str">
        <f t="shared" si="61"/>
        <v/>
      </c>
      <c r="CD82" s="10" t="str">
        <f t="shared" si="62"/>
        <v>/</v>
      </c>
      <c r="CE82" s="10" t="str">
        <f t="shared" si="63"/>
        <v/>
      </c>
      <c r="CF82" s="10" t="str">
        <f t="shared" si="64"/>
        <v/>
      </c>
      <c r="CG82" s="10" t="str">
        <f t="shared" si="65"/>
        <v/>
      </c>
      <c r="CH82" s="10" t="str">
        <f t="shared" si="66"/>
        <v>Membre certifié World Fair Trade Organization, Les Jardins de Gaïa s’engagent pour un commerce plus juste et répondent aux exigences du commerce équitable. Pour en savoir plus : www.wfto.com.</v>
      </c>
      <c r="CI82" s="10" t="str">
        <f t="shared" si="67"/>
        <v/>
      </c>
      <c r="CJ82" s="10" t="str">
        <f t="shared" si="68"/>
        <v/>
      </c>
      <c r="CK82" s="10" t="str">
        <f t="shared" si="69"/>
        <v/>
      </c>
      <c r="CL82" s="10" t="str">
        <f t="shared" si="70"/>
        <v>This recipe for black tea with spices and flowers has been created around the most beautiful of feelings: Love. Take the time to savour the harmonies distilled by this original composition, and the result will be beautiful moments of plenitude.</v>
      </c>
      <c r="CM82" s="10" t="str">
        <f t="shared" si="71"/>
        <v/>
      </c>
      <c r="CN82" s="10" t="str">
        <f t="shared" si="72"/>
        <v/>
      </c>
      <c r="CO82" s="10" t="str">
        <f t="shared" si="73"/>
        <v/>
      </c>
      <c r="CP82" s="10" t="str">
        <f t="shared" si="74"/>
        <v xml:space="preserve">Ingredients: black tea*, spices (cinnamon*, ginger*, cloves*, black pepper*, cardamom*) 17%, flower petals (rose*, mallow*, cornflower*, marigold*) 4%. *From organic farming. </v>
      </c>
      <c r="CQ82" s="10" t="str">
        <f t="shared" si="75"/>
        <v/>
      </c>
      <c r="CR82" s="10" t="str">
        <f t="shared" si="76"/>
        <v/>
      </c>
      <c r="CS82" s="10" t="str">
        <f t="shared" si="77"/>
        <v/>
      </c>
      <c r="CT82" s="10" t="str">
        <f t="shared" si="78"/>
        <v>/</v>
      </c>
      <c r="CU82" s="10" t="str">
        <f t="shared" si="79"/>
        <v/>
      </c>
      <c r="CV82" s="10" t="str">
        <f t="shared" si="80"/>
        <v/>
      </c>
      <c r="CW82" s="10" t="str">
        <f t="shared" si="81"/>
        <v/>
      </c>
    </row>
    <row r="83" spans="1:101" ht="72">
      <c r="A83" s="129" t="s">
        <v>464</v>
      </c>
      <c r="B83" s="9" t="s">
        <v>782</v>
      </c>
      <c r="C83" s="29" t="s">
        <v>1785</v>
      </c>
      <c r="D83" s="8" t="s">
        <v>462</v>
      </c>
      <c r="E83" s="9" t="s">
        <v>463</v>
      </c>
      <c r="F83" s="9" t="s">
        <v>244</v>
      </c>
      <c r="G83" s="9" t="s">
        <v>215</v>
      </c>
      <c r="H83" s="10" t="s">
        <v>5</v>
      </c>
      <c r="I83" s="10" t="s">
        <v>6</v>
      </c>
      <c r="J83" s="10" t="s">
        <v>29</v>
      </c>
      <c r="K83" s="10" t="s">
        <v>29</v>
      </c>
      <c r="L83" s="10" t="s">
        <v>29</v>
      </c>
      <c r="M83" s="10" t="s">
        <v>29</v>
      </c>
      <c r="N83" s="10" t="s">
        <v>47</v>
      </c>
      <c r="O83" s="9"/>
      <c r="P83" s="9" t="s">
        <v>1031</v>
      </c>
      <c r="Q83" s="121" t="s">
        <v>1794</v>
      </c>
      <c r="R83" s="121" t="s">
        <v>1795</v>
      </c>
      <c r="S83" s="9"/>
      <c r="T83" s="9" t="s">
        <v>56</v>
      </c>
      <c r="U83"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83" s="9" t="s">
        <v>29</v>
      </c>
      <c r="W83" s="9" t="s">
        <v>31</v>
      </c>
      <c r="X83" s="10">
        <v>50</v>
      </c>
      <c r="Y83" s="19" t="s">
        <v>32</v>
      </c>
      <c r="Z83" s="19">
        <v>75</v>
      </c>
      <c r="AA83" s="10">
        <v>2</v>
      </c>
      <c r="AB83" s="10">
        <v>25</v>
      </c>
      <c r="AC83" s="12">
        <v>3582810311264</v>
      </c>
      <c r="AD83" s="10" t="s">
        <v>50</v>
      </c>
      <c r="AE83" s="10" t="s">
        <v>465</v>
      </c>
      <c r="AF83" s="10" t="s">
        <v>1032</v>
      </c>
      <c r="AG83" s="10" t="s">
        <v>52</v>
      </c>
      <c r="AH83" s="13" t="s">
        <v>51</v>
      </c>
      <c r="AI83" s="10"/>
      <c r="AJ83" s="54" t="s">
        <v>776</v>
      </c>
      <c r="AK83" s="10"/>
      <c r="AL83" s="10"/>
      <c r="AM83" s="10"/>
      <c r="AN83" s="10"/>
      <c r="AO83" s="10"/>
      <c r="AP83" s="10"/>
      <c r="AQ83" s="51"/>
      <c r="AR83" s="51"/>
      <c r="AS83" s="51"/>
      <c r="AT83" s="51"/>
      <c r="AU83" s="16" t="s">
        <v>1802</v>
      </c>
      <c r="AV83" s="52"/>
      <c r="AW83" s="52" t="s">
        <v>1799</v>
      </c>
      <c r="AX83" s="51"/>
      <c r="AY83" s="51"/>
      <c r="AZ83" s="51"/>
      <c r="BA83" s="51"/>
      <c r="BB83" s="51"/>
      <c r="BC83" s="51"/>
      <c r="BD83" s="51"/>
      <c r="BE83" s="51"/>
      <c r="BF83" s="92"/>
      <c r="BG83" s="92"/>
      <c r="BH83" s="92"/>
      <c r="BI83" s="92"/>
      <c r="BJ83" s="92"/>
      <c r="BK83" s="92"/>
      <c r="BL83" s="92"/>
      <c r="BN83" s="7" t="str">
        <f>IF(IFERROR(FIND("romatis",TableauJDG[[#This Row],[TYPE DE THÉ FR]]),0)=0,"","aromatisé")</f>
        <v/>
      </c>
      <c r="BV83" s="10" t="str">
        <f t="shared" si="82"/>
        <v>Issu des massifs montagneux de l'Hubei, ce beau thé vert, fruit d’une récolte de printemps est composée de bourgeons duveteux très joliment ourlés en forme d'aiguilles. Sa liqueur souple en bouche évoque délicieusement la fraîcheur des courgettes pri</v>
      </c>
      <c r="BW83" s="10" t="str">
        <f t="shared" si="83"/>
        <v xml:space="preserve">meurs sur un fond lacté… </v>
      </c>
      <c r="BX83" s="10" t="str">
        <f t="shared" si="56"/>
        <v/>
      </c>
      <c r="BY83" s="10" t="str">
        <f t="shared" si="57"/>
        <v/>
      </c>
      <c r="BZ83" s="10" t="str">
        <f t="shared" si="58"/>
        <v>Ingrédient : thé vert*. *Issu de l'agriculture biologique.</v>
      </c>
      <c r="CA83" s="10" t="str">
        <f t="shared" si="59"/>
        <v/>
      </c>
      <c r="CB83" s="10" t="str">
        <f t="shared" si="60"/>
        <v/>
      </c>
      <c r="CC83" s="10" t="str">
        <f t="shared" si="61"/>
        <v/>
      </c>
      <c r="CD83" s="10" t="str">
        <f t="shared" si="62"/>
        <v>/</v>
      </c>
      <c r="CE83" s="10" t="str">
        <f t="shared" si="63"/>
        <v/>
      </c>
      <c r="CF83" s="10" t="str">
        <f t="shared" si="64"/>
        <v/>
      </c>
      <c r="CG83" s="10" t="str">
        <f t="shared" si="65"/>
        <v/>
      </c>
      <c r="CH83" s="10" t="str">
        <f t="shared" si="66"/>
        <v>Membre certifié World Fair Trade Organization, Les Jardins de Gaïa s’engagent pour un commerce plus juste et répondent aux exigences du commerce équitable. Pour en savoir plus : www.wfto.com.</v>
      </c>
      <c r="CI83" s="10" t="str">
        <f t="shared" si="67"/>
        <v/>
      </c>
      <c r="CJ83" s="10" t="str">
        <f t="shared" si="68"/>
        <v/>
      </c>
      <c r="CK83" s="10" t="str">
        <f t="shared" si="69"/>
        <v/>
      </c>
      <c r="CL83" s="10" t="str">
        <f t="shared" si="70"/>
        <v>From the mountainous Hubei region, this beautiful green tea, the fruit of a spring harvest, is composed of downy buds beautifully hemmed in the shape of needles. Its supple liquor deliciously evokes the freshness of early zucchini on a milky backgrou</v>
      </c>
      <c r="CM83" s="10" t="str">
        <f t="shared" si="71"/>
        <v>nd...</v>
      </c>
      <c r="CN83" s="10" t="str">
        <f t="shared" si="72"/>
        <v/>
      </c>
      <c r="CO83" s="10" t="str">
        <f t="shared" si="73"/>
        <v/>
      </c>
      <c r="CP83" s="10" t="str">
        <f t="shared" si="74"/>
        <v/>
      </c>
      <c r="CQ83" s="10" t="str">
        <f t="shared" si="75"/>
        <v/>
      </c>
      <c r="CR83" s="10" t="str">
        <f t="shared" si="76"/>
        <v/>
      </c>
      <c r="CS83" s="10" t="str">
        <f t="shared" si="77"/>
        <v/>
      </c>
      <c r="CT83" s="10" t="str">
        <f t="shared" si="78"/>
        <v/>
      </c>
      <c r="CU83" s="10" t="str">
        <f t="shared" si="79"/>
        <v/>
      </c>
      <c r="CV83" s="10" t="str">
        <f t="shared" si="80"/>
        <v/>
      </c>
      <c r="CW83" s="10" t="str">
        <f t="shared" si="81"/>
        <v/>
      </c>
    </row>
    <row r="84" spans="1:101" ht="100.8">
      <c r="A84" s="129" t="s">
        <v>469</v>
      </c>
      <c r="B84" s="9" t="s">
        <v>26</v>
      </c>
      <c r="C84" s="9"/>
      <c r="D84" s="8" t="s">
        <v>466</v>
      </c>
      <c r="E84" s="9" t="s">
        <v>467</v>
      </c>
      <c r="F84" s="9" t="s">
        <v>44</v>
      </c>
      <c r="G84" s="9" t="s">
        <v>45</v>
      </c>
      <c r="H84" s="10" t="s">
        <v>5</v>
      </c>
      <c r="I84" s="10" t="s">
        <v>6</v>
      </c>
      <c r="J84" s="10" t="s">
        <v>29</v>
      </c>
      <c r="K84" s="10" t="s">
        <v>29</v>
      </c>
      <c r="L84" s="10" t="s">
        <v>29</v>
      </c>
      <c r="M84" s="10" t="s">
        <v>29</v>
      </c>
      <c r="N84" s="10" t="s">
        <v>37</v>
      </c>
      <c r="O84" s="9"/>
      <c r="P84" s="9" t="s">
        <v>468</v>
      </c>
      <c r="Q84" s="69" t="s">
        <v>1033</v>
      </c>
      <c r="R84" s="69"/>
      <c r="S84" s="9"/>
      <c r="T84" s="53" t="s">
        <v>1219</v>
      </c>
      <c r="U84" s="53"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84" s="9" t="s">
        <v>29</v>
      </c>
      <c r="W84" s="9" t="s">
        <v>31</v>
      </c>
      <c r="X84" s="10">
        <v>100</v>
      </c>
      <c r="Y84" s="11" t="s">
        <v>42</v>
      </c>
      <c r="Z84" s="19">
        <v>95</v>
      </c>
      <c r="AA84" s="10">
        <v>2</v>
      </c>
      <c r="AB84" s="10">
        <v>50</v>
      </c>
      <c r="AC84" s="12">
        <v>3582810920923</v>
      </c>
      <c r="AD84" s="10" t="s">
        <v>29</v>
      </c>
      <c r="AE84" s="10" t="s">
        <v>1734</v>
      </c>
      <c r="AF84" s="20" t="s">
        <v>1814</v>
      </c>
      <c r="AG84" s="20" t="s">
        <v>1815</v>
      </c>
      <c r="AH84" s="13" t="s">
        <v>778</v>
      </c>
      <c r="AI84" s="54" t="s">
        <v>776</v>
      </c>
      <c r="AJ84" s="54" t="s">
        <v>776</v>
      </c>
      <c r="AK84" s="55">
        <v>45635</v>
      </c>
      <c r="AL84" s="10"/>
      <c r="AM84" s="55" t="s">
        <v>1223</v>
      </c>
      <c r="AN84" s="103"/>
      <c r="AO84" s="50"/>
      <c r="AP84" s="50"/>
      <c r="AQ84" s="51" t="s">
        <v>1220</v>
      </c>
      <c r="AR84" s="51" t="s">
        <v>1221</v>
      </c>
      <c r="AS84" s="51"/>
      <c r="AT84" s="87" t="e">
        <f>VLOOKUP(A84,TRADS,14,0)</f>
        <v>#REF!</v>
      </c>
      <c r="AU84" s="63" t="s">
        <v>1222</v>
      </c>
      <c r="AV84" s="52" t="s">
        <v>1578</v>
      </c>
      <c r="AW84" s="52"/>
      <c r="AX84" s="68" t="s">
        <v>29</v>
      </c>
      <c r="AY84" s="51"/>
      <c r="AZ84" s="51"/>
      <c r="BA84" s="51"/>
      <c r="BB84" s="51"/>
      <c r="BC84" s="51"/>
      <c r="BD84" s="51"/>
      <c r="BE84" s="51"/>
      <c r="BF84" s="92"/>
      <c r="BG84" s="92"/>
      <c r="BH84" s="92"/>
      <c r="BI84" s="92"/>
      <c r="BJ84" s="92"/>
      <c r="BK84" s="92"/>
      <c r="BL84" s="92"/>
      <c r="BN84" s="7" t="str">
        <f>IF(IFERROR(FIND("romatis",TableauJDG[[#This Row],[TYPE DE THÉ FR]]),0)=0,"","aromatisé")</f>
        <v>aromatisé</v>
      </c>
      <c r="BV84" s="10" t="str">
        <f t="shared" si="82"/>
        <v>Visez les étoiles avec ce mariage lumineux né de l’union des saveurs ensoleillées du rooibos et des notes gourmandes d’une constellation de fruits et d’épices. Une composition chaleureuse et réconfortante qui évoque le sentiment de plaisir d’avoir le</v>
      </c>
      <c r="BW84" s="10" t="str">
        <f t="shared" si="83"/>
        <v>s pieds sur terre et la tête dans les étoiles.</v>
      </c>
      <c r="BX84" s="10" t="str">
        <f t="shared" si="56"/>
        <v/>
      </c>
      <c r="BY84" s="10" t="str">
        <f t="shared" si="57"/>
        <v/>
      </c>
      <c r="BZ84" s="10" t="str">
        <f t="shared" si="58"/>
        <v>Ingrédients : rooibos*, épices (cannelle*, gingembre*, poivre*, clous de girofle*) 14,5%, fruits (écorces d'orange* 2,5%, pomme*, églantine*), huile essentielle d'orange douce* 2%, arômes naturels de (pomme*, amande*, fraise*), hibiscus*, amandes eff</v>
      </c>
      <c r="CA84" s="10" t="str">
        <f t="shared" si="59"/>
        <v>ilées*, extrait de cannelle* 0,5%. *Issu de l'agriculture biologique.</v>
      </c>
      <c r="CB84" s="10" t="str">
        <f t="shared" si="60"/>
        <v/>
      </c>
      <c r="CC84" s="10" t="str">
        <f t="shared" si="61"/>
        <v/>
      </c>
      <c r="CD84" s="10" t="str">
        <f t="shared" si="62"/>
        <v>/</v>
      </c>
      <c r="CE84" s="10" t="str">
        <f t="shared" si="63"/>
        <v/>
      </c>
      <c r="CF84" s="10" t="str">
        <f t="shared" si="64"/>
        <v/>
      </c>
      <c r="CG84" s="10" t="str">
        <f t="shared" si="65"/>
        <v/>
      </c>
      <c r="CH84" s="10" t="str">
        <f t="shared" si="66"/>
        <v>Membre certifié World Fair Trade Organization, Les Jardins de Gaïa s’engagent pour un commerce plus juste et répondent aux exigences du commerce équitable. Pour en savoir plus : www.wfto.com.</v>
      </c>
      <c r="CI84" s="10" t="str">
        <f t="shared" si="67"/>
        <v/>
      </c>
      <c r="CJ84" s="10" t="str">
        <f t="shared" si="68"/>
        <v/>
      </c>
      <c r="CK84" s="10" t="str">
        <f t="shared" si="69"/>
        <v/>
      </c>
      <c r="CL84" s="10" t="str">
        <f t="shared" si="70"/>
        <v>Aim for the stars with this luminous blend, born from the union of the sunny flavours of rooibos and the gourmand notes of a constellation of fruits and spices. A warm, comforting composition that evokes the pleasurable feeling of having your feet o</v>
      </c>
      <c r="CM84" s="10" t="str">
        <f t="shared" si="71"/>
        <v>n the ground and your head in the stars.</v>
      </c>
      <c r="CN84" s="10" t="str">
        <f t="shared" si="72"/>
        <v/>
      </c>
      <c r="CO84" s="10" t="str">
        <f t="shared" si="73"/>
        <v/>
      </c>
      <c r="CP84" s="10" t="str">
        <f t="shared" si="74"/>
        <v>Ingredients: rooibos*, spices (cinnamon*, ginger*, pepper*, cloves*) 14,5%, fruit (orange peels* 2,5%, apple*, rosehips*), sweet orange essential oil* 2%, natural (apple*, almond*, strawberry*) flavourings, hibiscus*, flaked almonds*, cinnamon extrac</v>
      </c>
      <c r="CQ84" s="10" t="str">
        <f t="shared" si="75"/>
        <v>t* 0,5%. *From organic farming.</v>
      </c>
      <c r="CR84" s="10" t="str">
        <f t="shared" si="76"/>
        <v/>
      </c>
      <c r="CS84" s="10" t="str">
        <f t="shared" si="77"/>
        <v/>
      </c>
      <c r="CT84" s="10" t="str">
        <f t="shared" si="78"/>
        <v>/</v>
      </c>
      <c r="CU84" s="10" t="str">
        <f t="shared" si="79"/>
        <v/>
      </c>
      <c r="CV84" s="10" t="str">
        <f t="shared" si="80"/>
        <v/>
      </c>
      <c r="CW84" s="10" t="str">
        <f t="shared" si="81"/>
        <v/>
      </c>
    </row>
    <row r="85" spans="1:101" ht="115.2">
      <c r="A85" s="129" t="s">
        <v>1711</v>
      </c>
      <c r="B85" s="9" t="s">
        <v>798</v>
      </c>
      <c r="C85" s="9" t="s">
        <v>798</v>
      </c>
      <c r="D85" s="8" t="s">
        <v>466</v>
      </c>
      <c r="E85" s="9" t="s">
        <v>467</v>
      </c>
      <c r="F85" s="9" t="s">
        <v>44</v>
      </c>
      <c r="G85" s="9" t="s">
        <v>45</v>
      </c>
      <c r="H85" s="10" t="s">
        <v>5</v>
      </c>
      <c r="I85" s="10" t="s">
        <v>6</v>
      </c>
      <c r="J85" s="10" t="s">
        <v>29</v>
      </c>
      <c r="K85" s="10" t="s">
        <v>29</v>
      </c>
      <c r="L85" s="10" t="s">
        <v>29</v>
      </c>
      <c r="M85" s="10" t="s">
        <v>29</v>
      </c>
      <c r="N85" s="10" t="s">
        <v>37</v>
      </c>
      <c r="O85" s="9"/>
      <c r="P85" s="9" t="s">
        <v>468</v>
      </c>
      <c r="Q85" s="69" t="s">
        <v>1033</v>
      </c>
      <c r="R85" s="69"/>
      <c r="S85" s="9"/>
      <c r="T85" s="53" t="s">
        <v>1219</v>
      </c>
      <c r="U85" s="53"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85" s="9" t="s">
        <v>29</v>
      </c>
      <c r="W85" s="9" t="s">
        <v>31</v>
      </c>
      <c r="X85" s="10">
        <v>100</v>
      </c>
      <c r="Y85" s="11" t="s">
        <v>42</v>
      </c>
      <c r="Z85" s="19">
        <v>95</v>
      </c>
      <c r="AA85" s="10">
        <v>2</v>
      </c>
      <c r="AB85" s="10">
        <v>50</v>
      </c>
      <c r="AC85" s="12">
        <v>3582810920923</v>
      </c>
      <c r="AD85" s="10" t="s">
        <v>29</v>
      </c>
      <c r="AE85" s="10" t="s">
        <v>1712</v>
      </c>
      <c r="AF85" s="10" t="s">
        <v>1713</v>
      </c>
      <c r="AG85" s="10" t="s">
        <v>1714</v>
      </c>
      <c r="AH85" s="13" t="s">
        <v>778</v>
      </c>
      <c r="AI85" s="54" t="s">
        <v>776</v>
      </c>
      <c r="AJ85" s="54" t="s">
        <v>776</v>
      </c>
      <c r="AK85" s="55">
        <v>45635</v>
      </c>
      <c r="AL85" s="10"/>
      <c r="AM85" s="55" t="s">
        <v>1223</v>
      </c>
      <c r="AN85" s="102"/>
      <c r="AO85" s="50" t="s">
        <v>774</v>
      </c>
      <c r="AP85" s="50" t="s">
        <v>1592</v>
      </c>
      <c r="AQ85" s="51" t="s">
        <v>1220</v>
      </c>
      <c r="AR85" s="51" t="s">
        <v>1221</v>
      </c>
      <c r="AS85" s="87" t="s">
        <v>1556</v>
      </c>
      <c r="AT85" s="87" t="e">
        <f>VLOOKUP(A85,TRADS,14,0)</f>
        <v>#REF!</v>
      </c>
      <c r="AU85" s="63" t="s">
        <v>1222</v>
      </c>
      <c r="AV85" s="52" t="s">
        <v>1578</v>
      </c>
      <c r="AW85" s="52"/>
      <c r="AX85" s="68" t="s">
        <v>29</v>
      </c>
      <c r="AY85" s="51" t="s">
        <v>1278</v>
      </c>
      <c r="AZ85" s="51" t="s">
        <v>1279</v>
      </c>
      <c r="BA85" s="51">
        <v>0</v>
      </c>
      <c r="BB85" s="51" t="s">
        <v>1642</v>
      </c>
      <c r="BC85" s="51" t="s">
        <v>1573</v>
      </c>
      <c r="BD85" s="51" t="s">
        <v>1287</v>
      </c>
      <c r="BE85" s="51"/>
      <c r="BF85" s="92"/>
      <c r="BG85" s="92"/>
      <c r="BH85" s="92"/>
      <c r="BI85" s="92"/>
      <c r="BJ85" s="92"/>
      <c r="BK85" s="92"/>
      <c r="BL85" s="92"/>
      <c r="BN85" s="7" t="str">
        <f>IF(IFERROR(FIND("romatis",TableauJDG[[#This Row],[TYPE DE THÉ FR]]),0)=0,"","aromatisé")</f>
        <v>aromatisé</v>
      </c>
      <c r="BV85" s="10" t="str">
        <f t="shared" si="82"/>
        <v>Visez les étoiles avec ce mariage lumineux né de l’union des saveurs ensoleillées du rooibos et des notes gourmandes d’une constellation de fruits et d’épices. Une composition chaleureuse et réconfortante qui évoque le sentiment de plaisir d’avoir le</v>
      </c>
      <c r="BW85" s="10" t="str">
        <f t="shared" si="83"/>
        <v>s pieds sur terre et la tête dans les étoiles.</v>
      </c>
      <c r="BX85" s="10" t="str">
        <f t="shared" si="56"/>
        <v/>
      </c>
      <c r="BY85" s="10" t="str">
        <f t="shared" si="57"/>
        <v/>
      </c>
      <c r="BZ85" s="10" t="str">
        <f t="shared" si="58"/>
        <v>Ingrédients : rooibos*, épices (cannelle*, gingembre*, poivre*, clous de girofle*) 14,5%, fruits (écorces d'orange* 2,5%, pomme*, églantine*), huile essentielle d'orange douce* 2%, arômes naturels de (pomme*, amande*, fraise*), hibiscus*, amandes eff</v>
      </c>
      <c r="CA85" s="10" t="str">
        <f t="shared" si="59"/>
        <v>ilées*, extrait de cannelle* 0,5%. *Issu de l'agriculture biologique.</v>
      </c>
      <c r="CB85" s="10" t="str">
        <f t="shared" si="60"/>
        <v/>
      </c>
      <c r="CC85" s="10" t="str">
        <f t="shared" si="61"/>
        <v/>
      </c>
      <c r="CD85" s="10" t="str">
        <f t="shared" si="62"/>
        <v>/</v>
      </c>
      <c r="CE85" s="10" t="str">
        <f t="shared" si="63"/>
        <v/>
      </c>
      <c r="CF85" s="10" t="str">
        <f t="shared" si="64"/>
        <v/>
      </c>
      <c r="CG85" s="10" t="str">
        <f t="shared" si="65"/>
        <v/>
      </c>
      <c r="CH85" s="10" t="str">
        <f t="shared" si="66"/>
        <v>Membre certifié World Fair Trade Organization, Les Jardins de Gaïa s’engagent pour un commerce plus juste et répondent aux exigences du commerce équitable. Pour en savoir plus : www.wfto.com.</v>
      </c>
      <c r="CI85" s="10" t="str">
        <f t="shared" si="67"/>
        <v/>
      </c>
      <c r="CJ85" s="10" t="str">
        <f t="shared" si="68"/>
        <v/>
      </c>
      <c r="CK85" s="10" t="str">
        <f t="shared" si="69"/>
        <v/>
      </c>
      <c r="CL85" s="10" t="str">
        <f t="shared" si="70"/>
        <v>Aim for the stars with this luminous blend, born from the union of the sunny flavours of rooibos and the gourmand notes of a constellation of fruits and spices. A warm, comforting composition that evokes the pleasurable feeling of having your feet o</v>
      </c>
      <c r="CM85" s="10" t="str">
        <f t="shared" si="71"/>
        <v>n the ground and your head in the stars.</v>
      </c>
      <c r="CN85" s="10" t="str">
        <f t="shared" si="72"/>
        <v/>
      </c>
      <c r="CO85" s="10" t="str">
        <f t="shared" si="73"/>
        <v/>
      </c>
      <c r="CP85" s="10" t="str">
        <f t="shared" si="74"/>
        <v>Ingredients: rooibos*, spices (cinnamon*, ginger*, pepper*, cloves*) 14,5%, fruit (orange peels* 2,5%, apple*, rosehips*), sweet orange essential oil* 2%, natural (apple*, almond*, strawberry*) flavourings, hibiscus*, flaked almonds*, cinnamon extrac</v>
      </c>
      <c r="CQ85" s="10" t="str">
        <f t="shared" si="75"/>
        <v>t* 0,5%. *From organic farming.</v>
      </c>
      <c r="CR85" s="10" t="str">
        <f t="shared" si="76"/>
        <v/>
      </c>
      <c r="CS85" s="10" t="str">
        <f t="shared" si="77"/>
        <v/>
      </c>
      <c r="CT85" s="10" t="str">
        <f t="shared" si="78"/>
        <v>/</v>
      </c>
      <c r="CU85" s="10" t="str">
        <f t="shared" si="79"/>
        <v/>
      </c>
      <c r="CV85" s="10" t="str">
        <f t="shared" si="80"/>
        <v/>
      </c>
      <c r="CW85" s="10" t="str">
        <f t="shared" si="81"/>
        <v/>
      </c>
    </row>
    <row r="86" spans="1:101" ht="100.8">
      <c r="A86" s="129" t="s">
        <v>1729</v>
      </c>
      <c r="B86" s="9" t="s">
        <v>798</v>
      </c>
      <c r="C86" s="9" t="s">
        <v>798</v>
      </c>
      <c r="D86" s="8" t="s">
        <v>466</v>
      </c>
      <c r="E86" s="9" t="s">
        <v>467</v>
      </c>
      <c r="F86" s="9" t="s">
        <v>44</v>
      </c>
      <c r="G86" s="9" t="s">
        <v>45</v>
      </c>
      <c r="H86" s="10" t="s">
        <v>5</v>
      </c>
      <c r="I86" s="10" t="s">
        <v>6</v>
      </c>
      <c r="J86" s="10" t="s">
        <v>29</v>
      </c>
      <c r="K86" s="10" t="s">
        <v>29</v>
      </c>
      <c r="L86" s="10" t="s">
        <v>29</v>
      </c>
      <c r="M86" s="10" t="s">
        <v>29</v>
      </c>
      <c r="N86" s="10" t="s">
        <v>37</v>
      </c>
      <c r="O86" s="9"/>
      <c r="P86" s="9" t="s">
        <v>468</v>
      </c>
      <c r="Q86" s="69" t="s">
        <v>1033</v>
      </c>
      <c r="R86" s="69"/>
      <c r="S86" s="9"/>
      <c r="T86" s="53" t="s">
        <v>1219</v>
      </c>
      <c r="U86" s="53"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86" s="9" t="s">
        <v>29</v>
      </c>
      <c r="W86" s="9" t="s">
        <v>31</v>
      </c>
      <c r="X86" s="10">
        <v>100</v>
      </c>
      <c r="Y86" s="11" t="s">
        <v>42</v>
      </c>
      <c r="Z86" s="19">
        <v>95</v>
      </c>
      <c r="AA86" s="10">
        <v>2</v>
      </c>
      <c r="AB86" s="10">
        <v>50</v>
      </c>
      <c r="AC86" s="12">
        <v>3582815520920</v>
      </c>
      <c r="AD86" s="10" t="s">
        <v>29</v>
      </c>
      <c r="AE86" s="10" t="s">
        <v>1724</v>
      </c>
      <c r="AF86" s="10"/>
      <c r="AG86" s="10" t="s">
        <v>1705</v>
      </c>
      <c r="AH86" s="13" t="s">
        <v>778</v>
      </c>
      <c r="AI86" s="10"/>
      <c r="AJ86" s="54" t="s">
        <v>776</v>
      </c>
      <c r="AK86" s="55">
        <v>45635</v>
      </c>
      <c r="AL86" s="10"/>
      <c r="AM86" s="10"/>
      <c r="AN86" s="10"/>
      <c r="AO86" s="50"/>
      <c r="AP86" s="50"/>
      <c r="AQ86" s="51" t="s">
        <v>1220</v>
      </c>
      <c r="AR86" s="51" t="s">
        <v>1221</v>
      </c>
      <c r="AS86" s="51"/>
      <c r="AT86" s="87" t="e">
        <f>VLOOKUP(A86,TRADS,14,0)</f>
        <v>#REF!</v>
      </c>
      <c r="AU86" s="138" t="s">
        <v>1222</v>
      </c>
      <c r="AV86" s="52" t="s">
        <v>1578</v>
      </c>
      <c r="AW86" s="52"/>
      <c r="AX86" s="68" t="s">
        <v>29</v>
      </c>
      <c r="AY86" s="51"/>
      <c r="AZ86" s="51"/>
      <c r="BA86" s="51"/>
      <c r="BB86" s="51"/>
      <c r="BC86" s="51"/>
      <c r="BD86" s="51"/>
      <c r="BE86" s="51"/>
      <c r="BF86" s="92"/>
      <c r="BG86" s="92"/>
      <c r="BH86" s="92"/>
      <c r="BI86" s="92"/>
      <c r="BJ86" s="92"/>
      <c r="BK86" s="92"/>
      <c r="BL86" s="92"/>
      <c r="BN86" s="7" t="str">
        <f>IF(IFERROR(FIND("romatis",TableauJDG[[#This Row],[TYPE DE THÉ FR]]),0)=0,"","aromatisé")</f>
        <v>aromatisé</v>
      </c>
      <c r="BV86" s="10" t="str">
        <f t="shared" si="82"/>
        <v>Visez les étoiles avec ce mariage lumineux né de l’union des saveurs ensoleillées du rooibos et des notes gourmandes d’une constellation de fruits et d’épices. Une composition chaleureuse et réconfortante qui évoque le sentiment de plaisir d’avoir le</v>
      </c>
      <c r="BW86" s="10" t="str">
        <f t="shared" si="83"/>
        <v>s pieds sur terre et la tête dans les étoiles.</v>
      </c>
      <c r="BX86" s="10" t="str">
        <f t="shared" si="56"/>
        <v/>
      </c>
      <c r="BY86" s="10" t="str">
        <f t="shared" si="57"/>
        <v/>
      </c>
      <c r="BZ86" s="10" t="str">
        <f t="shared" si="58"/>
        <v>Ingrédients : rooibos*, épices (cannelle*, gingembre*, poivre*, clous de girofle*) 14,5%, fruits (écorces d'orange* 2,5%, pomme*, églantine*), huile essentielle d'orange douce* 2%, arômes naturels de (pomme*, amande*, fraise*), hibiscus*, amandes eff</v>
      </c>
      <c r="CA86" s="10" t="str">
        <f t="shared" si="59"/>
        <v>ilées*, extrait de cannelle* 0,5%. *Issu de l'agriculture biologique.</v>
      </c>
      <c r="CB86" s="10" t="str">
        <f t="shared" si="60"/>
        <v/>
      </c>
      <c r="CC86" s="10" t="str">
        <f t="shared" si="61"/>
        <v/>
      </c>
      <c r="CD86" s="10" t="str">
        <f t="shared" si="62"/>
        <v>/</v>
      </c>
      <c r="CE86" s="10" t="str">
        <f t="shared" si="63"/>
        <v/>
      </c>
      <c r="CF86" s="10" t="str">
        <f t="shared" si="64"/>
        <v/>
      </c>
      <c r="CG86" s="10" t="str">
        <f t="shared" si="65"/>
        <v/>
      </c>
      <c r="CH86" s="10" t="str">
        <f t="shared" si="66"/>
        <v>Membre certifié World Fair Trade Organization, Les Jardins de Gaïa s’engagent pour un commerce plus juste et répondent aux exigences du commerce équitable. Pour en savoir plus : www.wfto.com.</v>
      </c>
      <c r="CI86" s="10" t="str">
        <f t="shared" si="67"/>
        <v/>
      </c>
      <c r="CJ86" s="10" t="str">
        <f t="shared" si="68"/>
        <v/>
      </c>
      <c r="CK86" s="10" t="str">
        <f t="shared" si="69"/>
        <v/>
      </c>
      <c r="CL86" s="10" t="str">
        <f t="shared" si="70"/>
        <v>Aim for the stars with this luminous blend, born from the union of the sunny flavours of rooibos and the gourmand notes of a constellation of fruits and spices. A warm, comforting composition that evokes the pleasurable feeling of having your feet o</v>
      </c>
      <c r="CM86" s="10" t="str">
        <f t="shared" si="71"/>
        <v>n the ground and your head in the stars.</v>
      </c>
      <c r="CN86" s="10" t="str">
        <f t="shared" si="72"/>
        <v/>
      </c>
      <c r="CO86" s="10" t="str">
        <f t="shared" si="73"/>
        <v/>
      </c>
      <c r="CP86" s="10" t="str">
        <f t="shared" si="74"/>
        <v>Ingredients: rooibos*, spices (cinnamon*, ginger*, pepper*, cloves*) 14,5%, fruit (orange peels* 2,5%, apple*, rosehips*), sweet orange essential oil* 2%, natural (apple*, almond*, strawberry*) flavourings, hibiscus*, flaked almonds*, cinnamon extrac</v>
      </c>
      <c r="CQ86" s="10" t="str">
        <f t="shared" si="75"/>
        <v>t* 0,5%. *From organic farming.</v>
      </c>
      <c r="CR86" s="10" t="str">
        <f t="shared" si="76"/>
        <v/>
      </c>
      <c r="CS86" s="10" t="str">
        <f t="shared" si="77"/>
        <v/>
      </c>
      <c r="CT86" s="10" t="str">
        <f t="shared" si="78"/>
        <v>/</v>
      </c>
      <c r="CU86" s="10" t="str">
        <f t="shared" si="79"/>
        <v/>
      </c>
      <c r="CV86" s="10" t="str">
        <f t="shared" si="80"/>
        <v/>
      </c>
      <c r="CW86" s="10" t="str">
        <f t="shared" si="81"/>
        <v/>
      </c>
    </row>
    <row r="87" spans="1:101" ht="93.6">
      <c r="A87" s="129" t="s">
        <v>473</v>
      </c>
      <c r="B87" s="9" t="s">
        <v>26</v>
      </c>
      <c r="C87" s="9"/>
      <c r="D87" s="8" t="s">
        <v>470</v>
      </c>
      <c r="E87" s="17" t="s">
        <v>471</v>
      </c>
      <c r="F87" s="9" t="s">
        <v>57</v>
      </c>
      <c r="G87" s="9" t="s">
        <v>93</v>
      </c>
      <c r="H87" s="10" t="s">
        <v>5</v>
      </c>
      <c r="I87" s="10" t="s">
        <v>6</v>
      </c>
      <c r="J87" s="10" t="s">
        <v>29</v>
      </c>
      <c r="K87" s="10" t="s">
        <v>29</v>
      </c>
      <c r="L87" s="10" t="s">
        <v>29</v>
      </c>
      <c r="M87" s="10" t="s">
        <v>29</v>
      </c>
      <c r="N87" s="10" t="s">
        <v>37</v>
      </c>
      <c r="O87" s="9"/>
      <c r="P87" s="9" t="s">
        <v>472</v>
      </c>
      <c r="Q87" s="9" t="s">
        <v>1034</v>
      </c>
      <c r="R87" s="9"/>
      <c r="S87" s="9"/>
      <c r="T87" s="9" t="s">
        <v>1035</v>
      </c>
      <c r="U87"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87" s="9" t="s">
        <v>29</v>
      </c>
      <c r="W87" s="9" t="s">
        <v>31</v>
      </c>
      <c r="X87" s="10">
        <v>100</v>
      </c>
      <c r="Y87" s="19" t="s">
        <v>59</v>
      </c>
      <c r="Z87" s="19">
        <v>75</v>
      </c>
      <c r="AA87" s="10">
        <v>2</v>
      </c>
      <c r="AB87" s="10">
        <v>50</v>
      </c>
      <c r="AC87" s="12">
        <v>3582810869123</v>
      </c>
      <c r="AD87" s="10" t="s">
        <v>29</v>
      </c>
      <c r="AE87" s="20" t="s">
        <v>1743</v>
      </c>
      <c r="AF87" s="20" t="s">
        <v>1036</v>
      </c>
      <c r="AG87" s="20" t="s">
        <v>1037</v>
      </c>
      <c r="AH87" s="13" t="s">
        <v>38</v>
      </c>
      <c r="AI87" s="54" t="s">
        <v>776</v>
      </c>
      <c r="AJ87" s="54" t="s">
        <v>776</v>
      </c>
      <c r="AK87" s="55">
        <v>45771</v>
      </c>
      <c r="AL87" s="10"/>
      <c r="AM87" s="10"/>
      <c r="AN87" s="10"/>
      <c r="AO87" s="10"/>
      <c r="AP87" s="10"/>
      <c r="AQ87" s="51" t="s">
        <v>1369</v>
      </c>
      <c r="AR87" s="51" t="s">
        <v>1370</v>
      </c>
      <c r="AS87" s="82" t="s">
        <v>1555</v>
      </c>
      <c r="AT87" s="9" t="s">
        <v>1338</v>
      </c>
      <c r="AU87" s="140" t="s">
        <v>1371</v>
      </c>
      <c r="AV87" s="82" t="s">
        <v>1372</v>
      </c>
      <c r="AW87" s="52"/>
      <c r="AX87" s="51"/>
      <c r="AY87" s="51"/>
      <c r="AZ87" s="51"/>
      <c r="BA87" s="51"/>
      <c r="BB87" s="51"/>
      <c r="BC87" s="51"/>
      <c r="BD87" s="51"/>
      <c r="BE87" s="51"/>
      <c r="BF87" s="92"/>
      <c r="BG87" s="92"/>
      <c r="BH87" s="92"/>
      <c r="BI87" s="92"/>
      <c r="BJ87" s="92"/>
      <c r="BK87" s="92"/>
      <c r="BL87" s="92"/>
      <c r="BN87" s="7" t="str">
        <f>IF(IFERROR(FIND("romatis",TableauJDG[[#This Row],[TYPE DE THÉ FR]]),0)=0,"","aromatisé")</f>
        <v>aromatisé</v>
      </c>
      <c r="BV87" s="10" t="str">
        <f t="shared" si="82"/>
        <v>Ornée d’écorces d’orange et de fleurs de tournesol, cette recette à base de thé vert distille de lumineuses et chaleureuses notes de mandarine et de cannelle. Évoquant agréablement la magie de la Lumière d’Orient, elle accompagnera divinement vos soi</v>
      </c>
      <c r="BW87" s="10" t="str">
        <f t="shared" si="83"/>
        <v xml:space="preserve">rées d'hiver. </v>
      </c>
      <c r="BX87" s="10" t="str">
        <f t="shared" si="56"/>
        <v/>
      </c>
      <c r="BY87" s="10" t="str">
        <f t="shared" si="57"/>
        <v/>
      </c>
      <c r="BZ87" s="10" t="str">
        <f t="shared" si="58"/>
        <v>Ingrédients : thé vert*, écorces d’orange*, huiles essentielles d'agrumes (orange douce*, citron*, mandarine*) 1%, morceaux de cannelle* 1%, extrait de cannelle* 0,5%, pétales de tournesol*.*Issu de l’agriculture biologique.</v>
      </c>
      <c r="CA87" s="10" t="str">
        <f t="shared" si="59"/>
        <v/>
      </c>
      <c r="CB87" s="10" t="str">
        <f t="shared" si="60"/>
        <v/>
      </c>
      <c r="CC87" s="10" t="str">
        <f t="shared" si="61"/>
        <v/>
      </c>
      <c r="CD87" s="10" t="str">
        <f t="shared" si="62"/>
        <v>/</v>
      </c>
      <c r="CE87" s="10" t="str">
        <f t="shared" si="63"/>
        <v/>
      </c>
      <c r="CF87" s="10" t="str">
        <f t="shared" si="64"/>
        <v/>
      </c>
      <c r="CG87" s="10" t="str">
        <f t="shared" si="65"/>
        <v/>
      </c>
      <c r="CH87" s="10" t="str">
        <f t="shared" si="66"/>
        <v>Membre certifié World Fair Trade Organization, Les Jardins de Gaïa s’engagent pour un commerce plus juste et répondent aux exigences du commerce équitable. Pour en savoir plus : www.wfto.com.</v>
      </c>
      <c r="CI87" s="10" t="str">
        <f t="shared" si="67"/>
        <v/>
      </c>
      <c r="CJ87" s="10" t="str">
        <f t="shared" si="68"/>
        <v/>
      </c>
      <c r="CK87" s="10" t="str">
        <f t="shared" si="69"/>
        <v/>
      </c>
      <c r="CL87" s="10" t="str">
        <f t="shared" si="70"/>
        <v xml:space="preserve">Adorned with orange peel and sunflower blossoms, this green tea-based recipe distills luminous, warm notes of mandarin and cinnamon. Pleasantly evocative of the magic of the Oriental Light, it is the perfect companion to your winter evenings. </v>
      </c>
      <c r="CM87" s="10" t="str">
        <f t="shared" si="71"/>
        <v/>
      </c>
      <c r="CN87" s="10" t="str">
        <f t="shared" si="72"/>
        <v/>
      </c>
      <c r="CO87" s="10" t="str">
        <f t="shared" si="73"/>
        <v/>
      </c>
      <c r="CP87" s="10" t="str">
        <f t="shared" si="74"/>
        <v xml:space="preserve">Ingredients: green tea*, orange peels*, citrus essential oils (sweet orange*, lemon*, mandarin*) 1%, cinnamon pieces* 1%, cinnamon extract* 0.5%, sunflower petals*. *From organic farming.  </v>
      </c>
      <c r="CQ87" s="10" t="str">
        <f t="shared" si="75"/>
        <v/>
      </c>
      <c r="CR87" s="10" t="str">
        <f t="shared" si="76"/>
        <v/>
      </c>
      <c r="CS87" s="10" t="str">
        <f t="shared" si="77"/>
        <v/>
      </c>
      <c r="CT87" s="10" t="str">
        <f t="shared" si="78"/>
        <v/>
      </c>
      <c r="CU87" s="10" t="str">
        <f t="shared" si="79"/>
        <v/>
      </c>
      <c r="CV87" s="10" t="str">
        <f t="shared" si="80"/>
        <v/>
      </c>
      <c r="CW87" s="10" t="str">
        <f t="shared" si="81"/>
        <v/>
      </c>
    </row>
    <row r="88" spans="1:101" ht="129.6">
      <c r="A88" s="130" t="s">
        <v>477</v>
      </c>
      <c r="B88" s="9" t="s">
        <v>26</v>
      </c>
      <c r="C88" s="9"/>
      <c r="D88" s="8" t="s">
        <v>474</v>
      </c>
      <c r="E88" s="9" t="s">
        <v>475</v>
      </c>
      <c r="F88" s="9" t="s">
        <v>103</v>
      </c>
      <c r="G88" s="20"/>
      <c r="H88" s="10" t="s">
        <v>5</v>
      </c>
      <c r="I88" s="10" t="s">
        <v>29</v>
      </c>
      <c r="J88" s="10" t="s">
        <v>29</v>
      </c>
      <c r="K88" s="10" t="s">
        <v>29</v>
      </c>
      <c r="L88" s="10" t="s">
        <v>29</v>
      </c>
      <c r="M88" s="10" t="s">
        <v>29</v>
      </c>
      <c r="N88" s="10" t="s">
        <v>37</v>
      </c>
      <c r="O88" s="9"/>
      <c r="P88" s="9" t="s">
        <v>476</v>
      </c>
      <c r="Q88" s="9" t="s">
        <v>476</v>
      </c>
      <c r="R88" s="9"/>
      <c r="S88" s="9"/>
      <c r="T88" s="15" t="s">
        <v>1038</v>
      </c>
      <c r="U88" s="15"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88" s="9" t="s">
        <v>29</v>
      </c>
      <c r="W88" s="9" t="s">
        <v>29</v>
      </c>
      <c r="X88" s="10">
        <v>100</v>
      </c>
      <c r="Y88" s="28" t="s">
        <v>42</v>
      </c>
      <c r="Z88" s="19">
        <v>95</v>
      </c>
      <c r="AA88" s="10">
        <v>2</v>
      </c>
      <c r="AB88" s="10">
        <v>50</v>
      </c>
      <c r="AC88" s="12">
        <v>3582810111123</v>
      </c>
      <c r="AD88" s="10" t="s">
        <v>29</v>
      </c>
      <c r="AE88" s="10" t="s">
        <v>1039</v>
      </c>
      <c r="AF88" s="10" t="s">
        <v>1825</v>
      </c>
      <c r="AG88" s="10" t="s">
        <v>1826</v>
      </c>
      <c r="AH88" s="13" t="s">
        <v>38</v>
      </c>
      <c r="AI88" s="54" t="s">
        <v>776</v>
      </c>
      <c r="AJ88" s="54" t="s">
        <v>776</v>
      </c>
      <c r="AK88" s="55">
        <v>45665</v>
      </c>
      <c r="AL88" s="10"/>
      <c r="AM88" s="10" t="s">
        <v>1617</v>
      </c>
      <c r="AN88" s="10"/>
      <c r="AO88" s="10"/>
      <c r="AP88" s="10"/>
      <c r="AQ88" s="51" t="s">
        <v>1403</v>
      </c>
      <c r="AR88" s="51" t="s">
        <v>1404</v>
      </c>
      <c r="AS88" s="51" t="s">
        <v>1554</v>
      </c>
      <c r="AT88" s="51"/>
      <c r="AU88" s="63" t="s">
        <v>1405</v>
      </c>
      <c r="AV88" s="52" t="s">
        <v>1749</v>
      </c>
      <c r="AW88" s="52"/>
      <c r="AX88" s="51"/>
      <c r="AY88" s="51"/>
      <c r="AZ88" s="51"/>
      <c r="BA88" s="51"/>
      <c r="BB88" s="51"/>
      <c r="BC88" s="51"/>
      <c r="BD88" s="51"/>
      <c r="BE88" s="51"/>
      <c r="BF88" s="92"/>
      <c r="BG88" s="92"/>
      <c r="BH88" s="92"/>
      <c r="BI88" s="92"/>
      <c r="BJ88" s="92"/>
      <c r="BK88" s="92"/>
      <c r="BL88" s="92"/>
      <c r="BN88" s="7" t="str">
        <f>IF(IFERROR(FIND("romatis",TableauJDG[[#This Row],[TYPE DE THÉ FR]]),0)=0,"","aromatisé")</f>
        <v>aromatisé</v>
      </c>
      <c r="BO88" s="10" t="s">
        <v>1827</v>
      </c>
      <c r="BV88" s="10" t="str">
        <f t="shared" si="82"/>
        <v>Quand on lui susurre à l'oreille qu’elle est belle à croquer et qu'elle est la star de cette infusion de fruits d’une jolie couleur rose, Mademoiselle Framboise n'en finit pas de rougir… Impossible de résister à son délicat parfum et son petit côté a</v>
      </c>
      <c r="BW88" s="10" t="str">
        <f t="shared" si="83"/>
        <v>cidulé qui réveillent délicieusement les papilles…</v>
      </c>
      <c r="BX88" s="10" t="str">
        <f t="shared" si="56"/>
        <v/>
      </c>
      <c r="BY88" s="10" t="str">
        <f t="shared" si="57"/>
        <v/>
      </c>
      <c r="BZ88" s="10" t="str">
        <f t="shared" si="58"/>
        <v>Ingrédients : morceaux de fruits (pomme*, framboise* 4%), arômes naturels de (framboise* 14%, fraise*, cassis*), morceaux de betterave*, écorces d’églantine*, hibiscus*, réglisse* 5%, écorces d’orange*, groseilles*, feuilles de mûrier*, huile essenti</v>
      </c>
      <c r="CA88" s="10" t="str">
        <f t="shared" si="59"/>
        <v>elle de citron*. *Issu de l’agriculture biologique. Contient de la réglisse, les personnes souffrant d’hypertension doivent éviter toute consommation excessive.</v>
      </c>
      <c r="CB88" s="10" t="str">
        <f t="shared" si="60"/>
        <v/>
      </c>
      <c r="CC88" s="10" t="str">
        <f t="shared" si="61"/>
        <v/>
      </c>
      <c r="CD88" s="10" t="str">
        <f t="shared" si="62"/>
        <v>/</v>
      </c>
      <c r="CE88" s="10" t="str">
        <f t="shared" si="63"/>
        <v/>
      </c>
      <c r="CF88" s="10" t="str">
        <f t="shared" si="64"/>
        <v/>
      </c>
      <c r="CG88" s="10" t="str">
        <f t="shared" si="65"/>
        <v/>
      </c>
      <c r="CH88" s="10" t="str">
        <f t="shared" si="66"/>
        <v>/</v>
      </c>
      <c r="CI88" s="10" t="str">
        <f t="shared" si="67"/>
        <v/>
      </c>
      <c r="CJ88" s="10" t="str">
        <f t="shared" si="68"/>
        <v/>
      </c>
      <c r="CK88" s="10" t="str">
        <f t="shared" si="69"/>
        <v/>
      </c>
      <c r="CL88" s="10" t="str">
        <f t="shared" si="70"/>
        <v>When someone whispers in her ear that she's as pretty as a picture and the star of this pretty pink fruit infusion, Mademoiselle Framboise can't stop blushing... It's impossible to resist its delicate fragrance and tangy flavour, which delightfully a</v>
      </c>
      <c r="CM88" s="10" t="str">
        <f t="shared" si="71"/>
        <v>waken the taste buds.</v>
      </c>
      <c r="CN88" s="10" t="str">
        <f t="shared" si="72"/>
        <v/>
      </c>
      <c r="CO88" s="10" t="str">
        <f t="shared" si="73"/>
        <v/>
      </c>
      <c r="CP88" s="10" t="str">
        <f t="shared" si="74"/>
        <v>Ingredients: fruit (apple*, raspberry* 4%), natural (raspberry* 14%, strawberry*, blackcurrant*) flavourings, beetroot pieces*, rosehip peels*, hibiscus*, liquorice* 5%, orange peels*, redcurrants*, mulberry leaves*, lemon essential oil*. *From organ</v>
      </c>
      <c r="CQ88" s="10" t="str">
        <f t="shared" si="75"/>
        <v>ic farming. Contains liquorice, people suffering from hypertension should avoid excessive consumption.</v>
      </c>
      <c r="CR88" s="10" t="str">
        <f t="shared" si="76"/>
        <v/>
      </c>
      <c r="CS88" s="10" t="str">
        <f t="shared" si="77"/>
        <v/>
      </c>
      <c r="CT88" s="10" t="str">
        <f t="shared" si="78"/>
        <v/>
      </c>
      <c r="CU88" s="10" t="str">
        <f t="shared" si="79"/>
        <v/>
      </c>
      <c r="CV88" s="10" t="str">
        <f t="shared" si="80"/>
        <v/>
      </c>
      <c r="CW88" s="10" t="str">
        <f t="shared" si="81"/>
        <v/>
      </c>
    </row>
    <row r="89" spans="1:101" ht="93.6">
      <c r="A89" s="129" t="s">
        <v>481</v>
      </c>
      <c r="B89" s="9" t="s">
        <v>26</v>
      </c>
      <c r="C89" s="9"/>
      <c r="D89" s="8" t="s">
        <v>478</v>
      </c>
      <c r="E89" s="9" t="s">
        <v>479</v>
      </c>
      <c r="F89" s="9" t="s">
        <v>44</v>
      </c>
      <c r="G89" s="9" t="s">
        <v>45</v>
      </c>
      <c r="H89" s="10" t="s">
        <v>5</v>
      </c>
      <c r="I89" s="10" t="s">
        <v>6</v>
      </c>
      <c r="J89" s="10" t="s">
        <v>29</v>
      </c>
      <c r="K89" s="10" t="s">
        <v>29</v>
      </c>
      <c r="L89" s="10" t="s">
        <v>29</v>
      </c>
      <c r="M89" s="10" t="s">
        <v>29</v>
      </c>
      <c r="N89" s="10" t="s">
        <v>37</v>
      </c>
      <c r="O89" s="9"/>
      <c r="P89" s="9" t="s">
        <v>480</v>
      </c>
      <c r="Q89" s="57" t="s">
        <v>1040</v>
      </c>
      <c r="R89" s="57"/>
      <c r="S89" s="9"/>
      <c r="T89" s="24" t="s">
        <v>1041</v>
      </c>
      <c r="U89" s="24"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89" s="9" t="s">
        <v>29</v>
      </c>
      <c r="W89" s="9" t="s">
        <v>31</v>
      </c>
      <c r="X89" s="10">
        <v>100</v>
      </c>
      <c r="Y89" s="11" t="s">
        <v>42</v>
      </c>
      <c r="Z89" s="19">
        <v>95</v>
      </c>
      <c r="AA89" s="10">
        <v>2</v>
      </c>
      <c r="AB89" s="10">
        <v>50</v>
      </c>
      <c r="AC89" s="12">
        <v>3582810920428</v>
      </c>
      <c r="AD89" s="10" t="s">
        <v>29</v>
      </c>
      <c r="AE89" s="10" t="s">
        <v>1042</v>
      </c>
      <c r="AF89" s="10" t="s">
        <v>1042</v>
      </c>
      <c r="AG89" s="10" t="s">
        <v>1043</v>
      </c>
      <c r="AH89" s="13" t="s">
        <v>778</v>
      </c>
      <c r="AI89" s="54" t="s">
        <v>776</v>
      </c>
      <c r="AJ89" s="54" t="s">
        <v>776</v>
      </c>
      <c r="AK89" s="55">
        <v>45687</v>
      </c>
      <c r="AL89" s="10"/>
      <c r="AM89" s="10" t="s">
        <v>1652</v>
      </c>
      <c r="AN89" s="10"/>
      <c r="AO89" s="10"/>
      <c r="AP89" s="10"/>
      <c r="AQ89" s="51" t="s">
        <v>1513</v>
      </c>
      <c r="AR89" s="51" t="s">
        <v>1514</v>
      </c>
      <c r="AS89" s="82" t="s">
        <v>1556</v>
      </c>
      <c r="AT89" s="82" t="s">
        <v>1297</v>
      </c>
      <c r="AU89" s="140" t="s">
        <v>1515</v>
      </c>
      <c r="AV89" s="82" t="s">
        <v>1516</v>
      </c>
      <c r="AW89" s="52"/>
      <c r="AX89" s="51"/>
      <c r="AY89" s="51"/>
      <c r="AZ89" s="51"/>
      <c r="BA89" s="51"/>
      <c r="BB89" s="51"/>
      <c r="BC89" s="51"/>
      <c r="BD89" s="51"/>
      <c r="BE89" s="51"/>
      <c r="BF89" s="92"/>
      <c r="BG89" s="92"/>
      <c r="BH89" s="92"/>
      <c r="BI89" s="92"/>
      <c r="BJ89" s="92"/>
      <c r="BK89" s="92"/>
      <c r="BL89" s="92"/>
      <c r="BN89" s="7" t="str">
        <f>IF(IFERROR(FIND("romatis",TableauJDG[[#This Row],[TYPE DE THÉ FR]]),0)=0,"","aromatisé")</f>
        <v>aromatisé</v>
      </c>
      <c r="BV89" s="10" t="str">
        <f t="shared" si="82"/>
        <v>Ce rooibos joliment agrémenté de pétales de bleuet, aux saveurs fruitées de myrtille et de framboise évoque toute la magie des bois. Une délicieuse balade gourmande vous attend, à boire en famille, chaude ou glacée !</v>
      </c>
      <c r="BW89" s="10" t="str">
        <f t="shared" si="83"/>
        <v/>
      </c>
      <c r="BX89" s="10" t="str">
        <f t="shared" si="56"/>
        <v/>
      </c>
      <c r="BY89" s="10" t="str">
        <f t="shared" si="57"/>
        <v/>
      </c>
      <c r="BZ89" s="10" t="str">
        <f t="shared" si="58"/>
        <v>Ingrédients : rooibos*, arômes naturels de (myrtille*, framboise*) 13%, aronia*, pétales de bleuet*. *Issu de l'agriculture biologique.</v>
      </c>
      <c r="CA89" s="10" t="str">
        <f t="shared" si="59"/>
        <v/>
      </c>
      <c r="CB89" s="10" t="str">
        <f t="shared" si="60"/>
        <v/>
      </c>
      <c r="CC89" s="10" t="str">
        <f t="shared" si="61"/>
        <v/>
      </c>
      <c r="CD89" s="10" t="str">
        <f t="shared" si="62"/>
        <v>/</v>
      </c>
      <c r="CE89" s="10" t="str">
        <f t="shared" si="63"/>
        <v/>
      </c>
      <c r="CF89" s="10" t="str">
        <f t="shared" si="64"/>
        <v/>
      </c>
      <c r="CG89" s="10" t="str">
        <f t="shared" si="65"/>
        <v/>
      </c>
      <c r="CH89" s="10" t="str">
        <f t="shared" si="66"/>
        <v>Membre certifié World Fair Trade Organization, Les Jardins de Gaïa s’engagent pour un commerce plus juste et répondent aux exigences du commerce équitable. Pour en savoir plus : www.wfto.com.</v>
      </c>
      <c r="CI89" s="10" t="str">
        <f t="shared" si="67"/>
        <v/>
      </c>
      <c r="CJ89" s="10" t="str">
        <f t="shared" si="68"/>
        <v/>
      </c>
      <c r="CK89" s="10" t="str">
        <f t="shared" si="69"/>
        <v/>
      </c>
      <c r="CL89" s="10" t="str">
        <f t="shared" si="70"/>
        <v>This rooibos, beautifully embellished with cornflower petals and fruity blueberry and raspberry flavours, evokes the magic of the woods. A delicious full-flavoured stroll awaits you, to be enjoyed with the whole family, hot or iced!</v>
      </c>
      <c r="CM89" s="10" t="str">
        <f t="shared" si="71"/>
        <v/>
      </c>
      <c r="CN89" s="10" t="str">
        <f t="shared" si="72"/>
        <v/>
      </c>
      <c r="CO89" s="10" t="str">
        <f t="shared" si="73"/>
        <v/>
      </c>
      <c r="CP89" s="10" t="str">
        <f t="shared" si="74"/>
        <v>Ingredients: rooibos*, natural (blueberry*, raspberry*) flavourings 13%, aronia*, cornflower petals*. *From organic farming.</v>
      </c>
      <c r="CQ89" s="10" t="str">
        <f t="shared" si="75"/>
        <v/>
      </c>
      <c r="CR89" s="10" t="str">
        <f t="shared" si="76"/>
        <v/>
      </c>
      <c r="CS89" s="10" t="str">
        <f t="shared" si="77"/>
        <v/>
      </c>
      <c r="CT89" s="10" t="str">
        <f t="shared" si="78"/>
        <v/>
      </c>
      <c r="CU89" s="10" t="str">
        <f t="shared" si="79"/>
        <v/>
      </c>
      <c r="CV89" s="10" t="str">
        <f t="shared" si="80"/>
        <v/>
      </c>
      <c r="CW89" s="10" t="str">
        <f t="shared" si="81"/>
        <v/>
      </c>
    </row>
    <row r="90" spans="1:101" ht="115.2">
      <c r="A90" s="129" t="s">
        <v>486</v>
      </c>
      <c r="B90" s="9" t="s">
        <v>787</v>
      </c>
      <c r="C90" s="9" t="s">
        <v>788</v>
      </c>
      <c r="D90" s="8" t="s">
        <v>482</v>
      </c>
      <c r="E90" s="9" t="s">
        <v>483</v>
      </c>
      <c r="F90" s="9" t="s">
        <v>35</v>
      </c>
      <c r="G90" s="10" t="s">
        <v>484</v>
      </c>
      <c r="H90" s="10" t="s">
        <v>5</v>
      </c>
      <c r="I90" s="10" t="s">
        <v>29</v>
      </c>
      <c r="J90" s="10" t="s">
        <v>29</v>
      </c>
      <c r="K90" s="10" t="s">
        <v>29</v>
      </c>
      <c r="L90" s="10" t="s">
        <v>29</v>
      </c>
      <c r="M90" s="10" t="s">
        <v>29</v>
      </c>
      <c r="N90" s="10" t="s">
        <v>37</v>
      </c>
      <c r="O90" s="9"/>
      <c r="P90" s="9" t="s">
        <v>485</v>
      </c>
      <c r="Q90" s="9" t="s">
        <v>1044</v>
      </c>
      <c r="R90" s="9"/>
      <c r="S90" s="9" t="s">
        <v>789</v>
      </c>
      <c r="T90" s="24" t="s">
        <v>1720</v>
      </c>
      <c r="U90" s="24"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90" s="8" t="s">
        <v>29</v>
      </c>
      <c r="W90" s="9" t="s">
        <v>29</v>
      </c>
      <c r="X90" s="10">
        <v>100</v>
      </c>
      <c r="Y90" s="11" t="s">
        <v>59</v>
      </c>
      <c r="Z90" s="19">
        <v>90</v>
      </c>
      <c r="AA90" s="10">
        <v>2</v>
      </c>
      <c r="AB90" s="12">
        <v>50</v>
      </c>
      <c r="AC90" s="12">
        <v>3582810473726</v>
      </c>
      <c r="AD90" s="10" t="s">
        <v>29</v>
      </c>
      <c r="AE90" s="10" t="s">
        <v>487</v>
      </c>
      <c r="AF90" s="10" t="s">
        <v>1045</v>
      </c>
      <c r="AG90" s="10" t="s">
        <v>1046</v>
      </c>
      <c r="AH90" s="13" t="s">
        <v>38</v>
      </c>
      <c r="AI90" s="54" t="s">
        <v>776</v>
      </c>
      <c r="AJ90" s="54" t="s">
        <v>776</v>
      </c>
      <c r="AK90" s="55">
        <v>45698</v>
      </c>
      <c r="AL90" s="10"/>
      <c r="AM90" s="10">
        <v>25029</v>
      </c>
      <c r="AN90" s="10"/>
      <c r="AO90" s="10"/>
      <c r="AP90" s="10"/>
      <c r="AQ90" s="51" t="s">
        <v>1392</v>
      </c>
      <c r="AR90" s="51" t="s">
        <v>1286</v>
      </c>
      <c r="AS90" s="87" t="s">
        <v>1549</v>
      </c>
      <c r="AT90" s="87" t="e">
        <f>VLOOKUP(A90,TRADS,14,0)</f>
        <v>#REF!</v>
      </c>
      <c r="AU90" s="87" t="s">
        <v>1393</v>
      </c>
      <c r="AV90" s="87" t="s">
        <v>1675</v>
      </c>
      <c r="AW90" s="87"/>
      <c r="AX90" s="87" t="s">
        <v>29</v>
      </c>
      <c r="AY90" s="51"/>
      <c r="AZ90" s="51"/>
      <c r="BA90" s="51" t="s">
        <v>1571</v>
      </c>
      <c r="BB90" s="51" t="s">
        <v>1642</v>
      </c>
      <c r="BC90" s="51"/>
      <c r="BD90" s="51"/>
      <c r="BE90" s="51"/>
      <c r="BF90" s="92"/>
      <c r="BG90" s="92"/>
      <c r="BH90" s="92"/>
      <c r="BI90" s="92"/>
      <c r="BJ90" s="92"/>
      <c r="BK90" s="92"/>
      <c r="BL90" s="92"/>
      <c r="BN90" s="7" t="str">
        <f>IF(IFERROR(FIND("romatis",TableauJDG[[#This Row],[TYPE DE THÉ FR]]),0)=0,"","aromatisé")</f>
        <v>aromatisé</v>
      </c>
      <c r="BV90" s="10" t="str">
        <f t="shared" si="82"/>
        <v>Sur la base d’un excellent thé noir ougandais, cette recette de thé noir tout en douceur est dédiée à nos “cousins” aussi malins qu'attachants. Ses saveurs de thym et de miel viennent agréablement surprendre le palais avant de laisser place à de déli</v>
      </c>
      <c r="BW90" s="10" t="str">
        <f t="shared" si="83"/>
        <v>cieuses notes de figue dont raffolent les chimpanzés…</v>
      </c>
      <c r="BX90" s="10" t="str">
        <f t="shared" si="56"/>
        <v/>
      </c>
      <c r="BY90" s="10" t="str">
        <f t="shared" si="57"/>
        <v/>
      </c>
      <c r="BZ90" s="10" t="str">
        <f t="shared" si="58"/>
        <v xml:space="preserve">Ingrédients : thé noir*, honeybush*, morceaux de figue* 19%, arôme naturel de (figue 5%, miel* 4%), thym* 1%, pétales de souci*. *Issu de l’agriculture biologique. </v>
      </c>
      <c r="CA90" s="10" t="str">
        <f t="shared" si="59"/>
        <v/>
      </c>
      <c r="CB90" s="10" t="str">
        <f t="shared" si="60"/>
        <v/>
      </c>
      <c r="CC90" s="10" t="str">
        <f t="shared" si="61"/>
        <v/>
      </c>
      <c r="CD90" s="10" t="str">
        <f t="shared" si="62"/>
        <v>/</v>
      </c>
      <c r="CE90" s="10" t="str">
        <f t="shared" si="63"/>
        <v/>
      </c>
      <c r="CF90" s="10" t="str">
        <f t="shared" si="64"/>
        <v/>
      </c>
      <c r="CG90" s="10" t="str">
        <f t="shared" si="65"/>
        <v/>
      </c>
      <c r="CH90" s="10" t="str">
        <f t="shared" si="66"/>
        <v>/</v>
      </c>
      <c r="CI90" s="10" t="str">
        <f t="shared" si="67"/>
        <v/>
      </c>
      <c r="CJ90" s="10" t="str">
        <f t="shared" si="68"/>
        <v/>
      </c>
      <c r="CK90" s="10" t="str">
        <f t="shared" si="69"/>
        <v/>
      </c>
      <c r="CL90" s="10" t="str">
        <f t="shared" si="70"/>
        <v>Based on an excellent Ugandan black tea, this gentle black tea recipe is dedicated to our clever and endearing "cousins". Its flavours of thyme and honey pleasantly surprise the palate, before giving way to delicious notes of fig, which chimpanzees l</v>
      </c>
      <c r="CM90" s="10" t="str">
        <f t="shared" si="71"/>
        <v>ove...</v>
      </c>
      <c r="CN90" s="10" t="str">
        <f t="shared" si="72"/>
        <v/>
      </c>
      <c r="CO90" s="10" t="str">
        <f t="shared" si="73"/>
        <v/>
      </c>
      <c r="CP90" s="10" t="str">
        <f t="shared" si="74"/>
        <v>Ingredients: black tea*, honeybush*, fig pieces* 19%, natural (fig 5%, honey* 4%) flavourings, thyme* 1%, marigold petals*. *From organic farming.</v>
      </c>
      <c r="CQ90" s="10" t="str">
        <f t="shared" si="75"/>
        <v/>
      </c>
      <c r="CR90" s="10" t="str">
        <f t="shared" si="76"/>
        <v/>
      </c>
      <c r="CS90" s="10" t="str">
        <f t="shared" si="77"/>
        <v/>
      </c>
      <c r="CT90" s="10" t="str">
        <f t="shared" si="78"/>
        <v>/</v>
      </c>
      <c r="CU90" s="10" t="str">
        <f t="shared" si="79"/>
        <v/>
      </c>
      <c r="CV90" s="10" t="str">
        <f t="shared" si="80"/>
        <v/>
      </c>
      <c r="CW90" s="10" t="str">
        <f t="shared" si="81"/>
        <v/>
      </c>
    </row>
    <row r="91" spans="1:101" ht="109.2">
      <c r="A91" s="130" t="s">
        <v>490</v>
      </c>
      <c r="B91" s="9" t="s">
        <v>26</v>
      </c>
      <c r="C91" s="9"/>
      <c r="D91" s="18" t="s">
        <v>488</v>
      </c>
      <c r="E91" s="9" t="s">
        <v>80</v>
      </c>
      <c r="F91" s="9" t="s">
        <v>44</v>
      </c>
      <c r="G91" s="9" t="s">
        <v>45</v>
      </c>
      <c r="H91" s="10" t="s">
        <v>5</v>
      </c>
      <c r="I91" s="10" t="s">
        <v>6</v>
      </c>
      <c r="J91" s="10" t="s">
        <v>7</v>
      </c>
      <c r="K91" s="10" t="s">
        <v>29</v>
      </c>
      <c r="L91" s="10" t="s">
        <v>29</v>
      </c>
      <c r="M91" s="10" t="s">
        <v>29</v>
      </c>
      <c r="N91" s="10" t="s">
        <v>37</v>
      </c>
      <c r="O91" s="9"/>
      <c r="P91" s="9" t="s">
        <v>489</v>
      </c>
      <c r="Q91" s="9" t="s">
        <v>1047</v>
      </c>
      <c r="R91" s="9"/>
      <c r="S91" s="9"/>
      <c r="T91" s="72" t="s">
        <v>1936</v>
      </c>
      <c r="U91" s="24"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91" s="9" t="s">
        <v>29</v>
      </c>
      <c r="W91" s="9" t="s">
        <v>31</v>
      </c>
      <c r="X91" s="10">
        <v>100</v>
      </c>
      <c r="Y91" s="11" t="s">
        <v>42</v>
      </c>
      <c r="Z91" s="19">
        <v>95</v>
      </c>
      <c r="AA91" s="10">
        <v>2</v>
      </c>
      <c r="AB91" s="10">
        <v>50</v>
      </c>
      <c r="AC91" s="12">
        <v>3582810922729</v>
      </c>
      <c r="AD91" s="10" t="s">
        <v>29</v>
      </c>
      <c r="AE91" s="10" t="s">
        <v>1048</v>
      </c>
      <c r="AF91" s="10" t="s">
        <v>1942</v>
      </c>
      <c r="AG91" s="10" t="s">
        <v>1941</v>
      </c>
      <c r="AH91" s="13" t="s">
        <v>38</v>
      </c>
      <c r="AI91" s="54" t="s">
        <v>776</v>
      </c>
      <c r="AJ91" s="54" t="s">
        <v>776</v>
      </c>
      <c r="AK91" s="55">
        <v>45723</v>
      </c>
      <c r="AL91" s="10"/>
      <c r="AM91" s="10">
        <v>25062</v>
      </c>
      <c r="AN91" s="10"/>
      <c r="AO91" s="10"/>
      <c r="AP91" s="10"/>
      <c r="AQ91" s="51" t="s">
        <v>488</v>
      </c>
      <c r="AR91" s="51" t="s">
        <v>80</v>
      </c>
      <c r="AS91" s="82" t="s">
        <v>1556</v>
      </c>
      <c r="AT91" s="82" t="s">
        <v>1297</v>
      </c>
      <c r="AU91" s="96" t="s">
        <v>1526</v>
      </c>
      <c r="AV91" s="82" t="s">
        <v>1527</v>
      </c>
      <c r="AW91" s="52"/>
      <c r="AX91" s="51"/>
      <c r="AY91" s="51"/>
      <c r="AZ91" s="51"/>
      <c r="BA91" s="51"/>
      <c r="BB91" s="51"/>
      <c r="BC91" s="51"/>
      <c r="BD91" s="51"/>
      <c r="BE91" s="51"/>
      <c r="BF91" s="92"/>
      <c r="BG91" s="92"/>
      <c r="BH91" s="92"/>
      <c r="BI91" s="92"/>
      <c r="BJ91" s="92"/>
      <c r="BK91" s="92"/>
      <c r="BL91" s="92"/>
      <c r="BN91" s="7" t="str">
        <f>IF(IFERROR(FIND("romatis",TableauJDG[[#This Row],[TYPE DE THÉ FR]]),0)=0,"","aromatisé")</f>
        <v>aromatisé</v>
      </c>
      <c r="BO91" s="71" t="s">
        <v>1964</v>
      </c>
      <c r="BP91" s="144" t="s">
        <v>1937</v>
      </c>
      <c r="BV91" s="10" t="str">
        <f t="shared" si="82"/>
        <v>Clin d'œil au son chaud et plaintif du saxophone d'Archie Shepp, cette recette savoureuse à base de rooibos a été créé pour vous faire frissonner de plaisir. Les notes délicates de la rose et vanillées de l’emblématique boisson sud-africaine formen</v>
      </c>
      <c r="BW91" s="10" t="str">
        <f t="shared" si="83"/>
        <v>t des accords gourmands, harmonieux et envoûtants…</v>
      </c>
      <c r="BX91" s="10" t="str">
        <f t="shared" si="56"/>
        <v/>
      </c>
      <c r="BY91" s="10" t="str">
        <f t="shared" si="57"/>
        <v/>
      </c>
      <c r="BZ91" s="10" t="str">
        <f t="shared" si="58"/>
        <v>Ingrédients : rooibos**, extrait de rose* 9%, pétales de rose** 3%. *Issu de l'agriculture biologique. **Issu de l'agriculture biologique et biodynamique. demeter est le label des produits issus de l'agriculture biodynamique.</v>
      </c>
      <c r="CA91" s="10" t="str">
        <f t="shared" si="59"/>
        <v/>
      </c>
      <c r="CB91" s="10" t="str">
        <f t="shared" si="60"/>
        <v/>
      </c>
      <c r="CC91" s="10" t="str">
        <f t="shared" si="61"/>
        <v/>
      </c>
      <c r="CD91" s="10" t="str">
        <f t="shared" si="62"/>
        <v>/</v>
      </c>
      <c r="CE91" s="10" t="str">
        <f t="shared" si="63"/>
        <v/>
      </c>
      <c r="CF91" s="10" t="str">
        <f t="shared" si="64"/>
        <v/>
      </c>
      <c r="CG91" s="10" t="str">
        <f t="shared" si="65"/>
        <v/>
      </c>
      <c r="CH91" s="10" t="str">
        <f t="shared" si="66"/>
        <v>Membre certifié World Fair Trade Organization, Les Jardins de Gaïa s’engagent pour un commerce plus juste et répondent aux exigences du commerce équitable. Pour en savoir plus : www.wfto.com.</v>
      </c>
      <c r="CI91" s="10" t="str">
        <f t="shared" si="67"/>
        <v/>
      </c>
      <c r="CJ91" s="10" t="str">
        <f t="shared" si="68"/>
        <v/>
      </c>
      <c r="CK91" s="10" t="str">
        <f t="shared" si="69"/>
        <v/>
      </c>
      <c r="CL91" s="10" t="str">
        <f t="shared" si="70"/>
        <v>A nod to the warm, plaintive sound of Archie Shepp's saxophone, this tasty rooibos-based recipe has been created to send shivers of pleasure down your spine. The delicate rose and vanilla notes of the emblematic South African beverage form a harmonio</v>
      </c>
      <c r="CM91" s="10" t="str">
        <f t="shared" si="71"/>
        <v>us, bewitching and heavenly harmony...</v>
      </c>
      <c r="CN91" s="10" t="str">
        <f t="shared" si="72"/>
        <v/>
      </c>
      <c r="CO91" s="10" t="str">
        <f t="shared" si="73"/>
        <v/>
      </c>
      <c r="CP91" s="10" t="str">
        <f t="shared" si="74"/>
        <v>Ingredients: rooibos**, rose extract* 9%, rose petals** 3%. *From organic farming. **From organic and biodynamic farming. demeter is the brand for products from biodynamic agriculture.</v>
      </c>
      <c r="CQ91" s="10" t="str">
        <f t="shared" si="75"/>
        <v/>
      </c>
      <c r="CR91" s="10" t="str">
        <f t="shared" si="76"/>
        <v/>
      </c>
      <c r="CS91" s="10" t="str">
        <f t="shared" si="77"/>
        <v/>
      </c>
      <c r="CT91" s="10" t="str">
        <f t="shared" si="78"/>
        <v/>
      </c>
      <c r="CU91" s="10" t="str">
        <f t="shared" si="79"/>
        <v/>
      </c>
      <c r="CV91" s="10" t="str">
        <f t="shared" si="80"/>
        <v/>
      </c>
      <c r="CW91" s="10" t="str">
        <f t="shared" si="81"/>
        <v/>
      </c>
    </row>
    <row r="92" spans="1:101" ht="93.6">
      <c r="A92" s="129" t="s">
        <v>494</v>
      </c>
      <c r="B92" s="9" t="s">
        <v>777</v>
      </c>
      <c r="C92" s="9" t="s">
        <v>39</v>
      </c>
      <c r="D92" s="8" t="s">
        <v>491</v>
      </c>
      <c r="E92" s="9" t="s">
        <v>1049</v>
      </c>
      <c r="F92" s="9" t="s">
        <v>40</v>
      </c>
      <c r="G92" s="56" t="s">
        <v>29</v>
      </c>
      <c r="H92" s="10" t="s">
        <v>5</v>
      </c>
      <c r="I92" s="10" t="s">
        <v>29</v>
      </c>
      <c r="J92" s="10" t="s">
        <v>29</v>
      </c>
      <c r="K92" s="10" t="s">
        <v>29</v>
      </c>
      <c r="L92" s="10" t="s">
        <v>29</v>
      </c>
      <c r="M92" s="10" t="s">
        <v>29</v>
      </c>
      <c r="N92" s="10" t="s">
        <v>84</v>
      </c>
      <c r="O92" s="9"/>
      <c r="P92" s="9" t="s">
        <v>492</v>
      </c>
      <c r="Q92" s="26" t="s">
        <v>1050</v>
      </c>
      <c r="R92" s="26"/>
      <c r="S92" s="9"/>
      <c r="T92" s="9" t="s">
        <v>493</v>
      </c>
      <c r="U92"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92" s="9" t="s">
        <v>41</v>
      </c>
      <c r="W92" s="9" t="s">
        <v>29</v>
      </c>
      <c r="X92" s="10">
        <v>200</v>
      </c>
      <c r="Y92" s="11" t="s">
        <v>78</v>
      </c>
      <c r="Z92" s="19">
        <v>95</v>
      </c>
      <c r="AA92" s="10">
        <v>2</v>
      </c>
      <c r="AB92" s="10">
        <v>100</v>
      </c>
      <c r="AC92" s="12">
        <v>3582811005308</v>
      </c>
      <c r="AD92" s="10" t="s">
        <v>29</v>
      </c>
      <c r="AE92" s="10" t="s">
        <v>1051</v>
      </c>
      <c r="AF92" s="10" t="s">
        <v>1051</v>
      </c>
      <c r="AG92" s="10" t="s">
        <v>29</v>
      </c>
      <c r="AH92" s="20"/>
      <c r="AI92" s="10"/>
      <c r="AJ92" s="10"/>
      <c r="AK92" s="10"/>
      <c r="AL92" s="10" t="s">
        <v>774</v>
      </c>
      <c r="AM92" s="10"/>
      <c r="AN92" s="10"/>
      <c r="AO92" s="10"/>
      <c r="AP92" s="10"/>
      <c r="AQ92" s="51"/>
      <c r="AR92" s="51"/>
      <c r="AS92" s="51"/>
      <c r="AT92" s="51"/>
      <c r="AU92" s="120"/>
      <c r="AV92" s="52"/>
      <c r="AW92" s="52"/>
      <c r="AX92" s="51"/>
      <c r="AY92" s="51"/>
      <c r="AZ92" s="51"/>
      <c r="BA92" s="51"/>
      <c r="BB92" s="51"/>
      <c r="BC92" s="51"/>
      <c r="BD92" s="51"/>
      <c r="BE92" s="51"/>
      <c r="BF92" s="92"/>
      <c r="BG92" s="92"/>
      <c r="BH92" s="92"/>
      <c r="BI92" s="92"/>
      <c r="BJ92" s="92"/>
      <c r="BK92" s="92"/>
      <c r="BL92" s="92"/>
      <c r="BN92" s="7" t="str">
        <f>IF(IFERROR(FIND("romatis",TableauJDG[[#This Row],[TYPE DE THÉ FR]]),0)=0,"","aromatisé")</f>
        <v/>
      </c>
      <c r="BV92" s="10" t="str">
        <f t="shared" si="82"/>
        <v>L’infusion de ce mariage de plantes réputées galactogènes est destinée à prendre soin des mamans qui font le choix de l'allaitement. Véritable concentré de douceur et tendresse, elle calme les spasmes musculaires tout en réconfortant les papilles ave</v>
      </c>
      <c r="BW92" s="10" t="str">
        <f t="shared" si="83"/>
        <v xml:space="preserve">c ses notes anisées, rondes et sucrées. </v>
      </c>
      <c r="BX92" s="10" t="str">
        <f t="shared" si="56"/>
        <v/>
      </c>
      <c r="BY92" s="10" t="str">
        <f t="shared" si="57"/>
        <v/>
      </c>
      <c r="BZ92" s="10" t="str">
        <f t="shared" si="58"/>
        <v>Ingrédients : carvi* 40% (Carum carvi), fenouil* 30% (Foeniculum vulgare), anis* 30% (Pimpinella anisum).*Issu de l'agriculture biologique</v>
      </c>
      <c r="CA92" s="10" t="str">
        <f t="shared" si="59"/>
        <v/>
      </c>
      <c r="CB92" s="10" t="str">
        <f t="shared" si="60"/>
        <v/>
      </c>
      <c r="CC92" s="10" t="str">
        <f t="shared" si="61"/>
        <v/>
      </c>
      <c r="CD92" s="10" t="str">
        <f t="shared" si="62"/>
        <v>Consommation journalière conseillée : 3 tasses de 25 cl.
Il est recommandé d'adopter un mode de vie sain et une alimentation variée et équilibrée pour profiter pleinement des vertus de cette infusion. Informations nutritionnelles moyennes pour 100 m</v>
      </c>
      <c r="CE92" s="10" t="str">
        <f t="shared" si="63"/>
        <v>l : Énergie 3 kJ/1 kcal. Cette infusion contient des quantités négligeables de matières grasses dont acides gras saturés, de glucides dont sucres, de protéines et de sel.</v>
      </c>
      <c r="CF92" s="10" t="str">
        <f t="shared" si="64"/>
        <v/>
      </c>
      <c r="CG92" s="10" t="str">
        <f t="shared" si="65"/>
        <v/>
      </c>
      <c r="CH92" s="10" t="str">
        <f t="shared" si="66"/>
        <v>/</v>
      </c>
      <c r="CI92" s="10" t="str">
        <f t="shared" si="67"/>
        <v/>
      </c>
      <c r="CJ92" s="10" t="str">
        <f t="shared" si="68"/>
        <v/>
      </c>
      <c r="CK92" s="10" t="str">
        <f t="shared" si="69"/>
        <v/>
      </c>
      <c r="CL92" s="10" t="str">
        <f t="shared" si="70"/>
        <v/>
      </c>
      <c r="CM92" s="10" t="str">
        <f t="shared" si="71"/>
        <v/>
      </c>
      <c r="CN92" s="10" t="str">
        <f t="shared" si="72"/>
        <v/>
      </c>
      <c r="CO92" s="10" t="str">
        <f t="shared" si="73"/>
        <v/>
      </c>
      <c r="CP92" s="10" t="str">
        <f t="shared" si="74"/>
        <v/>
      </c>
      <c r="CQ92" s="10" t="str">
        <f t="shared" si="75"/>
        <v/>
      </c>
      <c r="CR92" s="10" t="str">
        <f t="shared" si="76"/>
        <v/>
      </c>
      <c r="CS92" s="10" t="str">
        <f t="shared" si="77"/>
        <v/>
      </c>
      <c r="CT92" s="10" t="str">
        <f t="shared" si="78"/>
        <v/>
      </c>
      <c r="CU92" s="10" t="str">
        <f t="shared" si="79"/>
        <v/>
      </c>
      <c r="CV92" s="10" t="str">
        <f t="shared" si="80"/>
        <v/>
      </c>
      <c r="CW92" s="10" t="str">
        <f t="shared" si="81"/>
        <v/>
      </c>
    </row>
    <row r="93" spans="1:101" ht="78">
      <c r="A93" s="130" t="s">
        <v>750</v>
      </c>
      <c r="B93" s="9" t="s">
        <v>26</v>
      </c>
      <c r="C93" s="9"/>
      <c r="D93" s="18" t="s">
        <v>1832</v>
      </c>
      <c r="E93" s="9" t="s">
        <v>747</v>
      </c>
      <c r="F93" s="9" t="s">
        <v>57</v>
      </c>
      <c r="G93" s="9" t="s">
        <v>58</v>
      </c>
      <c r="H93" s="10" t="s">
        <v>5</v>
      </c>
      <c r="I93" s="10" t="s">
        <v>29</v>
      </c>
      <c r="J93" s="10" t="s">
        <v>29</v>
      </c>
      <c r="K93" s="10" t="s">
        <v>29</v>
      </c>
      <c r="L93" s="10" t="s">
        <v>29</v>
      </c>
      <c r="M93" s="10" t="s">
        <v>29</v>
      </c>
      <c r="N93" s="10" t="s">
        <v>37</v>
      </c>
      <c r="O93" s="9"/>
      <c r="P93" s="9" t="s">
        <v>748</v>
      </c>
      <c r="Q93" s="122" t="s">
        <v>1833</v>
      </c>
      <c r="R93" s="67"/>
      <c r="S93" s="9"/>
      <c r="T93" s="9" t="s">
        <v>749</v>
      </c>
      <c r="U93"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93" s="9" t="s">
        <v>29</v>
      </c>
      <c r="W93" s="9" t="s">
        <v>29</v>
      </c>
      <c r="X93" s="10">
        <v>100</v>
      </c>
      <c r="Y93" s="19" t="s">
        <v>59</v>
      </c>
      <c r="Z93" s="19">
        <v>80</v>
      </c>
      <c r="AA93" s="10">
        <v>2</v>
      </c>
      <c r="AB93" s="10">
        <v>50</v>
      </c>
      <c r="AC93" s="12">
        <v>3582810367223</v>
      </c>
      <c r="AD93" s="10" t="s">
        <v>29</v>
      </c>
      <c r="AE93" s="10" t="s">
        <v>1870</v>
      </c>
      <c r="AF93" s="10" t="s">
        <v>1870</v>
      </c>
      <c r="AG93" s="10" t="s">
        <v>1966</v>
      </c>
      <c r="AH93" s="13" t="s">
        <v>38</v>
      </c>
      <c r="AI93" s="54" t="s">
        <v>776</v>
      </c>
      <c r="AJ93" s="54" t="s">
        <v>776</v>
      </c>
      <c r="AK93" s="55">
        <v>45638</v>
      </c>
      <c r="AL93" s="10"/>
      <c r="AM93" s="10"/>
      <c r="AN93" s="10"/>
      <c r="AO93" s="10"/>
      <c r="AP93" s="10"/>
      <c r="AQ93" s="111" t="s">
        <v>1932</v>
      </c>
      <c r="AR93" s="16" t="s">
        <v>1236</v>
      </c>
      <c r="AS93" s="16"/>
      <c r="AT93" s="87" t="e">
        <f>VLOOKUP(A93,TRADS,14,0)</f>
        <v>#REF!</v>
      </c>
      <c r="AU93" s="63" t="s">
        <v>1238</v>
      </c>
      <c r="AV93" s="52" t="s">
        <v>1237</v>
      </c>
      <c r="AW93" s="52"/>
      <c r="AX93" s="68" t="s">
        <v>29</v>
      </c>
      <c r="AY93" s="51"/>
      <c r="AZ93" s="51"/>
      <c r="BA93" s="51"/>
      <c r="BB93" s="51"/>
      <c r="BC93" s="51"/>
      <c r="BD93" s="51"/>
      <c r="BE93" s="51"/>
      <c r="BF93" s="92"/>
      <c r="BG93" s="92"/>
      <c r="BH93" s="92"/>
      <c r="BI93" s="92"/>
      <c r="BJ93" s="92"/>
      <c r="BK93" s="92"/>
      <c r="BL93" s="92"/>
      <c r="BN93" s="7" t="str">
        <f>IF(IFERROR(FIND("romatis",TableauJDG[[#This Row],[TYPE DE THÉ FR]]),0)=0,"","aromatisé")</f>
        <v>aromatisé</v>
      </c>
      <c r="BO93" s="35" t="s">
        <v>1969</v>
      </c>
      <c r="BV93" s="10" t="str">
        <f t="shared" si="82"/>
        <v>Communicative et festive, cette composition à base de thé vert est un élan de bonne humeur et d’exotisme ! Sur une base détonante de gingembre, de guarana et de ginseng, elle offre des saveurs délicieusement fruitées et ensoleillées de mangue. Une re</v>
      </c>
      <c r="BW93" s="10" t="str">
        <f t="shared" si="83"/>
        <v>cette pleine de punch !</v>
      </c>
      <c r="BX93" s="10" t="str">
        <f t="shared" si="56"/>
        <v/>
      </c>
      <c r="BY93" s="10" t="str">
        <f t="shared" si="57"/>
        <v/>
      </c>
      <c r="BZ93" s="10" t="str">
        <f t="shared" si="58"/>
        <v>Ingrédients : thé vert*, arômes naturels de (mangue* 4%, pêche*), morceaux de gingembre* 4%, morceaux de mangue* 3%, guarana*, écorces d'orange*, ginseng blanc*, huile essentielle de citron*. *Issu de l'agriculture biologique.</v>
      </c>
      <c r="CA93" s="10" t="str">
        <f t="shared" si="59"/>
        <v/>
      </c>
      <c r="CB93" s="10" t="str">
        <f t="shared" si="60"/>
        <v/>
      </c>
      <c r="CC93" s="10" t="str">
        <f t="shared" si="61"/>
        <v/>
      </c>
      <c r="CD93" s="10" t="str">
        <f t="shared" si="62"/>
        <v>/</v>
      </c>
      <c r="CE93" s="10" t="str">
        <f t="shared" si="63"/>
        <v/>
      </c>
      <c r="CF93" s="10" t="str">
        <f t="shared" si="64"/>
        <v/>
      </c>
      <c r="CG93" s="10" t="str">
        <f t="shared" si="65"/>
        <v/>
      </c>
      <c r="CH93" s="10" t="str">
        <f t="shared" si="66"/>
        <v>/</v>
      </c>
      <c r="CI93" s="10" t="str">
        <f t="shared" si="67"/>
        <v/>
      </c>
      <c r="CJ93" s="10" t="str">
        <f t="shared" si="68"/>
        <v/>
      </c>
      <c r="CK93" s="10" t="str">
        <f t="shared" si="69"/>
        <v/>
      </c>
      <c r="CL93" s="10" t="str">
        <f t="shared" si="70"/>
        <v>Communicative and festive, this green tea-based recipe is just like the association for which it was created! With an explosive base of ginger, guarana and ginseng, it unfurls a beautiful palette of warm, lively and deliciously fruity aromas. Let th</v>
      </c>
      <c r="CM93" s="10" t="str">
        <f t="shared" si="71"/>
        <v>e party begin!</v>
      </c>
      <c r="CN93" s="10" t="str">
        <f t="shared" si="72"/>
        <v/>
      </c>
      <c r="CO93" s="10" t="str">
        <f t="shared" si="73"/>
        <v/>
      </c>
      <c r="CP93" s="10" t="str">
        <f t="shared" si="74"/>
        <v>Ingredients: green tea*, natural (mango* 4%, peach*) flavourings, ginger pieces* 4%, mango pieces* 3%, guarana*, orange peels*, white ginseng*, lemon essential oil*. *From organic farming.</v>
      </c>
      <c r="CQ93" s="10" t="str">
        <f t="shared" si="75"/>
        <v/>
      </c>
      <c r="CR93" s="10" t="str">
        <f t="shared" si="76"/>
        <v/>
      </c>
      <c r="CS93" s="10" t="str">
        <f t="shared" si="77"/>
        <v/>
      </c>
      <c r="CT93" s="10" t="str">
        <f t="shared" si="78"/>
        <v>/</v>
      </c>
      <c r="CU93" s="10" t="str">
        <f t="shared" si="79"/>
        <v/>
      </c>
      <c r="CV93" s="10" t="str">
        <f t="shared" si="80"/>
        <v/>
      </c>
      <c r="CW93" s="10" t="str">
        <f t="shared" si="81"/>
        <v/>
      </c>
    </row>
    <row r="94" spans="1:101" ht="93.6">
      <c r="A94" s="129" t="s">
        <v>498</v>
      </c>
      <c r="B94" s="9" t="s">
        <v>26</v>
      </c>
      <c r="C94" s="9"/>
      <c r="D94" s="8" t="s">
        <v>495</v>
      </c>
      <c r="E94" s="9" t="s">
        <v>496</v>
      </c>
      <c r="F94" s="9" t="s">
        <v>53</v>
      </c>
      <c r="G94" s="9" t="s">
        <v>63</v>
      </c>
      <c r="H94" s="10" t="s">
        <v>5</v>
      </c>
      <c r="I94" s="10" t="s">
        <v>6</v>
      </c>
      <c r="J94" s="10" t="s">
        <v>29</v>
      </c>
      <c r="K94" s="10" t="s">
        <v>29</v>
      </c>
      <c r="L94" s="10" t="s">
        <v>29</v>
      </c>
      <c r="M94" s="10" t="s">
        <v>29</v>
      </c>
      <c r="N94" s="10" t="s">
        <v>47</v>
      </c>
      <c r="O94" s="9"/>
      <c r="P94" s="9" t="s">
        <v>497</v>
      </c>
      <c r="Q94" s="9" t="s">
        <v>1052</v>
      </c>
      <c r="R94" s="9"/>
      <c r="S94" s="9"/>
      <c r="T94" s="9" t="s">
        <v>56</v>
      </c>
      <c r="U94"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94" s="9" t="s">
        <v>29</v>
      </c>
      <c r="W94" s="9" t="s">
        <v>31</v>
      </c>
      <c r="X94" s="10">
        <v>80</v>
      </c>
      <c r="Y94" s="19" t="s">
        <v>32</v>
      </c>
      <c r="Z94" s="19">
        <v>80</v>
      </c>
      <c r="AA94" s="10">
        <v>2</v>
      </c>
      <c r="AB94" s="10">
        <v>40</v>
      </c>
      <c r="AC94" s="12">
        <v>3582810311622</v>
      </c>
      <c r="AD94" s="10" t="s">
        <v>125</v>
      </c>
      <c r="AE94" s="10" t="s">
        <v>1053</v>
      </c>
      <c r="AF94" s="10" t="s">
        <v>1053</v>
      </c>
      <c r="AG94" s="10" t="s">
        <v>1054</v>
      </c>
      <c r="AH94" s="13" t="s">
        <v>64</v>
      </c>
      <c r="AI94" s="54" t="s">
        <v>776</v>
      </c>
      <c r="AJ94" s="54" t="s">
        <v>776</v>
      </c>
      <c r="AK94" s="55">
        <v>45722</v>
      </c>
      <c r="AL94" s="10"/>
      <c r="AM94" s="10">
        <v>25051</v>
      </c>
      <c r="AN94" s="10"/>
      <c r="AO94" s="10"/>
      <c r="AP94" s="10"/>
      <c r="AQ94" s="51" t="s">
        <v>495</v>
      </c>
      <c r="AR94" s="51"/>
      <c r="AS94" s="82" t="s">
        <v>1563</v>
      </c>
      <c r="AT94" s="9" t="s">
        <v>1400</v>
      </c>
      <c r="AU94" s="140" t="s">
        <v>1536</v>
      </c>
      <c r="AV94" s="82" t="s">
        <v>145</v>
      </c>
      <c r="AW94" s="52"/>
      <c r="AX94" s="51"/>
      <c r="AY94" s="51"/>
      <c r="AZ94" s="51"/>
      <c r="BA94" s="51"/>
      <c r="BB94" s="51"/>
      <c r="BC94" s="51"/>
      <c r="BD94" s="51"/>
      <c r="BE94" s="51"/>
      <c r="BF94" s="92"/>
      <c r="BG94" s="92"/>
      <c r="BH94" s="92"/>
      <c r="BI94" s="92"/>
      <c r="BJ94" s="92"/>
      <c r="BK94" s="92"/>
      <c r="BL94" s="92"/>
      <c r="BN94" s="7" t="str">
        <f>IF(IFERROR(FIND("romatis",TableauJDG[[#This Row],[TYPE DE THÉ FR]]),0)=0,"","aromatisé")</f>
        <v/>
      </c>
      <c r="BV94" s="10" t="str">
        <f t="shared" si="82"/>
        <v>Ce thé vert fin de montagne est un classique des thés chinois réputé pour ses beaux bourgeons dont l’aspect duveteux évoque le « duvet d’un oiseau ». On l’apprécie pour ses saveurs fraîches, végétales et minérales accompagnées d’agréables notes flora</v>
      </c>
      <c r="BW94" s="10" t="str">
        <f t="shared" si="83"/>
        <v>les et sucrées.</v>
      </c>
      <c r="BX94" s="10" t="str">
        <f t="shared" si="56"/>
        <v/>
      </c>
      <c r="BY94" s="10" t="str">
        <f t="shared" si="57"/>
        <v/>
      </c>
      <c r="BZ94" s="10" t="str">
        <f t="shared" si="58"/>
        <v>Ingrédient : thé vert*. *Issu de l'agriculture biologique.</v>
      </c>
      <c r="CA94" s="10" t="str">
        <f t="shared" si="59"/>
        <v/>
      </c>
      <c r="CB94" s="10" t="str">
        <f t="shared" si="60"/>
        <v/>
      </c>
      <c r="CC94" s="10" t="str">
        <f t="shared" si="61"/>
        <v/>
      </c>
      <c r="CD94" s="10" t="str">
        <f t="shared" si="62"/>
        <v>/</v>
      </c>
      <c r="CE94" s="10" t="str">
        <f t="shared" si="63"/>
        <v/>
      </c>
      <c r="CF94" s="10" t="str">
        <f t="shared" si="64"/>
        <v/>
      </c>
      <c r="CG94" s="10" t="str">
        <f t="shared" si="65"/>
        <v/>
      </c>
      <c r="CH94" s="10" t="str">
        <f t="shared" si="66"/>
        <v>Membre certifié World Fair Trade Organization, Les Jardins de Gaïa s’engagent pour un commerce plus juste et répondent aux exigences du commerce équitable. Pour en savoir plus : www.wfto.com.</v>
      </c>
      <c r="CI94" s="10" t="str">
        <f t="shared" si="67"/>
        <v/>
      </c>
      <c r="CJ94" s="10" t="str">
        <f t="shared" si="68"/>
        <v/>
      </c>
      <c r="CK94" s="10" t="str">
        <f t="shared" si="69"/>
        <v/>
      </c>
      <c r="CL94" s="10" t="str">
        <f t="shared" si="70"/>
        <v>This fine mountain green tea is a classic among Chinese teas, renowned for its beautiful downy buds reminiscent of a bird's down. It is appreciated for its fresh, vegetal and mineral flavours, accompanied by pleasant floral and sweet notes.</v>
      </c>
      <c r="CM94" s="10" t="str">
        <f t="shared" si="71"/>
        <v/>
      </c>
      <c r="CN94" s="10" t="str">
        <f t="shared" si="72"/>
        <v/>
      </c>
      <c r="CO94" s="10" t="str">
        <f t="shared" si="73"/>
        <v/>
      </c>
      <c r="CP94" s="10" t="str">
        <f t="shared" si="74"/>
        <v>Ingredient: green tea*. *From organic farming.</v>
      </c>
      <c r="CQ94" s="10" t="str">
        <f t="shared" si="75"/>
        <v/>
      </c>
      <c r="CR94" s="10" t="str">
        <f t="shared" si="76"/>
        <v/>
      </c>
      <c r="CS94" s="10" t="str">
        <f t="shared" si="77"/>
        <v/>
      </c>
      <c r="CT94" s="10" t="str">
        <f t="shared" si="78"/>
        <v/>
      </c>
      <c r="CU94" s="10" t="str">
        <f t="shared" si="79"/>
        <v/>
      </c>
      <c r="CV94" s="10" t="str">
        <f t="shared" si="80"/>
        <v/>
      </c>
      <c r="CW94" s="10" t="str">
        <f t="shared" si="81"/>
        <v/>
      </c>
    </row>
    <row r="95" spans="1:101" ht="93.6">
      <c r="A95" s="129" t="s">
        <v>502</v>
      </c>
      <c r="B95" s="9" t="s">
        <v>26</v>
      </c>
      <c r="C95" s="9"/>
      <c r="D95" s="8" t="s">
        <v>499</v>
      </c>
      <c r="E95" s="9" t="s">
        <v>500</v>
      </c>
      <c r="F95" s="9" t="s">
        <v>53</v>
      </c>
      <c r="G95" s="9" t="s">
        <v>215</v>
      </c>
      <c r="H95" s="10" t="s">
        <v>5</v>
      </c>
      <c r="I95" s="10" t="s">
        <v>6</v>
      </c>
      <c r="J95" s="10" t="s">
        <v>29</v>
      </c>
      <c r="K95" s="10" t="s">
        <v>29</v>
      </c>
      <c r="L95" s="10" t="s">
        <v>29</v>
      </c>
      <c r="M95" s="10" t="s">
        <v>29</v>
      </c>
      <c r="N95" s="10" t="s">
        <v>47</v>
      </c>
      <c r="O95" s="9"/>
      <c r="P95" s="9" t="s">
        <v>501</v>
      </c>
      <c r="Q95" s="9" t="s">
        <v>1055</v>
      </c>
      <c r="R95" s="9"/>
      <c r="S95" s="9"/>
      <c r="T95" s="9" t="s">
        <v>56</v>
      </c>
      <c r="U95"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Noisette</v>
      </c>
      <c r="V95" s="9" t="s">
        <v>29</v>
      </c>
      <c r="W95" s="9" t="s">
        <v>31</v>
      </c>
      <c r="X95" s="10">
        <v>80</v>
      </c>
      <c r="Y95" s="19" t="s">
        <v>59</v>
      </c>
      <c r="Z95" s="19">
        <v>75</v>
      </c>
      <c r="AA95" s="10">
        <v>2</v>
      </c>
      <c r="AB95" s="10">
        <v>40</v>
      </c>
      <c r="AC95" s="12">
        <v>3582810311721</v>
      </c>
      <c r="AD95" s="10" t="s">
        <v>29</v>
      </c>
      <c r="AE95" s="10" t="s">
        <v>1057</v>
      </c>
      <c r="AF95" s="10" t="s">
        <v>1057</v>
      </c>
      <c r="AG95" s="10" t="s">
        <v>1058</v>
      </c>
      <c r="AH95" s="10" t="s">
        <v>1056</v>
      </c>
      <c r="AI95" s="54" t="s">
        <v>776</v>
      </c>
      <c r="AJ95" s="54" t="s">
        <v>776</v>
      </c>
      <c r="AK95" s="55">
        <v>45740</v>
      </c>
      <c r="AL95" s="10"/>
      <c r="AM95" s="10">
        <v>25066</v>
      </c>
      <c r="AN95" s="10"/>
      <c r="AO95" s="10"/>
      <c r="AP95" s="10"/>
      <c r="AQ95" s="51" t="s">
        <v>499</v>
      </c>
      <c r="AR95" s="51"/>
      <c r="AS95" s="82" t="s">
        <v>1563</v>
      </c>
      <c r="AT95" s="9" t="s">
        <v>1481</v>
      </c>
      <c r="AU95" s="139" t="s">
        <v>1537</v>
      </c>
      <c r="AV95" s="82" t="s">
        <v>145</v>
      </c>
      <c r="AW95" s="52"/>
      <c r="AX95" s="51"/>
      <c r="AY95" s="51"/>
      <c r="AZ95" s="51"/>
      <c r="BA95" s="51"/>
      <c r="BB95" s="51"/>
      <c r="BC95" s="51"/>
      <c r="BD95" s="51"/>
      <c r="BE95" s="51"/>
      <c r="BF95" s="92"/>
      <c r="BG95" s="92"/>
      <c r="BH95" s="92"/>
      <c r="BI95" s="92"/>
      <c r="BJ95" s="92"/>
      <c r="BK95" s="92"/>
      <c r="BL95" s="92"/>
      <c r="BN95" s="7" t="str">
        <f>IF(IFERROR(FIND("romatis",TableauJDG[[#This Row],[TYPE DE THÉ FR]]),0)=0,"","aromatisé")</f>
        <v/>
      </c>
      <c r="BV95" s="10" t="str">
        <f t="shared" si="82"/>
        <v>Composé de petites feuilles torsadées et de bourgeons argentés à l’apparence de pointes duveteuses, ce célèbre thé vert chinois offre une tasse particulièrement séduisante. On apprécie son bouquet frais et printanier et sa liqueur aux saveurs végétal</v>
      </c>
      <c r="BW95" s="10" t="str">
        <f t="shared" si="83"/>
        <v>es, sucrées et fruitées tout en délicatesse.</v>
      </c>
      <c r="BX95" s="10" t="str">
        <f t="shared" si="56"/>
        <v/>
      </c>
      <c r="BY95" s="10" t="str">
        <f t="shared" si="57"/>
        <v/>
      </c>
      <c r="BZ95" s="10" t="str">
        <f t="shared" si="58"/>
        <v>Ingrédient : thé vert*. *Issu de l'agriculture biologique.</v>
      </c>
      <c r="CA95" s="10" t="str">
        <f t="shared" si="59"/>
        <v/>
      </c>
      <c r="CB95" s="10" t="str">
        <f t="shared" si="60"/>
        <v/>
      </c>
      <c r="CC95" s="10" t="str">
        <f t="shared" si="61"/>
        <v/>
      </c>
      <c r="CD95" s="10" t="str">
        <f t="shared" si="62"/>
        <v>/</v>
      </c>
      <c r="CE95" s="10" t="str">
        <f t="shared" si="63"/>
        <v/>
      </c>
      <c r="CF95" s="10" t="str">
        <f t="shared" si="64"/>
        <v/>
      </c>
      <c r="CG95" s="10" t="str">
        <f t="shared" si="65"/>
        <v/>
      </c>
      <c r="CH95" s="10" t="str">
        <f t="shared" si="66"/>
        <v>Membre certifié World Fair Trade Organization, Les Jardins de Gaïa s’engagent pour un commerce plus juste et répondent aux exigences du commerce équitable. Pour en savoir plus : www.wfto.com.</v>
      </c>
      <c r="CI95" s="10" t="str">
        <f t="shared" si="67"/>
        <v/>
      </c>
      <c r="CJ95" s="10" t="str">
        <f t="shared" si="68"/>
        <v/>
      </c>
      <c r="CK95" s="10" t="str">
        <f t="shared" si="69"/>
        <v/>
      </c>
      <c r="CL95" s="10" t="str">
        <f t="shared" si="70"/>
        <v>Composed of small, twisted leaves and silver buds with the appearance of downy tips, this famous Chinese green tea offers a particularly seductive cup. Its fresh, spring-like bouquet and delicate, fruity, sweet, herbal flavours make it a delight to d</v>
      </c>
      <c r="CM95" s="10" t="str">
        <f t="shared" si="71"/>
        <v>rink.</v>
      </c>
      <c r="CN95" s="10" t="str">
        <f t="shared" si="72"/>
        <v/>
      </c>
      <c r="CO95" s="10" t="str">
        <f t="shared" si="73"/>
        <v/>
      </c>
      <c r="CP95" s="10" t="str">
        <f t="shared" si="74"/>
        <v>Ingredient: green tea*. *From organic farming.</v>
      </c>
      <c r="CQ95" s="10" t="str">
        <f t="shared" si="75"/>
        <v/>
      </c>
      <c r="CR95" s="10" t="str">
        <f t="shared" si="76"/>
        <v/>
      </c>
      <c r="CS95" s="10" t="str">
        <f t="shared" si="77"/>
        <v/>
      </c>
      <c r="CT95" s="10" t="str">
        <f t="shared" si="78"/>
        <v/>
      </c>
      <c r="CU95" s="10" t="str">
        <f t="shared" si="79"/>
        <v/>
      </c>
      <c r="CV95" s="10" t="str">
        <f t="shared" si="80"/>
        <v/>
      </c>
      <c r="CW95" s="10" t="str">
        <f t="shared" si="81"/>
        <v/>
      </c>
    </row>
    <row r="96" spans="1:101" ht="72">
      <c r="A96" s="129" t="s">
        <v>507</v>
      </c>
      <c r="B96" s="9" t="s">
        <v>26</v>
      </c>
      <c r="C96" s="9" t="s">
        <v>39</v>
      </c>
      <c r="D96" s="18" t="s">
        <v>503</v>
      </c>
      <c r="E96" s="9" t="s">
        <v>504</v>
      </c>
      <c r="F96" s="9" t="s">
        <v>114</v>
      </c>
      <c r="G96" s="10" t="s">
        <v>421</v>
      </c>
      <c r="H96" s="10" t="s">
        <v>5</v>
      </c>
      <c r="I96" s="10" t="s">
        <v>6</v>
      </c>
      <c r="J96" s="59" t="s">
        <v>29</v>
      </c>
      <c r="K96" s="10" t="s">
        <v>29</v>
      </c>
      <c r="L96" s="10" t="s">
        <v>29</v>
      </c>
      <c r="M96" s="10" t="s">
        <v>29</v>
      </c>
      <c r="N96" s="10" t="s">
        <v>46</v>
      </c>
      <c r="O96" s="9"/>
      <c r="P96" s="17" t="s">
        <v>505</v>
      </c>
      <c r="Q96" s="17" t="s">
        <v>1059</v>
      </c>
      <c r="R96" s="17"/>
      <c r="S96" s="17"/>
      <c r="T96" s="9" t="s">
        <v>1060</v>
      </c>
      <c r="U96"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Noisette</v>
      </c>
      <c r="V96" s="8" t="s">
        <v>29</v>
      </c>
      <c r="W96" s="9" t="s">
        <v>31</v>
      </c>
      <c r="X96" s="10">
        <v>100</v>
      </c>
      <c r="Y96" s="28" t="s">
        <v>42</v>
      </c>
      <c r="Z96" s="19">
        <v>95</v>
      </c>
      <c r="AA96" s="10">
        <v>2</v>
      </c>
      <c r="AB96" s="10">
        <v>50</v>
      </c>
      <c r="AC96" s="12">
        <v>3582811716525</v>
      </c>
      <c r="AD96" s="10" t="s">
        <v>29</v>
      </c>
      <c r="AE96" s="10" t="s">
        <v>508</v>
      </c>
      <c r="AF96" s="10" t="s">
        <v>1064</v>
      </c>
      <c r="AG96" s="10" t="s">
        <v>1065</v>
      </c>
      <c r="AH96" s="13" t="s">
        <v>38</v>
      </c>
      <c r="AI96" s="54" t="s">
        <v>776</v>
      </c>
      <c r="AJ96" s="54" t="s">
        <v>776</v>
      </c>
      <c r="AK96" s="55">
        <v>45615</v>
      </c>
      <c r="AL96" s="10"/>
      <c r="AM96" s="10">
        <v>24327</v>
      </c>
      <c r="AN96" s="10"/>
      <c r="AO96" s="50"/>
      <c r="AP96" s="50"/>
      <c r="AQ96" s="51" t="s">
        <v>506</v>
      </c>
      <c r="AR96" s="51" t="s">
        <v>1062</v>
      </c>
      <c r="AS96" s="16"/>
      <c r="AT96" s="87" t="e">
        <f>VLOOKUP(A96,TRADS,14,0)</f>
        <v>#REF!</v>
      </c>
      <c r="AU96" s="63" t="s">
        <v>1061</v>
      </c>
      <c r="AV96" s="65" t="s">
        <v>1063</v>
      </c>
      <c r="AW96" s="65"/>
      <c r="AX96" s="51"/>
      <c r="AY96" s="51"/>
      <c r="AZ96" s="51"/>
      <c r="BA96" s="51"/>
      <c r="BB96" s="51"/>
      <c r="BC96" s="51"/>
      <c r="BD96" s="51"/>
      <c r="BE96" s="51"/>
      <c r="BF96" s="92"/>
      <c r="BG96" s="92"/>
      <c r="BH96" s="92"/>
      <c r="BI96" s="92"/>
      <c r="BJ96" s="92"/>
      <c r="BK96" s="92"/>
      <c r="BL96" s="92"/>
      <c r="BN96" s="7" t="str">
        <f>IF(IFERROR(FIND("romatis",TableauJDG[[#This Row],[TYPE DE THÉ FR]]),0)=0,"","aromatisé")</f>
        <v/>
      </c>
      <c r="BV96" s="10" t="str">
        <f t="shared" si="82"/>
        <v>Inspiré par une recette ayurvédique traditionnelle, ce Masala pour Tchaï est exclusivement composé d’épices. Les saveurs chaleureuses du mélange cardamome, cannelle, gingembre et poivre éveillent les sens et nous transportent au cœur de l’Inde.  Déli</v>
      </c>
      <c r="BW96" s="10" t="str">
        <f t="shared" si="83"/>
        <v>cieux et envoûtant !</v>
      </c>
      <c r="BX96" s="10" t="str">
        <f t="shared" si="56"/>
        <v/>
      </c>
      <c r="BY96" s="10" t="str">
        <f t="shared" si="57"/>
        <v/>
      </c>
      <c r="BZ96" s="10" t="str">
        <f t="shared" si="58"/>
        <v>Ingrédients : cannelle*, gingembre*, poivre noir*, clous de girofle*, cardamome*. *Issu de l'agriculture biologique.</v>
      </c>
      <c r="CA96" s="10" t="str">
        <f t="shared" si="59"/>
        <v/>
      </c>
      <c r="CB96" s="10" t="str">
        <f t="shared" si="60"/>
        <v/>
      </c>
      <c r="CC96" s="10" t="str">
        <f t="shared" si="61"/>
        <v/>
      </c>
      <c r="CD96" s="10" t="str">
        <f t="shared" si="62"/>
        <v>/</v>
      </c>
      <c r="CE96" s="10" t="str">
        <f t="shared" si="63"/>
        <v/>
      </c>
      <c r="CF96" s="10" t="str">
        <f t="shared" si="64"/>
        <v/>
      </c>
      <c r="CG96" s="10" t="str">
        <f t="shared" si="65"/>
        <v/>
      </c>
      <c r="CH96" s="10" t="str">
        <f t="shared" si="66"/>
        <v>Membre certifié World Fair Trade Organization, Les Jardins de Gaïa s’engagent pour un commerce plus juste et répondent aux exigences du commerce équitable. Pour en savoir plus : www.wfto.com.</v>
      </c>
      <c r="CI96" s="10" t="str">
        <f t="shared" si="67"/>
        <v/>
      </c>
      <c r="CJ96" s="10" t="str">
        <f t="shared" si="68"/>
        <v/>
      </c>
      <c r="CK96" s="10" t="str">
        <f t="shared" si="69"/>
        <v/>
      </c>
      <c r="CL96" s="10" t="str">
        <f t="shared" si="70"/>
        <v>Inspired by a traditional Ayurvedic recipe, this Masala for chaï is made exclusively with spices. The warm flavours of the blend of cardamom, cinnamon, ginger and pepper awaken the senses and transport us to the heart of India.  Delicious and enchant</v>
      </c>
      <c r="CM96" s="10" t="str">
        <f t="shared" si="71"/>
        <v>ing!</v>
      </c>
      <c r="CN96" s="10" t="str">
        <f t="shared" si="72"/>
        <v/>
      </c>
      <c r="CO96" s="10" t="str">
        <f t="shared" si="73"/>
        <v/>
      </c>
      <c r="CP96" s="10" t="str">
        <f t="shared" si="74"/>
        <v>Ingredients: cinnamon*, ginger*, black pepper*, cloves*, cardamom*. *From organic farming.</v>
      </c>
      <c r="CQ96" s="10" t="str">
        <f t="shared" si="75"/>
        <v/>
      </c>
      <c r="CR96" s="10" t="str">
        <f t="shared" si="76"/>
        <v/>
      </c>
      <c r="CS96" s="10" t="str">
        <f t="shared" si="77"/>
        <v/>
      </c>
      <c r="CT96" s="10" t="str">
        <f t="shared" si="78"/>
        <v/>
      </c>
      <c r="CU96" s="10" t="str">
        <f t="shared" si="79"/>
        <v/>
      </c>
      <c r="CV96" s="10" t="str">
        <f t="shared" si="80"/>
        <v/>
      </c>
      <c r="CW96" s="10" t="str">
        <f t="shared" si="81"/>
        <v/>
      </c>
    </row>
    <row r="97" spans="1:101" ht="115.2">
      <c r="A97" s="129" t="s">
        <v>510</v>
      </c>
      <c r="B97" s="9" t="s">
        <v>26</v>
      </c>
      <c r="C97" s="9" t="s">
        <v>39</v>
      </c>
      <c r="D97" s="31" t="s">
        <v>503</v>
      </c>
      <c r="E97" s="9" t="s">
        <v>509</v>
      </c>
      <c r="F97" s="9" t="s">
        <v>114</v>
      </c>
      <c r="G97" s="10" t="s">
        <v>421</v>
      </c>
      <c r="H97" s="10" t="s">
        <v>5</v>
      </c>
      <c r="I97" s="10" t="s">
        <v>6</v>
      </c>
      <c r="J97" s="59" t="s">
        <v>29</v>
      </c>
      <c r="K97" s="10" t="s">
        <v>29</v>
      </c>
      <c r="L97" s="10" t="s">
        <v>29</v>
      </c>
      <c r="M97" s="10" t="s">
        <v>29</v>
      </c>
      <c r="N97" s="10" t="s">
        <v>46</v>
      </c>
      <c r="O97" s="9"/>
      <c r="P97" s="17" t="s">
        <v>505</v>
      </c>
      <c r="Q97" s="26" t="s">
        <v>1066</v>
      </c>
      <c r="R97" s="134"/>
      <c r="S97" s="17"/>
      <c r="T97" s="24" t="s">
        <v>1723</v>
      </c>
      <c r="U97" s="24"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97" s="8" t="s">
        <v>29</v>
      </c>
      <c r="W97" s="9" t="s">
        <v>31</v>
      </c>
      <c r="X97" s="10">
        <v>100</v>
      </c>
      <c r="Y97" s="28" t="s">
        <v>42</v>
      </c>
      <c r="Z97" s="19">
        <v>95</v>
      </c>
      <c r="AA97" s="10">
        <v>2</v>
      </c>
      <c r="AB97" s="10">
        <v>50</v>
      </c>
      <c r="AC97" s="12">
        <v>3582811716624</v>
      </c>
      <c r="AD97" s="10" t="s">
        <v>29</v>
      </c>
      <c r="AE97" s="10" t="s">
        <v>511</v>
      </c>
      <c r="AF97" s="10" t="s">
        <v>1068</v>
      </c>
      <c r="AG97" s="10" t="s">
        <v>1069</v>
      </c>
      <c r="AH97" s="13" t="s">
        <v>38</v>
      </c>
      <c r="AI97" s="10"/>
      <c r="AJ97" s="54" t="s">
        <v>776</v>
      </c>
      <c r="AK97" s="55">
        <v>45615</v>
      </c>
      <c r="AL97" s="10"/>
      <c r="AM97" s="10">
        <v>24318</v>
      </c>
      <c r="AN97" s="10"/>
      <c r="AO97" s="50" t="s">
        <v>774</v>
      </c>
      <c r="AP97" s="50" t="s">
        <v>1593</v>
      </c>
      <c r="AQ97" s="51" t="s">
        <v>506</v>
      </c>
      <c r="AR97" s="51" t="s">
        <v>1067</v>
      </c>
      <c r="AS97" s="87" t="s">
        <v>1564</v>
      </c>
      <c r="AT97" s="87" t="e">
        <f>VLOOKUP(A97,TRADS,14,0)</f>
        <v>#REF!</v>
      </c>
      <c r="AU97" s="34" t="s">
        <v>1061</v>
      </c>
      <c r="AV97" s="65" t="s">
        <v>1063</v>
      </c>
      <c r="AW97" s="65"/>
      <c r="AX97" s="51"/>
      <c r="AY97" s="51" t="s">
        <v>1267</v>
      </c>
      <c r="AZ97" s="51" t="s">
        <v>1268</v>
      </c>
      <c r="BA97" s="51">
        <v>0</v>
      </c>
      <c r="BB97" s="51" t="s">
        <v>1642</v>
      </c>
      <c r="BC97" s="51" t="s">
        <v>1572</v>
      </c>
      <c r="BD97" s="51" t="s">
        <v>1287</v>
      </c>
      <c r="BE97" s="51"/>
      <c r="BF97" s="92"/>
      <c r="BG97" s="92"/>
      <c r="BH97" s="92"/>
      <c r="BI97" s="92"/>
      <c r="BJ97" s="92"/>
      <c r="BK97" s="92"/>
      <c r="BL97" s="92"/>
      <c r="BN97" s="7" t="str">
        <f>IF(IFERROR(FIND("romatis",TableauJDG[[#This Row],[TYPE DE THÉ FR]]),0)=0,"","aromatisé")</f>
        <v/>
      </c>
      <c r="BV97" s="10" t="str">
        <f t="shared" si="82"/>
        <v>Ce Masala pour Tchaï, inspiré par une recette ayurvédique traditionnelle, est exclusivement composé d’épices. Les saveurs chaleureuses du mélange cardamome, cannelle, gingembre et poivre éveillent les sens et nous transportent au cœur de l’Inde.  Dél</v>
      </c>
      <c r="BW97" s="10" t="str">
        <f t="shared" si="83"/>
        <v>icieux et envoûtant !</v>
      </c>
      <c r="BX97" s="10" t="str">
        <f t="shared" ref="BX97:BX128" si="84">IF(MID($Q97,251,1)=" ",IF(MID($Q97,500,1)=" ",IF(MID($Q97,749,1)=" ",MID($Q97,499,249),IF(MID($Q97,748,1)=" ",MID($Q97,499,248),MID($Q97,499,250))),IF(MID($Q97,499,1)=" ",IF(MID($Q97,748,1)=" ",MID($Q97,498,249),IF(MID($Q97,747,1)=" ",MID($Q97,498,248),MID($Q97,498,250))),IF(MID($Q97,750,1)=" ",MID($Q97,500,249),IF(MID($Q97,749,1)=" ",MID($Q97,500,248),MID($Q97,500,250))))),IF(MID($Q97,250,1)=" ",IF(MID($Q97,499,1)=" ",IF(MID($Q97,746,1)=" ",MID($Q97,498,247),IF(MID($Q97,745,1)=" ",MID($Q97,498,246),MID($Q97,498,248))),IF(MID($Q97,498,1)=" ",IF(MID($Q97,745,1)=" ",MID($Q97,497,247),IF(MID($Q97,744,1)=" ",MID($Q97,497,246),MID($Q97,497,248))),IF(MID($Q97,749,1)=" ",MID($Q97,499,249),IF(MID($Q97,748,1)=" ",MID($Q97,499,248),MID($Q97,499,250))))),IF(MID($Q97,501,1)=" ",IF(MID($Q97,750,1)=" ",MID($Q97,500,249),IF(MID($Q97,749,1)=" ",MID($Q97,500,248),MID($Q97,500,250))),IF(MID($Q97,500,1)=" ",IF(MID($Q97,749,1)=" ",MID($Q97,499,249),IF(MID($Q97,750,1)=" ",MID($Q97,499,249),MID($Q97,499,250))),IF(MID($Q97,751,1)=" ",MID($Q97,501,249),IF(MID($Q97,750,1)=" ",MID($Q97,501,248),MID($Q97,501,250)))))))</f>
        <v/>
      </c>
      <c r="BY97" s="10" t="str">
        <f t="shared" ref="BY97:BY128" si="85">IF(MID($Q97,251,1)=" ",IF(MID($Q97,500,1)=" ",IF(MID($Q97,749,1)=" ",MID($Q97,748,250),IF(MID($Q97,748,1)=" ",MID($Q97,747,250),MID($Q97,749,250))),IF(MID($Q97,499,1)=" ",IF(MID($Q97,748,1)=" ",MID($Q97,747,250),IF(MID($Q97,747,1)=" ",MID($Q97,746,250),MID($Q97,748,250))),IF(MID($Q97,750,1)=" ",MID($Q97,749,250),IF(MID($Q97,749,1)=" ",MID($Q97,748,250),MID($Q97,750,250))))),IF(MID($Q97,250,1)=" ",IF(MID($Q97,499,1)=" ",IF(MID($Q97,746,1)=" ",MID($Q97,745,250),IF(MID($Q97,745,1)=" ",MID($Q97,744,250),MID($Q97,746,250))),IF(MID($Q97,498,1)=" ",IF(MID($Q97,745,1)=" ",MID($Q97,744,250),IF(MID($Q97,744,1)=" ",MID($Q97,743,250),MID($Q97,745,250))),IF(MID($Q97,749,1)=" ",MID($Q97,748,250),IF(MID($Q97,748,1)=" ",MID($Q97,747,250),MID($Q97,749,250))))),IF(MID($Q97,501,1)=" ",IF(MID($Q97,750,1)=" ",MID($Q97,749,250),IF(MID($Q97,749,1)=" ",MID($Q97,748,250),MID($Q97,750,250))),IF(MID($Q97,500,1)=" ",IF(MID($Q97,749,1)=" ",MID($Q97,748,250),IF(MID($Q97,750,1)=" ",MID($Q97,749,250),MID($Q97,750,250))),IF(MID($Q97,751,1)=" ",MID($Q97,750,250),IF(MID($Q97,750,1)=" ",MID($Q97,749,250),MID($Q97,751,250)))))))</f>
        <v/>
      </c>
      <c r="BZ97" s="10" t="str">
        <f t="shared" ref="BZ97:BZ128" si="86">IF(MID($T97,251,1)=" ",MID($T97,1,249),IF(MID($T97,250,1)=" ",MID($T97,1,248),MID($T97,1,250)))</f>
        <v>Ingrédients : cannelle*, gingembre*, poivre noir*, clous de girofle*, cardamome*. *Issu de l'agriculture biologique.</v>
      </c>
      <c r="CA97" s="10" t="str">
        <f t="shared" ref="CA97:CA128" si="87">IF(MID($T97,251,1)=" ",IF(MID($T97,500,1)=" ",MID($T97,250,249),IF(MID($T97,499,1)=" ",MID($T97,250,248),MID($T97,250,250))),IF(MID($T97,250,1)=" ",IF(MID($T97,499,1)=" ",MID($T97,249,249),IF(MID($T97,498,1)=" ",MID($T97,249,248),MID($T97,249,250))),IF(MID($T97,501,1)=" ",MID($T97,251,249),IF(MID($T97,500,1)=" ",MID($T97,251,248),MID($T97,251,250)))))</f>
        <v/>
      </c>
      <c r="CB97" s="10" t="str">
        <f t="shared" ref="CB97:CB128" si="88">IF(MID($T97,251,1)=" ",IF(MID($T97,500,1)=" ",IF(MID($T97,749,1)=" ",MID($T97,499,249),IF(MID($T97,748,1)=" ",MID($T97,499,248),MID($T97,499,250))),IF(MID($T97,499,1)=" ",IF(MID($T97,748,1)=" ",MID($T97,498,249),IF(MID($T97,747,1)=" ",MID($T97,498,248),MID($T97,498,250))),IF(MID($T97,750,1)=" ",MID($T97,500,249),IF(MID($T97,749,1)=" ",MID($T97,500,248),MID($T97,500,250))))),IF(MID($T97,250,1)=" ",IF(MID($T97,499,1)=" ",IF(MID($T97,746,1)=" ",MID($T97,498,247),IF(MID($T97,745,1)=" ",MID($T97,498,246),MID($T97,498,248))),IF(MID($T97,498,1)=" ",IF(MID($T97,745,1)=" ",MID($T97,497,247),IF(MID($T97,744,1)=" ",MID($T97,497,246),MID($T97,497,248))),IF(MID($T97,749,1)=" ",MID($T97,499,249),IF(MID($T97,748,1)=" ",MID($T97,499,248),MID($T97,499,250))))),IF(MID($T97,501,1)=" ",IF(MID($T97,750,1)=" ",MID($T97,500,249),IF(MID($T97,749,1)=" ",MID($T97,500,248),MID($T97,500,250))),IF(MID($T97,500,1)=" ",IF(MID($T97,749,1)=" ",MID($T97,499,249),IF(MID($T97,750,1)=" ",MID($T97,499,249),MID($T97,499,250))),IF(MID($T97,751,1)=" ",MID($T97,501,249),IF(MID($T97,750,1)=" ",MID($T97,501,248),MID($T97,501,250)))))))</f>
        <v/>
      </c>
      <c r="CC97" s="10" t="str">
        <f t="shared" ref="CC97:CC128" si="89">IF(MID($T97,251,1)=" ",IF(MID($T97,500,1)=" ",IF(MID($T97,749,1)=" ",MID($T97,748,250),IF(MID($T97,748,1)=" ",MID($T97,747,250),MID($T97,749,250))),IF(MID($T97,499,1)=" ",IF(MID($T97,748,1)=" ",MID($T97,747,250),IF(MID($T97,747,1)=" ",MID($T97,746,250),MID($T97,748,250))),IF(MID($T97,750,1)=" ",MID($T97,749,250),IF(MID($T97,749,1)=" ",MID($T97,748,250),MID($T97,750,250))))),IF(MID($T97,250,1)=" ",IF(MID($T97,499,1)=" ",IF(MID($T97,746,1)=" ",MID($T97,745,250),IF(MID($T97,745,1)=" ",MID($T97,744,250),MID($T97,746,250))),IF(MID($T97,498,1)=" ",IF(MID($T97,745,1)=" ",MID($T97,744,250),IF(MID($T97,744,1)=" ",MID($T97,743,250),MID($T97,745,250))),IF(MID($T97,749,1)=" ",MID($T97,748,250),IF(MID($T97,748,1)=" ",MID($T97,747,250),MID($T97,749,250))))),IF(MID($T97,501,1)=" ",IF(MID($T97,750,1)=" ",MID($T97,749,250),IF(MID($T97,749,1)=" ",MID($T97,748,250),MID($T97,750,250))),IF(MID($T97,500,1)=" ",IF(MID($T97,749,1)=" ",MID($T97,748,250),IF(MID($T97,750,1)=" ",MID($T97,749,250),MID($T97,750,250))),IF(MID($T97,751,1)=" ",MID($T97,750,250),IF(MID($T97,750,1)=" ",MID($T97,749,250),MID($T97,751,250)))))))</f>
        <v/>
      </c>
      <c r="CD97" s="10" t="str">
        <f t="shared" ref="CD97:CD128" si="90">IF(MID($V97,251,1)=" ",MID($V97,1,249),IF(MID($V97,250,1)=" ",MID($V97,1,248),MID($V97,1,250)))</f>
        <v>/</v>
      </c>
      <c r="CE97" s="10" t="str">
        <f t="shared" ref="CE97:CE128" si="91">IF(MID($V97,251,1)=" ",IF(MID($V97,500,1)=" ",MID($V97,250,249),IF(MID($V97,499,1)=" ",MID($V97,250,248),MID($V97,250,250))),IF(MID($V97,250,1)=" ",IF(MID($V97,499,1)=" ",MID($V97,249,249),IF(MID($V97,498,1)=" ",MID($V97,249,248),MID($V97,249,250))),IF(MID($V97,501,1)=" ",MID($V97,251,249),IF(MID($V97,500,1)=" ",MID($V97,251,248),MID($V97,251,250)))))</f>
        <v/>
      </c>
      <c r="CF97" s="10" t="str">
        <f t="shared" ref="CF97:CF128" si="92">IF(MID($V97,251,1)=" ",IF(MID($V97,500,1)=" ",IF(MID($V97,749,1)=" ",MID($V97,499,249),IF(MID($V97,748,1)=" ",MID($V97,499,248),MID($V97,499,250))),IF(MID($V97,499,1)=" ",IF(MID($V97,748,1)=" ",MID($V97,498,249),IF(MID($V97,747,1)=" ",MID($V97,498,248),MID($V97,498,250))),IF(MID($V97,750,1)=" ",MID($V97,500,249),IF(MID($V97,749,1)=" ",MID($V97,500,248),MID($V97,500,250))))),IF(MID($V97,250,1)=" ",IF(MID($V97,499,1)=" ",IF(MID($V97,746,1)=" ",MID($V97,498,247),IF(MID($V97,745,1)=" ",MID($V97,498,246),MID($V97,498,248))),IF(MID($V97,498,1)=" ",IF(MID($V97,745,1)=" ",MID($V97,497,247),IF(MID($V97,744,1)=" ",MID($V97,497,246),MID($V97,497,248))),IF(MID($V97,749,1)=" ",MID($V97,499,249),IF(MID($V97,748,1)=" ",MID($V97,499,248),MID($V97,499,250))))),IF(MID($V97,501,1)=" ",IF(MID($V97,750,1)=" ",MID($V97,500,249),IF(MID($V97,749,1)=" ",MID($V97,500,248),MID($V97,500,250))),IF(MID($V97,500,1)=" ",IF(MID($V97,749,1)=" ",MID($V97,499,249),IF(MID($V97,750,1)=" ",MID($V97,499,249),MID($V97,499,250))),IF(MID($V97,751,1)=" ",MID($V97,501,249),IF(MID($V97,750,1)=" ",MID($V97,501,248),MID($V97,501,250)))))))</f>
        <v/>
      </c>
      <c r="CG97" s="10" t="str">
        <f t="shared" ref="CG97:CG128" si="93">IF(MID($V97,251,1)=" ",IF(MID($V97,500,1)=" ",IF(MID($V97,749,1)=" ",MID($V97,748,250),IF(MID($V97,748,1)=" ",MID($V97,747,250),MID($V97,749,250))),IF(MID($V97,499,1)=" ",IF(MID($V97,748,1)=" ",MID($V97,747,250),IF(MID($V97,747,1)=" ",MID($V97,746,250),MID($V97,748,250))),IF(MID($V97,750,1)=" ",MID($V97,749,250),IF(MID($V97,749,1)=" ",MID($V97,748,250),MID($V97,750,250))))),IF(MID($V97,250,1)=" ",IF(MID($V97,499,1)=" ",IF(MID($V97,746,1)=" ",MID($V97,745,250),IF(MID($V97,745,1)=" ",MID($V97,744,250),MID($V97,746,250))),IF(MID($V97,498,1)=" ",IF(MID($V97,745,1)=" ",MID($V97,744,250),IF(MID($V97,744,1)=" ",MID($V97,743,250),MID($V97,745,250))),IF(MID($V97,749,1)=" ",MID($V97,748,250),IF(MID($V97,748,1)=" ",MID($V97,747,250),MID($V97,749,250))))),IF(MID($V97,501,1)=" ",IF(MID($V97,750,1)=" ",MID($V97,749,250),IF(MID($V97,749,1)=" ",MID($V97,748,250),MID($V97,750,250))),IF(MID($V97,500,1)=" ",IF(MID($V97,749,1)=" ",MID($V97,748,250),IF(MID($V97,750,1)=" ",MID($V97,749,250),MID($V97,750,250))),IF(MID($V97,751,1)=" ",MID($V97,750,250),IF(MID($V97,750,1)=" ",MID($V97,749,250),MID($V97,751,250)))))))</f>
        <v/>
      </c>
      <c r="CH97" s="10" t="str">
        <f t="shared" ref="CH97:CH128" si="94">IF(MID($W97,251,1)=" ",MID($W97,1,249),IF(MID($W97,250,1)=" ",MID($W97,1,248),MID($W97,1,250)))</f>
        <v>Membre certifié World Fair Trade Organization, Les Jardins de Gaïa s’engagent pour un commerce plus juste et répondent aux exigences du commerce équitable. Pour en savoir plus : www.wfto.com.</v>
      </c>
      <c r="CI97" s="10" t="str">
        <f t="shared" ref="CI97:CI128" si="95">IF(MID($W97,251,1)=" ",IF(MID($W97,500,1)=" ",MID($W97,250,249),IF(MID($W97,499,1)=" ",MID($W97,250,248),MID($W97,250,250))),IF(MID($W97,250,1)=" ",IF(MID($W97,499,1)=" ",MID($W97,249,249),IF(MID($W97,498,1)=" ",MID($W97,249,248),MID($W97,249,250))),IF(MID($W97,501,1)=" ",MID($W97,251,249),IF(MID($W97,500,1)=" ",MID($W97,251,248),MID($W97,251,250)))))</f>
        <v/>
      </c>
      <c r="CJ97" s="10" t="str">
        <f t="shared" ref="CJ97:CJ128" si="96">IF(MID($W97,251,1)=" ",IF(MID($W97,500,1)=" ",IF(MID($W97,749,1)=" ",MID($W97,499,249),IF(MID($W97,748,1)=" ",MID($W97,499,248),MID($W97,499,250))),IF(MID($W97,499,1)=" ",IF(MID($W97,748,1)=" ",MID($W97,498,249),IF(MID($W97,747,1)=" ",MID($W97,498,248),MID($W97,498,250))),IF(MID($W97,750,1)=" ",MID($W97,500,249),IF(MID($W97,749,1)=" ",MID($W97,500,248),MID($W97,500,250))))),IF(MID($W97,250,1)=" ",IF(MID($W97,499,1)=" ",IF(MID($W97,746,1)=" ",MID($W97,498,247),IF(MID($W97,745,1)=" ",MID($W97,498,246),MID($W97,498,248))),IF(MID($W97,498,1)=" ",IF(MID($W97,745,1)=" ",MID($W97,497,247),IF(MID($W97,744,1)=" ",MID($W97,497,246),MID($W97,497,248))),IF(MID($W97,749,1)=" ",MID($W97,499,249),IF(MID($W97,748,1)=" ",MID($W97,499,248),MID($W97,499,250))))),IF(MID($W97,501,1)=" ",IF(MID($W97,750,1)=" ",MID($W97,500,249),IF(MID($W97,749,1)=" ",MID($W97,500,248),MID($W97,500,250))),IF(MID($W97,500,1)=" ",IF(MID($W97,749,1)=" ",MID($W97,499,249),IF(MID($W97,750,1)=" ",MID($W97,499,249),MID($W97,499,250))),IF(MID($W97,751,1)=" ",MID($W97,501,249),IF(MID($W97,750,1)=" ",MID($W97,501,248),MID($W97,501,250)))))))</f>
        <v/>
      </c>
      <c r="CK97" s="10" t="str">
        <f t="shared" ref="CK97:CK128" si="97">IF(MID($W97,251,1)=" ",IF(MID($W97,500,1)=" ",IF(MID($W97,749,1)=" ",MID($W97,748,250),IF(MID($W97,748,1)=" ",MID($W97,747,250),MID($W97,749,250))),IF(MID($W97,499,1)=" ",IF(MID($W97,748,1)=" ",MID($W97,747,250),IF(MID($W97,747,1)=" ",MID($W97,746,250),MID($W97,748,250))),IF(MID($W97,750,1)=" ",MID($W97,749,250),IF(MID($W97,749,1)=" ",MID($W97,748,250),MID($W97,750,250))))),IF(MID($W97,250,1)=" ",IF(MID($W97,499,1)=" ",IF(MID($W97,746,1)=" ",MID($W97,745,250),IF(MID($W97,745,1)=" ",MID($W97,744,250),MID($W97,746,250))),IF(MID($W97,498,1)=" ",IF(MID($W97,745,1)=" ",MID($W97,744,250),IF(MID($W97,744,1)=" ",MID($W97,743,250),MID($W97,745,250))),IF(MID($W97,749,1)=" ",MID($W97,748,250),IF(MID($W97,748,1)=" ",MID($W97,747,250),MID($W97,749,250))))),IF(MID($W97,501,1)=" ",IF(MID($W97,750,1)=" ",MID($W97,749,250),IF(MID($W97,749,1)=" ",MID($W97,748,250),MID($W97,750,250))),IF(MID($W97,500,1)=" ",IF(MID($W97,749,1)=" ",MID($W97,748,250),IF(MID($W97,750,1)=" ",MID($W97,749,250),MID($W97,750,250))),IF(MID($W97,751,1)=" ",MID($W97,750,250),IF(MID($W97,750,1)=" ",MID($W97,749,250),MID($W97,751,250)))))))</f>
        <v/>
      </c>
      <c r="CL97" s="10" t="str">
        <f t="shared" ref="CL97:CL128" si="98">IF(MID($AU97,251,1)=" ",MID($AU97,1,249),IF(MID($AU97,250,1)=" ",MID($AU97,1,248),MID($AU97,1,250)))</f>
        <v>Inspired by a traditional Ayurvedic recipe, this Masala for chaï is made exclusively with spices. The warm flavours of the blend of cardamom, cinnamon, ginger and pepper awaken the senses and transport us to the heart of India.  Delicious and enchant</v>
      </c>
      <c r="CM97" s="10" t="str">
        <f t="shared" ref="CM97:CM128" si="99">IF(MID($AU97,251,1)=" ",IF(MID($AU97,500,1)=" ",MID($AU97,250,249),IF(MID($AU97,499,1)=" ",MID($AU97,250,248),MID($AU97,250,250))),IF(MID($AU97,250,1)=" ",IF(MID($AU97,499,1)=" ",MID($AU97,249,249),IF(MID($AU97,498,1)=" ",MID($AU97,249,248),MID($AU97,249,250))),IF(MID($AU97,501,1)=" ",MID($AU97,251,249),IF(MID($AU97,500,1)=" ",MID($AU97,251,248),MID($AU97,251,250)))))</f>
        <v>ing!</v>
      </c>
      <c r="CN97" s="10" t="str">
        <f t="shared" ref="CN97:CN128" si="100">IF(MID($AU97,251,1)=" ",IF(MID($AU97,500,1)=" ",IF(MID($AU97,749,1)=" ",MID($AU97,499,249),IF(MID($AU97,748,1)=" ",MID($AU97,499,248),MID($AU97,499,250))),IF(MID($AU97,499,1)=" ",IF(MID($AU97,748,1)=" ",MID($AU97,498,249),IF(MID($AU97,747,1)=" ",MID($AU97,498,248),MID($AU97,498,250))),IF(MID($AU97,750,1)=" ",MID($AU97,500,249),IF(MID($AU97,749,1)=" ",MID($AU97,500,248),MID($AU97,500,250))))),IF(MID($AU97,250,1)=" ",IF(MID($AU97,499,1)=" ",IF(MID($AU97,746,1)=" ",MID($AU97,498,247),IF(MID($AU97,745,1)=" ",MID($AU97,498,246),MID($AU97,498,248))),IF(MID($AU97,498,1)=" ",IF(MID($AU97,745,1)=" ",MID($AU97,497,247),IF(MID($AU97,744,1)=" ",MID($AU97,497,246),MID($AU97,497,248))),IF(MID($AU97,749,1)=" ",MID($AU97,499,249),IF(MID($AU97,748,1)=" ",MID($AU97,499,248),MID($AU97,499,250))))),IF(MID($AU97,501,1)=" ",IF(MID($AU97,750,1)=" ",MID($AU97,500,249),IF(MID($AU97,749,1)=" ",MID($AU97,500,248),MID($AU97,500,250))),IF(MID($AU97,500,1)=" ",IF(MID($AU97,749,1)=" ",MID($AU97,499,249),IF(MID($AU97,750,1)=" ",MID($AU97,499,249),MID($AU97,499,250))),IF(MID($AU97,751,1)=" ",MID($AU97,501,249),IF(MID($AU97,750,1)=" ",MID($AU97,501,248),MID($AU97,501,250)))))))</f>
        <v/>
      </c>
      <c r="CO97" s="10" t="str">
        <f t="shared" ref="CO97:CO128" si="101">IF(MID($AU97,251,1)=" ",IF(MID($AU97,500,1)=" ",IF(MID($AU97,749,1)=" ",MID($AU97,748,250),IF(MID($AU97,748,1)=" ",MID($AU97,747,250),MID($AU97,749,250))),IF(MID($AU97,499,1)=" ",IF(MID($AU97,748,1)=" ",MID($AU97,747,250),IF(MID($AU97,747,1)=" ",MID($AU97,746,250),MID($AU97,748,250))),IF(MID($AU97,750,1)=" ",MID($AU97,749,250),IF(MID($AU97,749,1)=" ",MID($AU97,748,250),MID($AU97,750,250))))),IF(MID($AU97,250,1)=" ",IF(MID($AU97,499,1)=" ",IF(MID($AU97,746,1)=" ",MID($AU97,745,250),IF(MID($AU97,745,1)=" ",MID($AU97,744,250),MID($AU97,746,250))),IF(MID($AU97,498,1)=" ",IF(MID($AU97,745,1)=" ",MID($AU97,744,250),IF(MID($AU97,744,1)=" ",MID($AU97,743,250),MID($AU97,745,250))),IF(MID($AU97,749,1)=" ",MID($AU97,748,250),IF(MID($AU97,748,1)=" ",MID($AU97,747,250),MID($AU97,749,250))))),IF(MID($AU97,501,1)=" ",IF(MID($AU97,750,1)=" ",MID($AU97,749,250),IF(MID($AU97,749,1)=" ",MID($AU97,748,250),MID($AU97,750,250))),IF(MID($AU97,500,1)=" ",IF(MID($AU97,749,1)=" ",MID($AU97,748,250),IF(MID($AU97,750,1)=" ",MID($AU97,749,250),MID($AU97,750,250))),IF(MID($AU97,751,1)=" ",MID($AU97,750,250),IF(MID($AU97,750,1)=" ",MID($AU97,749,250),MID($AU97,751,250)))))))</f>
        <v/>
      </c>
      <c r="CP97" s="10" t="str">
        <f t="shared" ref="CP97:CP128" si="102">IF(MID($AV97,251,1)=" ",MID($AV97,1,249),IF(MID($AV97,250,1)=" ",MID($AV97,1,248),MID($AV97,1,250)))</f>
        <v>Ingredients: cinnamon*, ginger*, black pepper*, cloves*, cardamom*. *From organic farming.</v>
      </c>
      <c r="CQ97" s="10" t="str">
        <f t="shared" ref="CQ97:CQ128" si="103">IF(MID($AV97,251,1)=" ",IF(MID($AV97,500,1)=" ",MID($AV97,250,249),IF(MID($AV97,499,1)=" ",MID($AV97,250,248),MID($AV97,250,250))),IF(MID($AV97,250,1)=" ",IF(MID($AV97,499,1)=" ",MID($AV97,249,249),IF(MID($AV97,498,1)=" ",MID($AV97,249,248),MID($AV97,249,250))),IF(MID($AV97,501,1)=" ",MID($AV97,251,249),IF(MID($AV97,500,1)=" ",MID($AV97,251,248),MID($AV97,251,250)))))</f>
        <v/>
      </c>
      <c r="CR97" s="10" t="str">
        <f t="shared" ref="CR97:CR128" si="104">IF(MID($AV97,251,1)=" ",IF(MID($AV97,500,1)=" ",IF(MID($AV97,749,1)=" ",MID($AV97,499,249),IF(MID($AV97,748,1)=" ",MID($AV97,499,248),MID($AV97,499,250))),IF(MID($AV97,499,1)=" ",IF(MID($AV97,748,1)=" ",MID($AV97,498,249),IF(MID($AV97,747,1)=" ",MID($AV97,498,248),MID($AV97,498,250))),IF(MID($AV97,750,1)=" ",MID($AV97,500,249),IF(MID($AV97,749,1)=" ",MID($AV97,500,248),MID($AV97,500,250))))),IF(MID($AV97,250,1)=" ",IF(MID($AV97,499,1)=" ",IF(MID($AV97,746,1)=" ",MID($AV97,498,247),IF(MID($AV97,745,1)=" ",MID($AV97,498,246),MID($AV97,498,248))),IF(MID($AV97,498,1)=" ",IF(MID($AV97,745,1)=" ",MID($AV97,497,247),IF(MID($AV97,744,1)=" ",MID($AV97,497,246),MID($AV97,497,248))),IF(MID($AV97,749,1)=" ",MID($AV97,499,249),IF(MID($AV97,748,1)=" ",MID($AV97,499,248),MID($AV97,499,250))))),IF(MID($AV97,501,1)=" ",IF(MID($AV97,750,1)=" ",MID($AV97,500,249),IF(MID($AV97,749,1)=" ",MID($AV97,500,248),MID($AV97,500,250))),IF(MID($AV97,500,1)=" ",IF(MID($AV97,749,1)=" ",MID($AV97,499,249),IF(MID($AV97,750,1)=" ",MID($AV97,499,249),MID($AV97,499,250))),IF(MID($AV97,751,1)=" ",MID($AV97,501,249),IF(MID($AV97,750,1)=" ",MID($AV97,501,248),MID($AV97,501,250)))))))</f>
        <v/>
      </c>
      <c r="CS97" s="10" t="str">
        <f t="shared" ref="CS97:CS128" si="105">IF(MID($AV97,251,1)=" ",IF(MID($AV97,500,1)=" ",IF(MID($AV97,749,1)=" ",MID($AV97,748,250),IF(MID($AV97,748,1)=" ",MID($AV97,747,250),MID($AV97,749,250))),IF(MID($AV97,499,1)=" ",IF(MID($AV97,748,1)=" ",MID($AV97,747,250),IF(MID($AV97,747,1)=" ",MID($AV97,746,250),MID($AV97,748,250))),IF(MID($AV97,750,1)=" ",MID($AV97,749,250),IF(MID($AV97,749,1)=" ",MID($AV97,748,250),MID($AV97,750,250))))),IF(MID($AV97,250,1)=" ",IF(MID($AV97,499,1)=" ",IF(MID($AV97,746,1)=" ",MID($AV97,745,250),IF(MID($AV97,745,1)=" ",MID($AV97,744,250),MID($AV97,746,250))),IF(MID($AV97,498,1)=" ",IF(MID($AV97,745,1)=" ",MID($AV97,744,250),IF(MID($AV97,744,1)=" ",MID($AV97,743,250),MID($AV97,745,250))),IF(MID($AV97,749,1)=" ",MID($AV97,748,250),IF(MID($AV97,748,1)=" ",MID($AV97,747,250),MID($AV97,749,250))))),IF(MID($AV97,501,1)=" ",IF(MID($AV97,750,1)=" ",MID($AV97,749,250),IF(MID($AV97,749,1)=" ",MID($AV97,748,250),MID($AV97,750,250))),IF(MID($AV97,500,1)=" ",IF(MID($AV97,749,1)=" ",MID($AV97,748,250),IF(MID($AV97,750,1)=" ",MID($AV97,749,250),MID($AV97,750,250))),IF(MID($AV97,751,1)=" ",MID($AV97,750,250),IF(MID($AV97,750,1)=" ",MID($AV97,749,250),MID($AV97,751,250)))))))</f>
        <v/>
      </c>
      <c r="CT97" s="10" t="str">
        <f t="shared" ref="CT97:CT128" si="106">IF(MID($AX97,251,1)=" ",MID($AX97,1,249),IF(MID($AX97,250,1)=" ",MID($AX97,1,248),MID($AX97,1,250)))</f>
        <v/>
      </c>
      <c r="CU97" s="10" t="str">
        <f t="shared" ref="CU97:CU128" si="107">IF(MID($AX97,251,1)=" ",IF(MID($AX97,500,1)=" ",MID($AX97,250,249),IF(MID($AX97,499,1)=" ",MID($AX97,250,248),MID($AX97,250,250))),IF(MID($AX97,250,1)=" ",IF(MID($AX97,499,1)=" ",MID($AX97,249,249),IF(MID($AX97,498,1)=" ",MID($AX97,249,248),MID($AX97,249,250))),IF(MID($AX97,501,1)=" ",MID($AX97,251,249),IF(MID($AX97,500,1)=" ",MID($AX97,251,248),MID($AX97,251,250)))))</f>
        <v/>
      </c>
      <c r="CV97" s="10" t="str">
        <f t="shared" ref="CV97:CV128" si="108">IF(MID($AX97,251,1)=" ",IF(MID($AX97,500,1)=" ",IF(MID($AX97,749,1)=" ",MID($AX97,499,249),IF(MID($AX97,748,1)=" ",MID($AX97,499,248),MID($AX97,499,250))),IF(MID($AX97,499,1)=" ",IF(MID($AX97,748,1)=" ",MID($AX97,498,249),IF(MID($AX97,747,1)=" ",MID($AX97,498,248),MID($AX97,498,250))),IF(MID($AX97,750,1)=" ",MID($AX97,500,249),IF(MID($AX97,749,1)=" ",MID($AX97,500,248),MID($AX97,500,250))))),IF(MID($AX97,250,1)=" ",IF(MID($AX97,499,1)=" ",IF(MID($AX97,746,1)=" ",MID($AX97,498,247),IF(MID($AX97,745,1)=" ",MID($AX97,498,246),MID($AX97,498,248))),IF(MID($AX97,498,1)=" ",IF(MID($AX97,745,1)=" ",MID($AX97,497,247),IF(MID($AX97,744,1)=" ",MID($AX97,497,246),MID($AX97,497,248))),IF(MID($AX97,749,1)=" ",MID($AX97,499,249),IF(MID($AX97,748,1)=" ",MID($AX97,499,248),MID($AX97,499,250))))),IF(MID($AX97,501,1)=" ",IF(MID($AX97,750,1)=" ",MID($AX97,500,249),IF(MID($AX97,749,1)=" ",MID($AX97,500,248),MID($AX97,500,250))),IF(MID($AX97,500,1)=" ",IF(MID($AX97,749,1)=" ",MID($AX97,499,249),IF(MID($AX97,750,1)=" ",MID($AX97,499,249),MID($AX97,499,250))),IF(MID($AX97,751,1)=" ",MID($AX97,501,249),IF(MID($AX97,750,1)=" ",MID($AX97,501,248),MID($AX97,501,250)))))))</f>
        <v/>
      </c>
      <c r="CW97" s="10" t="str">
        <f t="shared" ref="CW97:CW128" si="109">IF(MID($AX97,251,1)=" ",IF(MID($AX97,500,1)=" ",IF(MID($AX97,749,1)=" ",MID($AX97,748,250),IF(MID($AX97,748,1)=" ",MID($AX97,747,250),MID($AX97,749,250))),IF(MID($AX97,499,1)=" ",IF(MID($AX97,748,1)=" ",MID($AX97,747,250),IF(MID($AX97,747,1)=" ",MID($AX97,746,250),MID($AX97,748,250))),IF(MID($AX97,750,1)=" ",MID($AX97,749,250),IF(MID($AX97,749,1)=" ",MID($AX97,748,250),MID($AX97,750,250))))),IF(MID($AX97,250,1)=" ",IF(MID($AX97,499,1)=" ",IF(MID($AX97,746,1)=" ",MID($AX97,745,250),IF(MID($AX97,745,1)=" ",MID($AX97,744,250),MID($AX97,746,250))),IF(MID($AX97,498,1)=" ",IF(MID($AX97,745,1)=" ",MID($AX97,744,250),IF(MID($AX97,744,1)=" ",MID($AX97,743,250),MID($AX97,745,250))),IF(MID($AX97,749,1)=" ",MID($AX97,748,250),IF(MID($AX97,748,1)=" ",MID($AX97,747,250),MID($AX97,749,250))))),IF(MID($AX97,501,1)=" ",IF(MID($AX97,750,1)=" ",MID($AX97,749,250),IF(MID($AX97,749,1)=" ",MID($AX97,748,250),MID($AX97,750,250))),IF(MID($AX97,500,1)=" ",IF(MID($AX97,749,1)=" ",MID($AX97,748,250),IF(MID($AX97,750,1)=" ",MID($AX97,749,250),MID($AX97,750,250))),IF(MID($AX97,751,1)=" ",MID($AX97,750,250),IF(MID($AX97,750,1)=" ",MID($AX97,749,250),MID($AX97,751,250)))))))</f>
        <v/>
      </c>
    </row>
    <row r="98" spans="1:101" ht="115.2">
      <c r="A98" s="129" t="s">
        <v>517</v>
      </c>
      <c r="B98" s="9" t="s">
        <v>26</v>
      </c>
      <c r="C98" s="9"/>
      <c r="D98" s="18" t="s">
        <v>512</v>
      </c>
      <c r="E98" s="9" t="s">
        <v>513</v>
      </c>
      <c r="F98" s="9" t="s">
        <v>276</v>
      </c>
      <c r="G98" s="9" t="s">
        <v>113</v>
      </c>
      <c r="H98" s="10" t="s">
        <v>5</v>
      </c>
      <c r="I98" s="10" t="s">
        <v>6</v>
      </c>
      <c r="J98" s="59" t="s">
        <v>29</v>
      </c>
      <c r="K98" s="10" t="s">
        <v>29</v>
      </c>
      <c r="L98" s="10" t="s">
        <v>29</v>
      </c>
      <c r="M98" s="10" t="s">
        <v>29</v>
      </c>
      <c r="N98" s="10" t="s">
        <v>46</v>
      </c>
      <c r="O98" s="9"/>
      <c r="P98" s="9" t="s">
        <v>514</v>
      </c>
      <c r="Q98" s="26" t="s">
        <v>1070</v>
      </c>
      <c r="R98" s="26"/>
      <c r="S98" s="9"/>
      <c r="T98" s="15" t="s">
        <v>1071</v>
      </c>
      <c r="U98" s="15"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98" s="9" t="s">
        <v>29</v>
      </c>
      <c r="W98" s="9" t="s">
        <v>31</v>
      </c>
      <c r="X98" s="10">
        <v>100</v>
      </c>
      <c r="Y98" s="11" t="s">
        <v>32</v>
      </c>
      <c r="Z98" s="19">
        <v>90</v>
      </c>
      <c r="AA98" s="10">
        <v>2</v>
      </c>
      <c r="AB98" s="10">
        <v>50</v>
      </c>
      <c r="AC98" s="12">
        <v>3582810473429</v>
      </c>
      <c r="AD98" s="10" t="s">
        <v>29</v>
      </c>
      <c r="AE98" s="137" t="s">
        <v>1741</v>
      </c>
      <c r="AF98" s="10" t="s">
        <v>1072</v>
      </c>
      <c r="AG98" s="10" t="s">
        <v>1073</v>
      </c>
      <c r="AH98" s="13" t="s">
        <v>38</v>
      </c>
      <c r="AI98" s="54" t="s">
        <v>776</v>
      </c>
      <c r="AJ98" s="54" t="s">
        <v>776</v>
      </c>
      <c r="AK98" s="55">
        <v>45601</v>
      </c>
      <c r="AL98" s="10"/>
      <c r="AM98" s="10">
        <v>24285</v>
      </c>
      <c r="AN98" s="10"/>
      <c r="AO98" s="50" t="s">
        <v>774</v>
      </c>
      <c r="AP98" s="50" t="s">
        <v>1594</v>
      </c>
      <c r="AQ98" s="51" t="s">
        <v>515</v>
      </c>
      <c r="AR98" s="51" t="s">
        <v>516</v>
      </c>
      <c r="AS98" s="87" t="s">
        <v>1551</v>
      </c>
      <c r="AT98" s="87" t="e">
        <f>VLOOKUP(A98,TRADS,14,0)</f>
        <v>#REF!</v>
      </c>
      <c r="AU98" s="138" t="s">
        <v>1703</v>
      </c>
      <c r="AV98" s="16" t="s">
        <v>1224</v>
      </c>
      <c r="AW98" s="16"/>
      <c r="AX98" s="51"/>
      <c r="AY98" s="51" t="s">
        <v>1264</v>
      </c>
      <c r="AZ98" s="51" t="s">
        <v>1265</v>
      </c>
      <c r="BA98" s="51">
        <v>0</v>
      </c>
      <c r="BB98" s="51" t="s">
        <v>1642</v>
      </c>
      <c r="BC98" s="51" t="s">
        <v>1572</v>
      </c>
      <c r="BD98" s="51" t="s">
        <v>1287</v>
      </c>
      <c r="BE98" s="51"/>
      <c r="BF98" s="92"/>
      <c r="BG98" s="92"/>
      <c r="BH98" s="92"/>
      <c r="BI98" s="92"/>
      <c r="BJ98" s="92"/>
      <c r="BK98" s="92"/>
      <c r="BL98" s="92"/>
      <c r="BN98" s="7" t="str">
        <f>IF(IFERROR(FIND("romatis",TableauJDG[[#This Row],[TYPE DE THÉ FR]]),0)=0,"","aromatisé")</f>
        <v/>
      </c>
      <c r="BV98" s="10" t="str">
        <f t="shared" ref="BV98:BV129" si="110">IF(MID($Q98,251,1)=" ",MID($Q98,1,249),IF(MID($Q98,250,1)=" ",MID($Q98,1,248),MID($Q98,1,250)))</f>
        <v>Le Masala Tchaï, préparation populaire à base de thé noir et d’épices, vous emmène au cœur de l'Inde et de ses coutumes. On apprécie ses saveurs chaudes et d’une grande richesse. Un régal pour les amateurs d'authenticité qui, traditionnellement, y aj</v>
      </c>
      <c r="BW98" s="10" t="str">
        <f t="shared" ref="BW98:BW129" si="111">IF(MID($Q98,251,1)=" ",IF(MID($Q98,500,1)=" ",MID($Q98,250,249),IF(MID($Q98,499,1)=" ",MID($Q98,250,248),MID($Q98,250,250))),IF(MID($Q98,250,1)=" ",IF(MID($Q98,499,1)=" ",MID($Q98,249,249),IF(MID($Q98,498,1)=" ",MID($Q98,249,248),MID($Q98,249,250))),IF(MID($Q98,501,1)=" ",MID($Q98,251,249),IF(MID($Q98,500,1)=" ",MID($Q98,251,248),MID($Q98,251,250)))))</f>
        <v>outent un peu de lait et du sucre.</v>
      </c>
      <c r="BX98" s="10" t="str">
        <f t="shared" si="84"/>
        <v/>
      </c>
      <c r="BY98" s="10" t="str">
        <f t="shared" si="85"/>
        <v/>
      </c>
      <c r="BZ98" s="10" t="str">
        <f t="shared" si="86"/>
        <v xml:space="preserve">Ingrédients : thé noir*, épices (gingembre*, cannelle*, cardamome*, clous de girofle*, poivre noir*) 39%. *Issu de l'agriculture biologique.  </v>
      </c>
      <c r="CA98" s="10" t="str">
        <f t="shared" si="87"/>
        <v/>
      </c>
      <c r="CB98" s="10" t="str">
        <f t="shared" si="88"/>
        <v/>
      </c>
      <c r="CC98" s="10" t="str">
        <f t="shared" si="89"/>
        <v/>
      </c>
      <c r="CD98" s="10" t="str">
        <f t="shared" si="90"/>
        <v>/</v>
      </c>
      <c r="CE98" s="10" t="str">
        <f t="shared" si="91"/>
        <v/>
      </c>
      <c r="CF98" s="10" t="str">
        <f t="shared" si="92"/>
        <v/>
      </c>
      <c r="CG98" s="10" t="str">
        <f t="shared" si="93"/>
        <v/>
      </c>
      <c r="CH98" s="10" t="str">
        <f t="shared" si="94"/>
        <v>Membre certifié World Fair Trade Organization, Les Jardins de Gaïa s’engagent pour un commerce plus juste et répondent aux exigences du commerce équitable. Pour en savoir plus : www.wfto.com.</v>
      </c>
      <c r="CI98" s="10" t="str">
        <f t="shared" si="95"/>
        <v/>
      </c>
      <c r="CJ98" s="10" t="str">
        <f t="shared" si="96"/>
        <v/>
      </c>
      <c r="CK98" s="10" t="str">
        <f t="shared" si="97"/>
        <v/>
      </c>
      <c r="CL98" s="10" t="str">
        <f t="shared" si="98"/>
        <v>Masala chaï, a popular preparation based on black tea and spices, takes you to the heart of India and its traditions. You'll appreciate its warm, rich flavours. A treat for lovers of authenticity, who traditionally add some milk and sugar.</v>
      </c>
      <c r="CM98" s="10" t="str">
        <f t="shared" si="99"/>
        <v/>
      </c>
      <c r="CN98" s="10" t="str">
        <f t="shared" si="100"/>
        <v/>
      </c>
      <c r="CO98" s="10" t="str">
        <f t="shared" si="101"/>
        <v/>
      </c>
      <c r="CP98" s="10" t="str">
        <f t="shared" si="102"/>
        <v xml:space="preserve">Ingredients: black tea *, spices (ginger*, cinnamon*, cardamom*, cloves*, black pepper*) 39%. *From organic farming. </v>
      </c>
      <c r="CQ98" s="10" t="str">
        <f t="shared" si="103"/>
        <v/>
      </c>
      <c r="CR98" s="10" t="str">
        <f t="shared" si="104"/>
        <v/>
      </c>
      <c r="CS98" s="10" t="str">
        <f t="shared" si="105"/>
        <v/>
      </c>
      <c r="CT98" s="10" t="str">
        <f t="shared" si="106"/>
        <v/>
      </c>
      <c r="CU98" s="10" t="str">
        <f t="shared" si="107"/>
        <v/>
      </c>
      <c r="CV98" s="10" t="str">
        <f t="shared" si="108"/>
        <v/>
      </c>
      <c r="CW98" s="10" t="str">
        <f t="shared" si="109"/>
        <v/>
      </c>
    </row>
    <row r="99" spans="1:101" ht="72">
      <c r="A99" s="129" t="s">
        <v>518</v>
      </c>
      <c r="B99" s="9" t="s">
        <v>26</v>
      </c>
      <c r="C99" s="9" t="s">
        <v>519</v>
      </c>
      <c r="D99" s="8" t="s">
        <v>1764</v>
      </c>
      <c r="E99" s="9" t="s">
        <v>520</v>
      </c>
      <c r="F99" s="9" t="s">
        <v>519</v>
      </c>
      <c r="G99" s="9" t="s">
        <v>54</v>
      </c>
      <c r="H99" s="10" t="s">
        <v>5</v>
      </c>
      <c r="I99" s="10" t="s">
        <v>29</v>
      </c>
      <c r="J99" s="10" t="s">
        <v>29</v>
      </c>
      <c r="K99" s="10" t="s">
        <v>29</v>
      </c>
      <c r="L99" s="10" t="s">
        <v>29</v>
      </c>
      <c r="M99" s="10" t="s">
        <v>29</v>
      </c>
      <c r="N99" s="10" t="s">
        <v>55</v>
      </c>
      <c r="O99" s="9"/>
      <c r="P99" s="9" t="s">
        <v>521</v>
      </c>
      <c r="Q99" s="9" t="s">
        <v>1763</v>
      </c>
      <c r="R99" s="9" t="s">
        <v>1946</v>
      </c>
      <c r="S99" s="9"/>
      <c r="T99" s="9" t="s">
        <v>522</v>
      </c>
      <c r="U99"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99" s="9" t="s">
        <v>29</v>
      </c>
      <c r="W99" s="9" t="s">
        <v>29</v>
      </c>
      <c r="X99" s="10">
        <v>100</v>
      </c>
      <c r="Y99" s="19"/>
      <c r="Z99" s="19"/>
      <c r="AA99" s="10"/>
      <c r="AB99" s="10"/>
      <c r="AC99" s="12">
        <v>3582814122026</v>
      </c>
      <c r="AD99" s="10" t="s">
        <v>29</v>
      </c>
      <c r="AE99" s="10" t="s">
        <v>1950</v>
      </c>
      <c r="AF99" s="10" t="s">
        <v>1950</v>
      </c>
      <c r="AG99" s="10" t="s">
        <v>1074</v>
      </c>
      <c r="AH99" s="20"/>
      <c r="AI99" s="10"/>
      <c r="AJ99" s="10"/>
      <c r="AK99" s="10"/>
      <c r="AL99" s="10"/>
      <c r="AM99" s="10"/>
      <c r="AN99" s="10"/>
      <c r="AO99" s="10"/>
      <c r="AP99" s="10"/>
      <c r="AQ99" s="51"/>
      <c r="AR99" s="51"/>
      <c r="AS99" s="51"/>
      <c r="AT99" s="51"/>
      <c r="AU99" s="120" t="s">
        <v>1765</v>
      </c>
      <c r="AV99" s="52" t="s">
        <v>1451</v>
      </c>
      <c r="AW99" s="52" t="s">
        <v>1944</v>
      </c>
      <c r="AX99" s="51"/>
      <c r="AY99" s="51"/>
      <c r="AZ99" s="51"/>
      <c r="BA99" s="51"/>
      <c r="BB99" s="51"/>
      <c r="BC99" s="51"/>
      <c r="BD99" s="51"/>
      <c r="BE99" s="51"/>
      <c r="BF99" s="92"/>
      <c r="BG99" s="92"/>
      <c r="BH99" s="92"/>
      <c r="BI99" s="92"/>
      <c r="BJ99" s="92"/>
      <c r="BK99" s="92"/>
      <c r="BL99" s="92"/>
      <c r="BN99" s="7" t="str">
        <f>IF(IFERROR(FIND("romatis",TableauJDG[[#This Row],[TYPE DE THÉ FR]]),0)=0,"","aromatisé")</f>
        <v/>
      </c>
      <c r="BO99" s="10" t="s">
        <v>1947</v>
      </c>
      <c r="BV99" s="10" t="str">
        <f t="shared" si="110"/>
        <v>Ce matcha issu de feuilles de tencha moulues et fabriqué de manière traditionnelle au Japon se déguste tel quel, mais peut aussi servir de base à vos créations. Il se distinguera aussi bien au cœur d’un cocktail que dans une recette gourmande avec se</v>
      </c>
      <c r="BW99" s="10" t="str">
        <f t="shared" si="111"/>
        <v>s notes végétales intenses et sa couleur vert émeraude.</v>
      </c>
      <c r="BX99" s="10" t="str">
        <f t="shared" si="84"/>
        <v/>
      </c>
      <c r="BY99" s="10" t="str">
        <f t="shared" si="85"/>
        <v/>
      </c>
      <c r="BZ99" s="10" t="str">
        <f t="shared" si="86"/>
        <v>Ingrédient : thé vert* du Japon. *Issu de l'agriculture biologique.</v>
      </c>
      <c r="CA99" s="10" t="str">
        <f t="shared" si="87"/>
        <v/>
      </c>
      <c r="CB99" s="10" t="str">
        <f t="shared" si="88"/>
        <v/>
      </c>
      <c r="CC99" s="10" t="str">
        <f t="shared" si="89"/>
        <v/>
      </c>
      <c r="CD99" s="10" t="str">
        <f t="shared" si="90"/>
        <v>/</v>
      </c>
      <c r="CE99" s="10" t="str">
        <f t="shared" si="91"/>
        <v/>
      </c>
      <c r="CF99" s="10" t="str">
        <f t="shared" si="92"/>
        <v/>
      </c>
      <c r="CG99" s="10" t="str">
        <f t="shared" si="93"/>
        <v/>
      </c>
      <c r="CH99" s="10" t="str">
        <f t="shared" si="94"/>
        <v>/</v>
      </c>
      <c r="CI99" s="10" t="str">
        <f t="shared" si="95"/>
        <v/>
      </c>
      <c r="CJ99" s="10" t="str">
        <f t="shared" si="96"/>
        <v/>
      </c>
      <c r="CK99" s="10" t="str">
        <f t="shared" si="97"/>
        <v/>
      </c>
      <c r="CL99" s="10" t="str">
        <f t="shared" si="98"/>
        <v>This matcha, made from ground tencha leaves in the traditional Japanese way, can be enjoyed on its own, or as a base for your own creations. With its intense herbal notes and emerald green color, it will stand out at the heart of a cocktail or in a g</v>
      </c>
      <c r="CM99" s="10" t="str">
        <f t="shared" si="99"/>
        <v>ourmet recipe.</v>
      </c>
      <c r="CN99" s="10" t="str">
        <f t="shared" si="100"/>
        <v/>
      </c>
      <c r="CO99" s="10" t="str">
        <f t="shared" si="101"/>
        <v/>
      </c>
      <c r="CP99" s="10" t="str">
        <f t="shared" si="102"/>
        <v>Ingredient: Japanese green tea*. *From organic farming.</v>
      </c>
      <c r="CQ99" s="10" t="str">
        <f t="shared" si="103"/>
        <v/>
      </c>
      <c r="CR99" s="10" t="str">
        <f t="shared" si="104"/>
        <v/>
      </c>
      <c r="CS99" s="10" t="str">
        <f t="shared" si="105"/>
        <v/>
      </c>
      <c r="CT99" s="10" t="str">
        <f t="shared" si="106"/>
        <v/>
      </c>
      <c r="CU99" s="10" t="str">
        <f t="shared" si="107"/>
        <v/>
      </c>
      <c r="CV99" s="10" t="str">
        <f t="shared" si="108"/>
        <v/>
      </c>
      <c r="CW99" s="10" t="str">
        <f t="shared" si="109"/>
        <v/>
      </c>
    </row>
    <row r="100" spans="1:101" ht="115.2" customHeight="1">
      <c r="A100" s="129" t="s">
        <v>523</v>
      </c>
      <c r="B100" s="9" t="s">
        <v>26</v>
      </c>
      <c r="C100" s="9" t="s">
        <v>519</v>
      </c>
      <c r="D100" s="8" t="s">
        <v>1764</v>
      </c>
      <c r="E100" s="9" t="s">
        <v>520</v>
      </c>
      <c r="F100" s="9" t="s">
        <v>519</v>
      </c>
      <c r="G100" s="9" t="s">
        <v>54</v>
      </c>
      <c r="H100" s="10" t="s">
        <v>5</v>
      </c>
      <c r="I100" s="10" t="s">
        <v>29</v>
      </c>
      <c r="J100" s="10" t="s">
        <v>29</v>
      </c>
      <c r="K100" s="10" t="s">
        <v>29</v>
      </c>
      <c r="L100" s="10" t="s">
        <v>29</v>
      </c>
      <c r="M100" s="10" t="s">
        <v>29</v>
      </c>
      <c r="N100" s="10" t="s">
        <v>55</v>
      </c>
      <c r="O100" s="9"/>
      <c r="P100" s="9" t="s">
        <v>521</v>
      </c>
      <c r="Q100" s="9" t="s">
        <v>1763</v>
      </c>
      <c r="R100" s="9" t="s">
        <v>1946</v>
      </c>
      <c r="S100" s="9"/>
      <c r="T100" s="9" t="s">
        <v>522</v>
      </c>
      <c r="U100"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00" s="9" t="s">
        <v>29</v>
      </c>
      <c r="W100" s="9" t="s">
        <v>29</v>
      </c>
      <c r="X100" s="10">
        <v>50</v>
      </c>
      <c r="Y100" s="19"/>
      <c r="Z100" s="19"/>
      <c r="AA100" s="10"/>
      <c r="AB100" s="10"/>
      <c r="AC100" s="12">
        <v>3582814122064</v>
      </c>
      <c r="AD100" s="10" t="s">
        <v>29</v>
      </c>
      <c r="AE100" s="10" t="s">
        <v>1949</v>
      </c>
      <c r="AF100" s="35" t="s">
        <v>1948</v>
      </c>
      <c r="AG100" s="10" t="s">
        <v>1075</v>
      </c>
      <c r="AH100" s="20"/>
      <c r="AI100" s="10"/>
      <c r="AJ100" s="10"/>
      <c r="AK100" s="10"/>
      <c r="AL100" s="10"/>
      <c r="AM100" s="10"/>
      <c r="AN100" s="10"/>
      <c r="AO100" s="10"/>
      <c r="AP100" s="10"/>
      <c r="AQ100" s="51"/>
      <c r="AR100" s="51"/>
      <c r="AS100" s="51"/>
      <c r="AT100" s="51"/>
      <c r="AU100" s="51" t="s">
        <v>1765</v>
      </c>
      <c r="AV100" s="52" t="s">
        <v>1451</v>
      </c>
      <c r="AW100" s="52" t="s">
        <v>1944</v>
      </c>
      <c r="AX100" s="51"/>
      <c r="AY100" s="51"/>
      <c r="AZ100" s="51"/>
      <c r="BA100" s="51"/>
      <c r="BB100" s="51"/>
      <c r="BC100" s="51"/>
      <c r="BD100" s="51"/>
      <c r="BE100" s="51"/>
      <c r="BF100" s="92"/>
      <c r="BG100" s="92"/>
      <c r="BH100" s="92"/>
      <c r="BI100" s="92"/>
      <c r="BJ100" s="92"/>
      <c r="BK100" s="92"/>
      <c r="BL100" s="92"/>
      <c r="BN100" s="7" t="str">
        <f>IF(IFERROR(FIND("romatis",TableauJDG[[#This Row],[TYPE DE THÉ FR]]),0)=0,"","aromatisé")</f>
        <v/>
      </c>
      <c r="BO100" s="10" t="s">
        <v>1947</v>
      </c>
      <c r="BV100" s="10" t="str">
        <f t="shared" si="110"/>
        <v>Ce matcha issu de feuilles de tencha moulues et fabriqué de manière traditionnelle au Japon se déguste tel quel, mais peut aussi servir de base à vos créations. Il se distinguera aussi bien au cœur d’un cocktail que dans une recette gourmande avec se</v>
      </c>
      <c r="BW100" s="10" t="str">
        <f t="shared" si="111"/>
        <v>s notes végétales intenses et sa couleur vert émeraude.</v>
      </c>
      <c r="BX100" s="10" t="str">
        <f t="shared" si="84"/>
        <v/>
      </c>
      <c r="BY100" s="10" t="str">
        <f t="shared" si="85"/>
        <v/>
      </c>
      <c r="BZ100" s="10" t="str">
        <f t="shared" si="86"/>
        <v>Ingrédient : thé vert* du Japon. *Issu de l'agriculture biologique.</v>
      </c>
      <c r="CA100" s="10" t="str">
        <f t="shared" si="87"/>
        <v/>
      </c>
      <c r="CB100" s="10" t="str">
        <f t="shared" si="88"/>
        <v/>
      </c>
      <c r="CC100" s="10" t="str">
        <f t="shared" si="89"/>
        <v/>
      </c>
      <c r="CD100" s="10" t="str">
        <f t="shared" si="90"/>
        <v>/</v>
      </c>
      <c r="CE100" s="10" t="str">
        <f t="shared" si="91"/>
        <v/>
      </c>
      <c r="CF100" s="10" t="str">
        <f t="shared" si="92"/>
        <v/>
      </c>
      <c r="CG100" s="10" t="str">
        <f t="shared" si="93"/>
        <v/>
      </c>
      <c r="CH100" s="10" t="str">
        <f t="shared" si="94"/>
        <v>/</v>
      </c>
      <c r="CI100" s="10" t="str">
        <f t="shared" si="95"/>
        <v/>
      </c>
      <c r="CJ100" s="10" t="str">
        <f t="shared" si="96"/>
        <v/>
      </c>
      <c r="CK100" s="10" t="str">
        <f t="shared" si="97"/>
        <v/>
      </c>
      <c r="CL100" s="10" t="str">
        <f t="shared" si="98"/>
        <v>This matcha, made from ground tencha leaves in the traditional Japanese way, can be enjoyed on its own, or as a base for your own creations. With its intense herbal notes and emerald green color, it will stand out at the heart of a cocktail or in a g</v>
      </c>
      <c r="CM100" s="10" t="str">
        <f t="shared" si="99"/>
        <v>ourmet recipe.</v>
      </c>
      <c r="CN100" s="10" t="str">
        <f t="shared" si="100"/>
        <v/>
      </c>
      <c r="CO100" s="10" t="str">
        <f t="shared" si="101"/>
        <v/>
      </c>
      <c r="CP100" s="10" t="str">
        <f t="shared" si="102"/>
        <v>Ingredient: Japanese green tea*. *From organic farming.</v>
      </c>
      <c r="CQ100" s="10" t="str">
        <f t="shared" si="103"/>
        <v/>
      </c>
      <c r="CR100" s="10" t="str">
        <f t="shared" si="104"/>
        <v/>
      </c>
      <c r="CS100" s="10" t="str">
        <f t="shared" si="105"/>
        <v/>
      </c>
      <c r="CT100" s="10" t="str">
        <f t="shared" si="106"/>
        <v/>
      </c>
      <c r="CU100" s="10" t="str">
        <f t="shared" si="107"/>
        <v/>
      </c>
      <c r="CV100" s="10" t="str">
        <f t="shared" si="108"/>
        <v/>
      </c>
      <c r="CW100" s="10" t="str">
        <f t="shared" si="109"/>
        <v/>
      </c>
    </row>
    <row r="101" spans="1:101" ht="72">
      <c r="A101" s="129" t="s">
        <v>524</v>
      </c>
      <c r="B101" s="9" t="s">
        <v>782</v>
      </c>
      <c r="C101" s="9" t="s">
        <v>519</v>
      </c>
      <c r="D101" s="8" t="s">
        <v>525</v>
      </c>
      <c r="E101" s="9" t="s">
        <v>526</v>
      </c>
      <c r="F101" s="9" t="s">
        <v>519</v>
      </c>
      <c r="G101" s="9" t="s">
        <v>54</v>
      </c>
      <c r="H101" s="10" t="s">
        <v>5</v>
      </c>
      <c r="I101" s="10" t="s">
        <v>29</v>
      </c>
      <c r="J101" s="10" t="s">
        <v>29</v>
      </c>
      <c r="K101" s="10" t="s">
        <v>29</v>
      </c>
      <c r="L101" s="10" t="s">
        <v>29</v>
      </c>
      <c r="M101" s="10" t="s">
        <v>29</v>
      </c>
      <c r="N101" s="10" t="s">
        <v>55</v>
      </c>
      <c r="O101" s="9"/>
      <c r="P101" s="9" t="s">
        <v>527</v>
      </c>
      <c r="Q101" s="60" t="s">
        <v>1076</v>
      </c>
      <c r="R101" s="113"/>
      <c r="S101" s="9"/>
      <c r="T101" s="9" t="s">
        <v>522</v>
      </c>
      <c r="U101"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01" s="9" t="s">
        <v>29</v>
      </c>
      <c r="W101" s="9" t="s">
        <v>29</v>
      </c>
      <c r="X101" s="10">
        <v>30</v>
      </c>
      <c r="Y101" s="19" t="s">
        <v>205</v>
      </c>
      <c r="Z101" s="19">
        <v>60</v>
      </c>
      <c r="AA101" s="10">
        <v>2</v>
      </c>
      <c r="AB101" s="10">
        <v>15</v>
      </c>
      <c r="AC101" s="12">
        <v>3582814108761</v>
      </c>
      <c r="AD101" s="10" t="s">
        <v>29</v>
      </c>
      <c r="AE101" s="10" t="s">
        <v>528</v>
      </c>
      <c r="AF101" s="10" t="s">
        <v>1077</v>
      </c>
      <c r="AG101" s="10" t="s">
        <v>29</v>
      </c>
      <c r="AH101" s="20"/>
      <c r="AI101" s="10"/>
      <c r="AJ101" s="54" t="s">
        <v>776</v>
      </c>
      <c r="AK101" s="10"/>
      <c r="AL101" s="10"/>
      <c r="AM101" s="10"/>
      <c r="AN101" s="10"/>
      <c r="AO101" s="10"/>
      <c r="AP101" s="10"/>
      <c r="AQ101" s="51"/>
      <c r="AR101" s="51"/>
      <c r="AS101" s="51"/>
      <c r="AT101" s="51"/>
      <c r="AU101" s="51"/>
      <c r="AV101" s="43" t="s">
        <v>1451</v>
      </c>
      <c r="AW101" s="52"/>
      <c r="AX101" s="51"/>
      <c r="AY101" s="51"/>
      <c r="AZ101" s="51"/>
      <c r="BA101" s="51"/>
      <c r="BB101" s="51"/>
      <c r="BC101" s="51"/>
      <c r="BD101" s="51"/>
      <c r="BE101" s="51"/>
      <c r="BF101" s="92"/>
      <c r="BG101" s="92"/>
      <c r="BH101" s="92"/>
      <c r="BI101" s="92"/>
      <c r="BJ101" s="92"/>
      <c r="BK101" s="92"/>
      <c r="BL101" s="92"/>
      <c r="BN101" s="7" t="str">
        <f>IF(IFERROR(FIND("romatis",TableauJDG[[#This Row],[TYPE DE THÉ FR]]),0)=0,"","aromatisé")</f>
        <v/>
      </c>
      <c r="BV101" s="10" t="str">
        <f t="shared" si="110"/>
        <v>Ce matcha de qualité premium a été produit de manière traditionnelle à partir de feuilles de tencha (thé brut ombré) dans la région de Kagoshima au sud du Japon. Il offre une mousse soyeuse, d’un vert lumineux, aux notes lactées et de fève de cacao p</v>
      </c>
      <c r="BW101" s="10" t="str">
        <f t="shared" si="111"/>
        <v xml:space="preserve">articulièrement gourmandes. </v>
      </c>
      <c r="BX101" s="10" t="str">
        <f t="shared" si="84"/>
        <v/>
      </c>
      <c r="BY101" s="10" t="str">
        <f t="shared" si="85"/>
        <v/>
      </c>
      <c r="BZ101" s="10" t="str">
        <f t="shared" si="86"/>
        <v>Ingrédient : thé vert* du Japon. *Issu de l'agriculture biologique.</v>
      </c>
      <c r="CA101" s="10" t="str">
        <f t="shared" si="87"/>
        <v/>
      </c>
      <c r="CB101" s="10" t="str">
        <f t="shared" si="88"/>
        <v/>
      </c>
      <c r="CC101" s="10" t="str">
        <f t="shared" si="89"/>
        <v/>
      </c>
      <c r="CD101" s="10" t="str">
        <f t="shared" si="90"/>
        <v>/</v>
      </c>
      <c r="CE101" s="10" t="str">
        <f t="shared" si="91"/>
        <v/>
      </c>
      <c r="CF101" s="10" t="str">
        <f t="shared" si="92"/>
        <v/>
      </c>
      <c r="CG101" s="10" t="str">
        <f t="shared" si="93"/>
        <v/>
      </c>
      <c r="CH101" s="10" t="str">
        <f t="shared" si="94"/>
        <v>/</v>
      </c>
      <c r="CI101" s="10" t="str">
        <f t="shared" si="95"/>
        <v/>
      </c>
      <c r="CJ101" s="10" t="str">
        <f t="shared" si="96"/>
        <v/>
      </c>
      <c r="CK101" s="10" t="str">
        <f t="shared" si="97"/>
        <v/>
      </c>
      <c r="CL101" s="10" t="str">
        <f t="shared" si="98"/>
        <v/>
      </c>
      <c r="CM101" s="10" t="str">
        <f t="shared" si="99"/>
        <v/>
      </c>
      <c r="CN101" s="10" t="str">
        <f t="shared" si="100"/>
        <v/>
      </c>
      <c r="CO101" s="10" t="str">
        <f t="shared" si="101"/>
        <v/>
      </c>
      <c r="CP101" s="10" t="str">
        <f t="shared" si="102"/>
        <v>Ingredient: Japanese green tea*. *From organic farming.</v>
      </c>
      <c r="CQ101" s="10" t="str">
        <f t="shared" si="103"/>
        <v/>
      </c>
      <c r="CR101" s="10" t="str">
        <f t="shared" si="104"/>
        <v/>
      </c>
      <c r="CS101" s="10" t="str">
        <f t="shared" si="105"/>
        <v/>
      </c>
      <c r="CT101" s="10" t="str">
        <f t="shared" si="106"/>
        <v/>
      </c>
      <c r="CU101" s="10" t="str">
        <f t="shared" si="107"/>
        <v/>
      </c>
      <c r="CV101" s="10" t="str">
        <f t="shared" si="108"/>
        <v/>
      </c>
      <c r="CW101" s="10" t="str">
        <f t="shared" si="109"/>
        <v/>
      </c>
    </row>
    <row r="102" spans="1:101" ht="72">
      <c r="A102" s="129" t="s">
        <v>529</v>
      </c>
      <c r="B102" s="9" t="s">
        <v>26</v>
      </c>
      <c r="C102" s="9" t="s">
        <v>519</v>
      </c>
      <c r="D102" s="8" t="s">
        <v>530</v>
      </c>
      <c r="E102" s="9" t="s">
        <v>526</v>
      </c>
      <c r="F102" s="9" t="s">
        <v>519</v>
      </c>
      <c r="G102" s="9" t="s">
        <v>54</v>
      </c>
      <c r="H102" s="10" t="s">
        <v>5</v>
      </c>
      <c r="I102" s="10" t="s">
        <v>29</v>
      </c>
      <c r="J102" s="10" t="s">
        <v>29</v>
      </c>
      <c r="K102" s="10" t="s">
        <v>29</v>
      </c>
      <c r="L102" s="10" t="s">
        <v>29</v>
      </c>
      <c r="M102" s="10" t="s">
        <v>29</v>
      </c>
      <c r="N102" s="10" t="s">
        <v>55</v>
      </c>
      <c r="O102" s="9"/>
      <c r="P102" s="9" t="s">
        <v>531</v>
      </c>
      <c r="Q102" s="9" t="s">
        <v>1078</v>
      </c>
      <c r="R102" s="9" t="s">
        <v>1945</v>
      </c>
      <c r="S102" s="9"/>
      <c r="T102" s="9" t="s">
        <v>522</v>
      </c>
      <c r="U102"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02" s="9" t="s">
        <v>29</v>
      </c>
      <c r="W102" s="9" t="s">
        <v>29</v>
      </c>
      <c r="X102" s="10">
        <v>30</v>
      </c>
      <c r="Y102" s="19" t="s">
        <v>205</v>
      </c>
      <c r="Z102" s="19">
        <v>75</v>
      </c>
      <c r="AA102" s="10">
        <v>2</v>
      </c>
      <c r="AB102" s="10">
        <v>15</v>
      </c>
      <c r="AC102" s="12">
        <v>3582814190513</v>
      </c>
      <c r="AD102" s="10" t="s">
        <v>29</v>
      </c>
      <c r="AE102" s="10" t="s">
        <v>532</v>
      </c>
      <c r="AF102" s="10" t="s">
        <v>1079</v>
      </c>
      <c r="AG102" s="10" t="s">
        <v>29</v>
      </c>
      <c r="AH102" s="13" t="s">
        <v>207</v>
      </c>
      <c r="AI102" s="10"/>
      <c r="AJ102" s="54" t="s">
        <v>776</v>
      </c>
      <c r="AK102" s="10"/>
      <c r="AL102" s="10"/>
      <c r="AM102" s="10"/>
      <c r="AN102" s="10"/>
      <c r="AO102" s="10"/>
      <c r="AP102" s="10"/>
      <c r="AQ102" s="51"/>
      <c r="AR102" s="51"/>
      <c r="AS102" s="51"/>
      <c r="AT102" s="51"/>
      <c r="AU102" s="120"/>
      <c r="AV102" s="43" t="s">
        <v>1451</v>
      </c>
      <c r="AW102" s="52"/>
      <c r="AX102" s="51"/>
      <c r="AY102" s="51"/>
      <c r="AZ102" s="51"/>
      <c r="BA102" s="51"/>
      <c r="BB102" s="51"/>
      <c r="BC102" s="51"/>
      <c r="BD102" s="51"/>
      <c r="BE102" s="51"/>
      <c r="BF102" s="92"/>
      <c r="BG102" s="92"/>
      <c r="BH102" s="92"/>
      <c r="BI102" s="92"/>
      <c r="BJ102" s="92"/>
      <c r="BK102" s="92"/>
      <c r="BL102" s="92"/>
      <c r="BN102" s="7" t="str">
        <f>IF(IFERROR(FIND("romatis",TableauJDG[[#This Row],[TYPE DE THÉ FR]]),0)=0,"","aromatisé")</f>
        <v/>
      </c>
      <c r="BV102" s="10" t="str">
        <f t="shared" si="110"/>
        <v>Ce véritable matcha japonais produit de manière traditionnelle à partir de feuilles de thés ombrées « tencha » est une excellente introduction aux matcha de qualité supérieure. Sa poudre fine et régulière permet d’obtenir une liqueur onctueuse, fraîc</v>
      </c>
      <c r="BW102" s="10" t="str">
        <f t="shared" si="111"/>
        <v>he et savoureuse aux notes herbacées typiques.</v>
      </c>
      <c r="BX102" s="10" t="str">
        <f t="shared" si="84"/>
        <v/>
      </c>
      <c r="BY102" s="10" t="str">
        <f t="shared" si="85"/>
        <v/>
      </c>
      <c r="BZ102" s="10" t="str">
        <f t="shared" si="86"/>
        <v>Ingrédient : thé vert* du Japon. *Issu de l'agriculture biologique.</v>
      </c>
      <c r="CA102" s="10" t="str">
        <f t="shared" si="87"/>
        <v/>
      </c>
      <c r="CB102" s="10" t="str">
        <f t="shared" si="88"/>
        <v/>
      </c>
      <c r="CC102" s="10" t="str">
        <f t="shared" si="89"/>
        <v/>
      </c>
      <c r="CD102" s="10" t="str">
        <f t="shared" si="90"/>
        <v>/</v>
      </c>
      <c r="CE102" s="10" t="str">
        <f t="shared" si="91"/>
        <v/>
      </c>
      <c r="CF102" s="10" t="str">
        <f t="shared" si="92"/>
        <v/>
      </c>
      <c r="CG102" s="10" t="str">
        <f t="shared" si="93"/>
        <v/>
      </c>
      <c r="CH102" s="10" t="str">
        <f t="shared" si="94"/>
        <v>/</v>
      </c>
      <c r="CI102" s="10" t="str">
        <f t="shared" si="95"/>
        <v/>
      </c>
      <c r="CJ102" s="10" t="str">
        <f t="shared" si="96"/>
        <v/>
      </c>
      <c r="CK102" s="10" t="str">
        <f t="shared" si="97"/>
        <v/>
      </c>
      <c r="CL102" s="10" t="str">
        <f t="shared" si="98"/>
        <v/>
      </c>
      <c r="CM102" s="10" t="str">
        <f t="shared" si="99"/>
        <v/>
      </c>
      <c r="CN102" s="10" t="str">
        <f t="shared" si="100"/>
        <v/>
      </c>
      <c r="CO102" s="10" t="str">
        <f t="shared" si="101"/>
        <v/>
      </c>
      <c r="CP102" s="10" t="str">
        <f t="shared" si="102"/>
        <v>Ingredient: Japanese green tea*. *From organic farming.</v>
      </c>
      <c r="CQ102" s="10" t="str">
        <f t="shared" si="103"/>
        <v/>
      </c>
      <c r="CR102" s="10" t="str">
        <f t="shared" si="104"/>
        <v/>
      </c>
      <c r="CS102" s="10" t="str">
        <f t="shared" si="105"/>
        <v/>
      </c>
      <c r="CT102" s="10" t="str">
        <f t="shared" si="106"/>
        <v/>
      </c>
      <c r="CU102" s="10" t="str">
        <f t="shared" si="107"/>
        <v/>
      </c>
      <c r="CV102" s="10" t="str">
        <f t="shared" si="108"/>
        <v/>
      </c>
      <c r="CW102" s="10" t="str">
        <f t="shared" si="109"/>
        <v/>
      </c>
    </row>
    <row r="103" spans="1:101" ht="100.8">
      <c r="A103" s="130" t="s">
        <v>538</v>
      </c>
      <c r="B103" s="9" t="s">
        <v>777</v>
      </c>
      <c r="C103" s="9" t="s">
        <v>39</v>
      </c>
      <c r="D103" s="8" t="s">
        <v>533</v>
      </c>
      <c r="E103" s="9" t="s">
        <v>534</v>
      </c>
      <c r="F103" s="9" t="s">
        <v>535</v>
      </c>
      <c r="G103" s="10" t="s">
        <v>363</v>
      </c>
      <c r="H103" s="10" t="s">
        <v>5</v>
      </c>
      <c r="I103" s="10" t="s">
        <v>6</v>
      </c>
      <c r="J103" s="10" t="s">
        <v>29</v>
      </c>
      <c r="K103" s="10" t="s">
        <v>29</v>
      </c>
      <c r="L103" s="10" t="s">
        <v>29</v>
      </c>
      <c r="M103" s="10" t="s">
        <v>29</v>
      </c>
      <c r="N103" s="10" t="s">
        <v>37</v>
      </c>
      <c r="O103" s="9"/>
      <c r="P103" s="9" t="s">
        <v>536</v>
      </c>
      <c r="Q103" s="9" t="s">
        <v>1877</v>
      </c>
      <c r="R103" s="9"/>
      <c r="S103" s="9"/>
      <c r="T103" s="24" t="s">
        <v>537</v>
      </c>
      <c r="U103" s="24"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03" s="9" t="s">
        <v>41</v>
      </c>
      <c r="W103" s="9" t="s">
        <v>31</v>
      </c>
      <c r="X103" s="10">
        <v>100</v>
      </c>
      <c r="Y103" s="11" t="s">
        <v>49</v>
      </c>
      <c r="Z103" s="19">
        <v>95</v>
      </c>
      <c r="AA103" s="10">
        <v>2</v>
      </c>
      <c r="AB103" s="10">
        <v>50</v>
      </c>
      <c r="AC103" s="12">
        <v>3582811326229</v>
      </c>
      <c r="AD103" s="10" t="s">
        <v>29</v>
      </c>
      <c r="AE103" s="10" t="s">
        <v>539</v>
      </c>
      <c r="AF103" s="10" t="s">
        <v>1878</v>
      </c>
      <c r="AG103" s="10" t="s">
        <v>1879</v>
      </c>
      <c r="AH103" s="13" t="s">
        <v>38</v>
      </c>
      <c r="AI103" s="54" t="s">
        <v>776</v>
      </c>
      <c r="AJ103" s="54" t="s">
        <v>776</v>
      </c>
      <c r="AK103" s="55">
        <v>45693</v>
      </c>
      <c r="AL103" s="10"/>
      <c r="AM103" s="10">
        <v>25028</v>
      </c>
      <c r="AN103" s="10"/>
      <c r="AO103" s="10"/>
      <c r="AP103" s="10"/>
      <c r="AQ103" s="51" t="s">
        <v>1304</v>
      </c>
      <c r="AR103" s="51" t="s">
        <v>534</v>
      </c>
      <c r="AS103" s="84" t="s">
        <v>1552</v>
      </c>
      <c r="AT103" s="9" t="s">
        <v>1303</v>
      </c>
      <c r="AU103" s="96" t="s">
        <v>1305</v>
      </c>
      <c r="AV103" s="82" t="s">
        <v>1306</v>
      </c>
      <c r="AW103" s="52"/>
      <c r="AX103" s="74" t="s">
        <v>1820</v>
      </c>
      <c r="AY103" s="51"/>
      <c r="AZ103" s="51"/>
      <c r="BA103" s="51"/>
      <c r="BB103" s="51"/>
      <c r="BC103" s="51"/>
      <c r="BD103" s="51"/>
      <c r="BE103" s="51"/>
      <c r="BF103" s="92"/>
      <c r="BG103" s="92"/>
      <c r="BH103" s="92"/>
      <c r="BI103" s="92"/>
      <c r="BJ103" s="92"/>
      <c r="BK103" s="92"/>
      <c r="BL103" s="92"/>
      <c r="BN103" s="7" t="str">
        <f>IF(IFERROR(FIND("romatis",TableauJDG[[#This Row],[TYPE DE THÉ FR]]),0)=0,"","aromatisé")</f>
        <v/>
      </c>
      <c r="BO103" s="10" t="s">
        <v>1880</v>
      </c>
      <c r="BV103" s="10" t="str">
        <f t="shared" si="110"/>
        <v>Cette infusion à base de maté, de menthe et d'épices aux douces notes anisées offre une boisson particulièrement originale et fraîche. Stimulante, digestive et drainante, elle permet de contrôler facilement son poids tout en gardant son tonus au cour</v>
      </c>
      <c r="BW103" s="10" t="str">
        <f t="shared" si="111"/>
        <v>s de la journée.</v>
      </c>
      <c r="BX103" s="10" t="str">
        <f t="shared" si="84"/>
        <v/>
      </c>
      <c r="BY103" s="10" t="str">
        <f t="shared" si="85"/>
        <v/>
      </c>
      <c r="BZ103" s="10" t="str">
        <f t="shared" si="86"/>
        <v>Ingrédients : maté vert* (Ilex paraguariensis), épices (carvi*, fenouil*, anis*, menthe poivrée*, coriandre*) 48%. *Issu de l'agriculture biologique.</v>
      </c>
      <c r="CA103" s="10" t="str">
        <f t="shared" si="87"/>
        <v/>
      </c>
      <c r="CB103" s="10" t="str">
        <f t="shared" si="88"/>
        <v/>
      </c>
      <c r="CC103" s="10" t="str">
        <f t="shared" si="89"/>
        <v/>
      </c>
      <c r="CD103" s="10" t="str">
        <f t="shared" si="90"/>
        <v>Consommation journalière conseillée : 3 tasses de 25 cl.
Il est recommandé d'adopter un mode de vie sain et une alimentation variée et équilibrée pour profiter pleinement des vertus de cette infusion. Informations nutritionnelles moyennes pour 100 m</v>
      </c>
      <c r="CE103" s="10" t="str">
        <f t="shared" si="91"/>
        <v>l : Énergie 3 kJ/1 kcal. Cette infusion contient des quantités négligeables de matières grasses dont acides gras saturés, de glucides dont sucres, de protéines et de sel.</v>
      </c>
      <c r="CF103" s="10" t="str">
        <f t="shared" si="92"/>
        <v/>
      </c>
      <c r="CG103" s="10" t="str">
        <f t="shared" si="93"/>
        <v/>
      </c>
      <c r="CH103" s="10" t="str">
        <f t="shared" si="94"/>
        <v>Membre certifié World Fair Trade Organization, Les Jardins de Gaïa s’engagent pour un commerce plus juste et répondent aux exigences du commerce équitable. Pour en savoir plus : www.wfto.com.</v>
      </c>
      <c r="CI103" s="10" t="str">
        <f t="shared" si="95"/>
        <v/>
      </c>
      <c r="CJ103" s="10" t="str">
        <f t="shared" si="96"/>
        <v/>
      </c>
      <c r="CK103" s="10" t="str">
        <f t="shared" si="97"/>
        <v/>
      </c>
      <c r="CL103" s="10" t="str">
        <f t="shared" si="98"/>
        <v>This infusion of mate, mint and spices with sweet aniseed notes makes a particularly original and fresh drink. Stimulating, easily digested and cleansing, it makes it easy to control your weight and keep your energy up throughout the day.</v>
      </c>
      <c r="CM103" s="10" t="str">
        <f t="shared" si="99"/>
        <v/>
      </c>
      <c r="CN103" s="10" t="str">
        <f t="shared" si="100"/>
        <v/>
      </c>
      <c r="CO103" s="10" t="str">
        <f t="shared" si="101"/>
        <v/>
      </c>
      <c r="CP103" s="10" t="str">
        <f t="shared" si="102"/>
        <v>Ingredients: green mate* (Ilex paraguariensis), spices (caraway*, fennel*, anise*, peppermint*, coriander*) 48%. *From organic farming.</v>
      </c>
      <c r="CQ103" s="10" t="str">
        <f t="shared" si="103"/>
        <v/>
      </c>
      <c r="CR103" s="10" t="str">
        <f t="shared" si="104"/>
        <v/>
      </c>
      <c r="CS103" s="10" t="str">
        <f t="shared" si="105"/>
        <v/>
      </c>
      <c r="CT103" s="10" t="str">
        <f t="shared" si="106"/>
        <v>Recommended daily consumption: 3 cups of 25 cl. 
A healthy lifestyle and a varied, balanced diet are recommended to fully benefit from the properties of this infusion. Average nutritional information per 100 ml: Energy 3 kJ/1 kcal. This herbal tea co</v>
      </c>
      <c r="CU103" s="10" t="str">
        <f t="shared" si="107"/>
        <v>ntains negligible amounts of fats (including saturated fats), carbohydrates (including sugars), proteins and salt.</v>
      </c>
      <c r="CV103" s="10" t="str">
        <f t="shared" si="108"/>
        <v/>
      </c>
      <c r="CW103" s="10" t="str">
        <f t="shared" si="109"/>
        <v/>
      </c>
    </row>
    <row r="104" spans="1:101" ht="115.2">
      <c r="A104" s="129" t="s">
        <v>544</v>
      </c>
      <c r="B104" s="9" t="s">
        <v>777</v>
      </c>
      <c r="C104" s="9" t="s">
        <v>39</v>
      </c>
      <c r="D104" s="8" t="s">
        <v>540</v>
      </c>
      <c r="E104" s="9" t="s">
        <v>541</v>
      </c>
      <c r="F104" s="9" t="s">
        <v>535</v>
      </c>
      <c r="G104" s="10" t="s">
        <v>363</v>
      </c>
      <c r="H104" s="10" t="s">
        <v>5</v>
      </c>
      <c r="I104" s="10" t="s">
        <v>6</v>
      </c>
      <c r="J104" s="10" t="s">
        <v>29</v>
      </c>
      <c r="K104" s="10" t="s">
        <v>29</v>
      </c>
      <c r="L104" s="10" t="s">
        <v>29</v>
      </c>
      <c r="M104" s="10" t="s">
        <v>29</v>
      </c>
      <c r="N104" s="10" t="s">
        <v>37</v>
      </c>
      <c r="O104" s="9"/>
      <c r="P104" s="9" t="s">
        <v>542</v>
      </c>
      <c r="Q104" s="9" t="s">
        <v>1080</v>
      </c>
      <c r="R104" s="9"/>
      <c r="S104" s="9"/>
      <c r="T104" s="24" t="s">
        <v>543</v>
      </c>
      <c r="U104" s="24"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04" s="9" t="s">
        <v>41</v>
      </c>
      <c r="W104" s="9" t="s">
        <v>31</v>
      </c>
      <c r="X104" s="10">
        <v>100</v>
      </c>
      <c r="Y104" s="11" t="s">
        <v>49</v>
      </c>
      <c r="Z104" s="19">
        <v>95</v>
      </c>
      <c r="AA104" s="10">
        <v>2</v>
      </c>
      <c r="AB104" s="10">
        <v>50</v>
      </c>
      <c r="AC104" s="12">
        <v>3582811030225</v>
      </c>
      <c r="AD104" s="10" t="s">
        <v>29</v>
      </c>
      <c r="AE104" s="10" t="s">
        <v>1738</v>
      </c>
      <c r="AF104" s="10" t="s">
        <v>1081</v>
      </c>
      <c r="AG104" s="10" t="s">
        <v>1082</v>
      </c>
      <c r="AH104" s="13" t="s">
        <v>38</v>
      </c>
      <c r="AI104" s="54" t="s">
        <v>776</v>
      </c>
      <c r="AJ104" s="54" t="s">
        <v>776</v>
      </c>
      <c r="AK104" s="55">
        <v>45692</v>
      </c>
      <c r="AL104" s="10"/>
      <c r="AM104" s="10">
        <v>25022</v>
      </c>
      <c r="AN104" s="10"/>
      <c r="AO104" s="50" t="s">
        <v>774</v>
      </c>
      <c r="AP104" s="50" t="s">
        <v>1595</v>
      </c>
      <c r="AQ104" s="51" t="s">
        <v>1315</v>
      </c>
      <c r="AR104" s="51" t="s">
        <v>1316</v>
      </c>
      <c r="AS104" s="87" t="s">
        <v>1552</v>
      </c>
      <c r="AT104" s="87" t="e">
        <f>VLOOKUP(A104,TRADS,14,0)</f>
        <v>#REF!</v>
      </c>
      <c r="AU104" s="141" t="s">
        <v>1750</v>
      </c>
      <c r="AV104" s="87" t="s">
        <v>1751</v>
      </c>
      <c r="AW104" s="87"/>
      <c r="AX104" s="116" t="s">
        <v>1821</v>
      </c>
      <c r="AY104" s="51" t="s">
        <v>1269</v>
      </c>
      <c r="AZ104" s="51" t="s">
        <v>1270</v>
      </c>
      <c r="BA104" s="51">
        <v>0</v>
      </c>
      <c r="BB104" s="51" t="s">
        <v>1642</v>
      </c>
      <c r="BC104" s="51" t="s">
        <v>1573</v>
      </c>
      <c r="BD104" s="51" t="s">
        <v>1287</v>
      </c>
      <c r="BE104" s="51"/>
      <c r="BF104" s="92"/>
      <c r="BG104" s="92"/>
      <c r="BH104" s="92"/>
      <c r="BI104" s="92"/>
      <c r="BJ104" s="92"/>
      <c r="BK104" s="92"/>
      <c r="BL104" s="92"/>
      <c r="BN104" s="7" t="str">
        <f>IF(IFERROR(FIND("romatis",TableauJDG[[#This Row],[TYPE DE THÉ FR]]),0)=0,"","aromatisé")</f>
        <v/>
      </c>
      <c r="BV104" s="10" t="str">
        <f t="shared" si="110"/>
        <v>Dans cette tisane digestive, l'alliance de menthe et de réglisse apporte à la plus populaire boisson sud-américaine un zeste de fraîcheur et de rondeur. Les vertus digestives de la menthe et drainantes du maté sont particulièrement bienvenues en fi</v>
      </c>
      <c r="BW104" s="10" t="str">
        <f t="shared" si="111"/>
        <v>n de repas. À savourer chaude ou glacée.</v>
      </c>
      <c r="BX104" s="10" t="str">
        <f t="shared" si="84"/>
        <v/>
      </c>
      <c r="BY104" s="10" t="str">
        <f t="shared" si="85"/>
        <v/>
      </c>
      <c r="BZ104" s="10" t="str">
        <f t="shared" si="86"/>
        <v>Ingrédients : maté vert* (Ilex paraguariensis), menthe* 18%, réglisse* 15%. *Issu de l'agriculture biologique. Contient de la réglisse, les personnes souffrant d'hypertension doivent éviter toute consommation excessive.</v>
      </c>
      <c r="CA104" s="10" t="str">
        <f t="shared" si="87"/>
        <v/>
      </c>
      <c r="CB104" s="10" t="str">
        <f t="shared" si="88"/>
        <v/>
      </c>
      <c r="CC104" s="10" t="str">
        <f t="shared" si="89"/>
        <v/>
      </c>
      <c r="CD104" s="10" t="str">
        <f t="shared" si="90"/>
        <v>Consommation journalière conseillée : 3 tasses de 25 cl.
Il est recommandé d'adopter un mode de vie sain et une alimentation variée et équilibrée pour profiter pleinement des vertus de cette infusion. Informations nutritionnelles moyennes pour 100 m</v>
      </c>
      <c r="CE104" s="10" t="str">
        <f t="shared" si="91"/>
        <v>l : Énergie 3 kJ/1 kcal. Cette infusion contient des quantités négligeables de matières grasses dont acides gras saturés, de glucides dont sucres, de protéines et de sel.</v>
      </c>
      <c r="CF104" s="10" t="str">
        <f t="shared" si="92"/>
        <v/>
      </c>
      <c r="CG104" s="10" t="str">
        <f t="shared" si="93"/>
        <v/>
      </c>
      <c r="CH104" s="10" t="str">
        <f t="shared" si="94"/>
        <v>Membre certifié World Fair Trade Organization, Les Jardins de Gaïa s’engagent pour un commerce plus juste et répondent aux exigences du commerce équitable. Pour en savoir plus : www.wfto.com.</v>
      </c>
      <c r="CI104" s="10" t="str">
        <f t="shared" si="95"/>
        <v/>
      </c>
      <c r="CJ104" s="10" t="str">
        <f t="shared" si="96"/>
        <v/>
      </c>
      <c r="CK104" s="10" t="str">
        <f t="shared" si="97"/>
        <v/>
      </c>
      <c r="CL104" s="10" t="str">
        <f t="shared" si="98"/>
        <v>In this digestive herbal tea, the combination of mint and liquorice gives South America's most popular drink a zest of freshness and roundness. The digestive qualities of mint and the cleansing properties of mate are particularly welcome at the end o</v>
      </c>
      <c r="CM104" s="10" t="str">
        <f t="shared" si="99"/>
        <v>f a meal. Enjoy hot or iced.</v>
      </c>
      <c r="CN104" s="10" t="str">
        <f t="shared" si="100"/>
        <v/>
      </c>
      <c r="CO104" s="10" t="str">
        <f t="shared" si="101"/>
        <v/>
      </c>
      <c r="CP104" s="10" t="str">
        <f t="shared" si="102"/>
        <v>Ingredients: green mate* (Ilex paraguariensis), spearmint* 18%, liquorice* 15%. *From organic farming. Contains liquorice: people suffering from hypertension should avoid excessive consumption.</v>
      </c>
      <c r="CQ104" s="10" t="str">
        <f t="shared" si="103"/>
        <v/>
      </c>
      <c r="CR104" s="10" t="str">
        <f t="shared" si="104"/>
        <v/>
      </c>
      <c r="CS104" s="10" t="str">
        <f t="shared" si="105"/>
        <v/>
      </c>
      <c r="CT104" s="10" t="str">
        <f t="shared" si="106"/>
        <v>Recommended daily consumption: 3 cups of 25 cl. A healthy lifestyle and a varied, balanced diet are recommended to fully benefit from the properties of this infusion. Average nutritional information per 100 ml: Energy 3 kJ/1 kcal. This herbal tea con</v>
      </c>
      <c r="CU104" s="10" t="str">
        <f t="shared" si="107"/>
        <v>tains negligible amounts of fats (including saturated fats), carbohydrates (including sugars), proteins and salt.</v>
      </c>
      <c r="CV104" s="10" t="str">
        <f t="shared" si="108"/>
        <v/>
      </c>
      <c r="CW104" s="10" t="str">
        <f t="shared" si="109"/>
        <v/>
      </c>
    </row>
    <row r="105" spans="1:101" ht="100.8">
      <c r="A105" s="129" t="s">
        <v>549</v>
      </c>
      <c r="B105" s="9" t="s">
        <v>777</v>
      </c>
      <c r="C105" s="9" t="s">
        <v>39</v>
      </c>
      <c r="D105" s="8" t="s">
        <v>545</v>
      </c>
      <c r="E105" s="9" t="s">
        <v>546</v>
      </c>
      <c r="F105" s="9" t="s">
        <v>362</v>
      </c>
      <c r="G105" s="10" t="s">
        <v>363</v>
      </c>
      <c r="H105" s="10" t="s">
        <v>5</v>
      </c>
      <c r="I105" s="10" t="s">
        <v>6</v>
      </c>
      <c r="J105" s="10" t="s">
        <v>29</v>
      </c>
      <c r="K105" s="10" t="s">
        <v>29</v>
      </c>
      <c r="L105" s="10" t="s">
        <v>29</v>
      </c>
      <c r="M105" s="10" t="s">
        <v>29</v>
      </c>
      <c r="N105" s="10" t="s">
        <v>37</v>
      </c>
      <c r="O105" s="9"/>
      <c r="P105" s="9" t="s">
        <v>547</v>
      </c>
      <c r="Q105" s="9" t="s">
        <v>1083</v>
      </c>
      <c r="R105" s="9"/>
      <c r="S105" s="9"/>
      <c r="T105" s="9" t="s">
        <v>548</v>
      </c>
      <c r="U105"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05" s="9" t="s">
        <v>366</v>
      </c>
      <c r="W105" s="9" t="s">
        <v>31</v>
      </c>
      <c r="X105" s="10">
        <v>100</v>
      </c>
      <c r="Y105" s="11" t="s">
        <v>49</v>
      </c>
      <c r="Z105" s="19">
        <v>95</v>
      </c>
      <c r="AA105" s="10">
        <v>2</v>
      </c>
      <c r="AB105" s="10">
        <v>50</v>
      </c>
      <c r="AC105" s="12">
        <v>3582811026327</v>
      </c>
      <c r="AD105" s="10" t="s">
        <v>29</v>
      </c>
      <c r="AE105" s="10" t="s">
        <v>550</v>
      </c>
      <c r="AF105" s="10" t="s">
        <v>1084</v>
      </c>
      <c r="AG105" s="10" t="s">
        <v>1085</v>
      </c>
      <c r="AH105" s="13" t="s">
        <v>38</v>
      </c>
      <c r="AI105" s="54" t="s">
        <v>776</v>
      </c>
      <c r="AJ105" s="54" t="s">
        <v>776</v>
      </c>
      <c r="AK105" s="55">
        <v>45708</v>
      </c>
      <c r="AL105" s="10"/>
      <c r="AM105" s="10">
        <v>25049</v>
      </c>
      <c r="AN105" s="10"/>
      <c r="AO105" s="10"/>
      <c r="AP105" s="10"/>
      <c r="AQ105" s="51" t="s">
        <v>1307</v>
      </c>
      <c r="AR105" s="51" t="s">
        <v>1308</v>
      </c>
      <c r="AS105" s="82" t="s">
        <v>1553</v>
      </c>
      <c r="AT105" s="9" t="s">
        <v>1303</v>
      </c>
      <c r="AU105" s="140" t="s">
        <v>1309</v>
      </c>
      <c r="AV105" s="82" t="s">
        <v>1310</v>
      </c>
      <c r="AW105" s="52"/>
      <c r="AX105" s="74" t="s">
        <v>1822</v>
      </c>
      <c r="AY105" s="51"/>
      <c r="AZ105" s="51"/>
      <c r="BA105" s="51"/>
      <c r="BB105" s="51"/>
      <c r="BC105" s="51"/>
      <c r="BD105" s="51"/>
      <c r="BE105" s="51"/>
      <c r="BF105" s="92"/>
      <c r="BG105" s="92"/>
      <c r="BH105" s="92"/>
      <c r="BI105" s="92"/>
      <c r="BJ105" s="92"/>
      <c r="BK105" s="92"/>
      <c r="BL105" s="92"/>
      <c r="BN105" s="7" t="str">
        <f>IF(IFERROR(FIND("romatis",TableauJDG[[#This Row],[TYPE DE THÉ FR]]),0)=0,"","aromatisé")</f>
        <v>aromatisé</v>
      </c>
      <c r="BV105" s="10" t="str">
        <f t="shared" si="110"/>
        <v>L'alliance des notes fraîches et herbacées du maté avec les saveurs acidulées d'un "panier de fruits" offre une infusion particulièrement intense et gourmande. Cette boisson tonique et drainante est la promesse de moments savoureux tout en éloignan</v>
      </c>
      <c r="BW105" s="10" t="str">
        <f t="shared" si="111"/>
        <v>t fatigue et kilos superflus…</v>
      </c>
      <c r="BX105" s="10" t="str">
        <f t="shared" si="84"/>
        <v/>
      </c>
      <c r="BY105" s="10" t="str">
        <f t="shared" si="85"/>
        <v/>
      </c>
      <c r="BZ105" s="10" t="str">
        <f t="shared" si="86"/>
        <v>Ingrédients : maté vert* (Ilex paraguariensis) 76%, morceaux de pomme*, écorces d’orange* 5%, écorce d’églantine*, huiles essentielles d'agrumes (citron*, orange douce*, mandarine*) 5%. * Issu de l’agriculture biologique.</v>
      </c>
      <c r="CA105" s="10" t="str">
        <f t="shared" si="87"/>
        <v/>
      </c>
      <c r="CB105" s="10" t="str">
        <f t="shared" si="88"/>
        <v/>
      </c>
      <c r="CC105" s="10" t="str">
        <f t="shared" si="89"/>
        <v/>
      </c>
      <c r="CD105" s="10" t="str">
        <f t="shared" si="90"/>
        <v>Consommation journalière conseillée : 4 tasses de 25 cl.
Il est recommandé d'adopter un mode de vie sain et une alimentation variée et équilibrée pour profiter pleinement des vertus de cette infusion. Informations nutritionnelles moyennes pour 100 m</v>
      </c>
      <c r="CE105" s="10" t="str">
        <f t="shared" si="91"/>
        <v>l : Énergie 3 kJ/1 kcal. Cette infusion contient des quantités négligeables de matières grasses dont acides gras saturés, de glucides dont sucres, de protéines et de sel.</v>
      </c>
      <c r="CF105" s="10" t="str">
        <f t="shared" si="92"/>
        <v/>
      </c>
      <c r="CG105" s="10" t="str">
        <f t="shared" si="93"/>
        <v/>
      </c>
      <c r="CH105" s="10" t="str">
        <f t="shared" si="94"/>
        <v>Membre certifié World Fair Trade Organization, Les Jardins de Gaïa s’engagent pour un commerce plus juste et répondent aux exigences du commerce équitable. Pour en savoir plus : www.wfto.com.</v>
      </c>
      <c r="CI105" s="10" t="str">
        <f t="shared" si="95"/>
        <v/>
      </c>
      <c r="CJ105" s="10" t="str">
        <f t="shared" si="96"/>
        <v/>
      </c>
      <c r="CK105" s="10" t="str">
        <f t="shared" si="97"/>
        <v/>
      </c>
      <c r="CL105" s="10" t="str">
        <f t="shared" si="98"/>
        <v>The combination of the fresh, herbaceous notes of mate with the tangy flavours of a "fruit basket" creates a particularly intense, gourmet infusion. This invigorating, cleansing drink promises tasty moments while keeping fatigue and excess weight a</v>
      </c>
      <c r="CM105" s="10" t="str">
        <f t="shared" si="99"/>
        <v>t bay...</v>
      </c>
      <c r="CN105" s="10" t="str">
        <f t="shared" si="100"/>
        <v/>
      </c>
      <c r="CO105" s="10" t="str">
        <f t="shared" si="101"/>
        <v/>
      </c>
      <c r="CP105" s="10" t="str">
        <f t="shared" si="102"/>
        <v>Ingredients: green mate* (Ilex paraguariensis) 76%, apple pieces*, orange peels* 5%, rosehip*, essential oils (lemon*, sweet orange*, mandarin*) 5%.*From organic farming.</v>
      </c>
      <c r="CQ105" s="10" t="str">
        <f t="shared" si="103"/>
        <v/>
      </c>
      <c r="CR105" s="10" t="str">
        <f t="shared" si="104"/>
        <v/>
      </c>
      <c r="CS105" s="10" t="str">
        <f t="shared" si="105"/>
        <v/>
      </c>
      <c r="CT105" s="10" t="str">
        <f t="shared" si="106"/>
        <v>Recommended daily consumption: 4 cups of 25 cl. A healthy lifestyle and a varied, balanced diet are recommended to fully benefit from the properties of this infusion. Average nutritional information per 100 ml: Energy 3 kJ/1 kcal. This herbal tea con</v>
      </c>
      <c r="CU105" s="10" t="str">
        <f t="shared" si="107"/>
        <v>tains negligible amounts of fats (including saturated fats), carbohydrates (including sugars), proteins and salt.</v>
      </c>
      <c r="CV105" s="10" t="str">
        <f t="shared" si="108"/>
        <v/>
      </c>
      <c r="CW105" s="10" t="str">
        <f t="shared" si="109"/>
        <v/>
      </c>
    </row>
    <row r="106" spans="1:101" ht="100.8">
      <c r="A106" s="129" t="s">
        <v>555</v>
      </c>
      <c r="B106" s="9" t="s">
        <v>777</v>
      </c>
      <c r="C106" s="9" t="s">
        <v>39</v>
      </c>
      <c r="D106" s="8" t="s">
        <v>551</v>
      </c>
      <c r="E106" s="9" t="s">
        <v>552</v>
      </c>
      <c r="F106" s="9" t="s">
        <v>362</v>
      </c>
      <c r="G106" s="10" t="s">
        <v>363</v>
      </c>
      <c r="H106" s="10" t="s">
        <v>5</v>
      </c>
      <c r="I106" s="10" t="s">
        <v>6</v>
      </c>
      <c r="J106" s="10" t="s">
        <v>29</v>
      </c>
      <c r="K106" s="10" t="s">
        <v>29</v>
      </c>
      <c r="L106" s="10" t="s">
        <v>29</v>
      </c>
      <c r="M106" s="10" t="s">
        <v>29</v>
      </c>
      <c r="N106" s="10" t="s">
        <v>37</v>
      </c>
      <c r="O106" s="9"/>
      <c r="P106" s="9" t="s">
        <v>553</v>
      </c>
      <c r="Q106" s="9" t="s">
        <v>1086</v>
      </c>
      <c r="R106" s="9"/>
      <c r="S106" s="9"/>
      <c r="T106" s="24" t="s">
        <v>554</v>
      </c>
      <c r="U106" s="24"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06" s="9" t="s">
        <v>41</v>
      </c>
      <c r="W106" s="9" t="s">
        <v>31</v>
      </c>
      <c r="X106" s="10">
        <v>100</v>
      </c>
      <c r="Y106" s="11" t="s">
        <v>49</v>
      </c>
      <c r="Z106" s="19">
        <v>95</v>
      </c>
      <c r="AA106" s="10">
        <v>2</v>
      </c>
      <c r="AB106" s="10">
        <v>50</v>
      </c>
      <c r="AC106" s="12">
        <v>3582811026426</v>
      </c>
      <c r="AD106" s="10" t="s">
        <v>29</v>
      </c>
      <c r="AE106" s="10" t="s">
        <v>1087</v>
      </c>
      <c r="AF106" s="10" t="s">
        <v>1087</v>
      </c>
      <c r="AG106" s="10" t="s">
        <v>1088</v>
      </c>
      <c r="AH106" s="13" t="s">
        <v>38</v>
      </c>
      <c r="AI106" s="54" t="s">
        <v>776</v>
      </c>
      <c r="AJ106" s="54" t="s">
        <v>776</v>
      </c>
      <c r="AK106" s="55">
        <v>45701</v>
      </c>
      <c r="AL106" s="10"/>
      <c r="AM106" s="10" t="s">
        <v>1677</v>
      </c>
      <c r="AN106" s="10"/>
      <c r="AO106" s="10"/>
      <c r="AP106" s="10"/>
      <c r="AQ106" s="51" t="s">
        <v>1311</v>
      </c>
      <c r="AR106" s="51" t="s">
        <v>1312</v>
      </c>
      <c r="AS106" s="82" t="s">
        <v>1553</v>
      </c>
      <c r="AT106" s="9" t="s">
        <v>1303</v>
      </c>
      <c r="AU106" s="140" t="s">
        <v>1313</v>
      </c>
      <c r="AV106" s="82" t="s">
        <v>1314</v>
      </c>
      <c r="AW106" s="52"/>
      <c r="AX106" s="74" t="s">
        <v>1820</v>
      </c>
      <c r="AY106" s="51"/>
      <c r="AZ106" s="51"/>
      <c r="BA106" s="51"/>
      <c r="BB106" s="51"/>
      <c r="BC106" s="51"/>
      <c r="BD106" s="51"/>
      <c r="BE106" s="51"/>
      <c r="BF106" s="92"/>
      <c r="BG106" s="92"/>
      <c r="BH106" s="92"/>
      <c r="BI106" s="92"/>
      <c r="BJ106" s="92"/>
      <c r="BK106" s="92"/>
      <c r="BL106" s="92"/>
      <c r="BN106" s="7" t="str">
        <f>IF(IFERROR(FIND("romatis",TableauJDG[[#This Row],[TYPE DE THÉ FR]]),0)=0,"","aromatisé")</f>
        <v>aromatisé</v>
      </c>
      <c r="BV106" s="10" t="str">
        <f t="shared" si="110"/>
        <v>Le mariage gourmand des saveurs herbacées et légèrement amères du maté avec celles d'une "corbeille" de fruits rouges font le charme de cette infusion fraîche et fruitée. Tonique et drainante, elle est idéale pour éloigner la fatigue tout en gardan</v>
      </c>
      <c r="BW106" s="10" t="str">
        <f t="shared" si="111"/>
        <v>t la ligne. À déguster chaude ou glacée.</v>
      </c>
      <c r="BX106" s="10" t="str">
        <f t="shared" si="84"/>
        <v/>
      </c>
      <c r="BY106" s="10" t="str">
        <f t="shared" si="85"/>
        <v/>
      </c>
      <c r="BZ106" s="10" t="str">
        <f t="shared" si="86"/>
        <v>Ingrédients : maté vert* (Ilex paraguariensis) 87%, arômes naturels de (framboise* 3%, cassis*, myrtille* 2%, fraise* 1%, mûre*), morceaux de fruits (fraise*, framboise*) 2%, aronia*, pétales d'amarante*. *Issu de l'agriculture biologique.</v>
      </c>
      <c r="CA106" s="10" t="str">
        <f t="shared" si="87"/>
        <v/>
      </c>
      <c r="CB106" s="10" t="str">
        <f t="shared" si="88"/>
        <v/>
      </c>
      <c r="CC106" s="10" t="str">
        <f t="shared" si="89"/>
        <v/>
      </c>
      <c r="CD106" s="10" t="str">
        <f t="shared" si="90"/>
        <v>Consommation journalière conseillée : 3 tasses de 25 cl.
Il est recommandé d'adopter un mode de vie sain et une alimentation variée et équilibrée pour profiter pleinement des vertus de cette infusion. Informations nutritionnelles moyennes pour 100 m</v>
      </c>
      <c r="CE106" s="10" t="str">
        <f t="shared" si="91"/>
        <v>l : Énergie 3 kJ/1 kcal. Cette infusion contient des quantités négligeables de matières grasses dont acides gras saturés, de glucides dont sucres, de protéines et de sel.</v>
      </c>
      <c r="CF106" s="10" t="str">
        <f t="shared" si="92"/>
        <v/>
      </c>
      <c r="CG106" s="10" t="str">
        <f t="shared" si="93"/>
        <v/>
      </c>
      <c r="CH106" s="10" t="str">
        <f t="shared" si="94"/>
        <v>Membre certifié World Fair Trade Organization, Les Jardins de Gaïa s’engagent pour un commerce plus juste et répondent aux exigences du commerce équitable. Pour en savoir plus : www.wfto.com.</v>
      </c>
      <c r="CI106" s="10" t="str">
        <f t="shared" si="95"/>
        <v/>
      </c>
      <c r="CJ106" s="10" t="str">
        <f t="shared" si="96"/>
        <v/>
      </c>
      <c r="CK106" s="10" t="str">
        <f t="shared" si="97"/>
        <v/>
      </c>
      <c r="CL106" s="10" t="str">
        <f t="shared" si="98"/>
        <v>The sweet marriage of the herbaceous, slightly bitter flavours of mate with those of a "basket" of red berries make this fresh, fruity infusion so charming. Tonic and cleansing, it's ideal for warding off fatigue while staying fit. Enjoy hot or iced.</v>
      </c>
      <c r="CM106" s="10" t="str">
        <f t="shared" si="99"/>
        <v/>
      </c>
      <c r="CN106" s="10" t="str">
        <f t="shared" si="100"/>
        <v/>
      </c>
      <c r="CO106" s="10" t="str">
        <f t="shared" si="101"/>
        <v/>
      </c>
      <c r="CP106" s="10" t="str">
        <f t="shared" si="102"/>
        <v>Ingredients: green mate* (Ilex paraguariensis) 87%, natural (raspberry* 3%, blackcurrent*, blueberry* 2%, strawberry* 1%, blackberry*) flavourings, fruits pieces (strawberry*, raspberry*) 2%, aronia*, amaranth*. *From organic farming.</v>
      </c>
      <c r="CQ106" s="10" t="str">
        <f t="shared" si="103"/>
        <v/>
      </c>
      <c r="CR106" s="10" t="str">
        <f t="shared" si="104"/>
        <v/>
      </c>
      <c r="CS106" s="10" t="str">
        <f t="shared" si="105"/>
        <v/>
      </c>
      <c r="CT106" s="10" t="str">
        <f t="shared" si="106"/>
        <v>Recommended daily consumption: 3 cups of 25 cl. 
A healthy lifestyle and a varied, balanced diet are recommended to fully benefit from the properties of this infusion. Average nutritional information per 100 ml: Energy 3 kJ/1 kcal. This herbal tea co</v>
      </c>
      <c r="CU106" s="10" t="str">
        <f t="shared" si="107"/>
        <v>ntains negligible amounts of fats (including saturated fats), carbohydrates (including sugars), proteins and salt.</v>
      </c>
      <c r="CV106" s="10" t="str">
        <f t="shared" si="108"/>
        <v/>
      </c>
      <c r="CW106" s="10" t="str">
        <f t="shared" si="109"/>
        <v/>
      </c>
    </row>
    <row r="107" spans="1:101" ht="100.8">
      <c r="A107" s="130" t="s">
        <v>1905</v>
      </c>
      <c r="B107" s="9" t="s">
        <v>777</v>
      </c>
      <c r="C107" s="9" t="s">
        <v>39</v>
      </c>
      <c r="D107" s="18" t="s">
        <v>1889</v>
      </c>
      <c r="E107" s="24" t="s">
        <v>1892</v>
      </c>
      <c r="F107" s="9" t="s">
        <v>362</v>
      </c>
      <c r="G107" s="10"/>
      <c r="H107" s="10" t="s">
        <v>5</v>
      </c>
      <c r="I107" s="10" t="s">
        <v>6</v>
      </c>
      <c r="J107" s="10" t="s">
        <v>29</v>
      </c>
      <c r="K107" s="10" t="s">
        <v>29</v>
      </c>
      <c r="L107" s="10" t="s">
        <v>29</v>
      </c>
      <c r="M107" s="10" t="s">
        <v>29</v>
      </c>
      <c r="N107" s="10" t="s">
        <v>37</v>
      </c>
      <c r="O107" s="9"/>
      <c r="P107" s="9"/>
      <c r="Q107" s="98" t="s">
        <v>1893</v>
      </c>
      <c r="R107" s="9"/>
      <c r="S107" s="9"/>
      <c r="T107" s="24" t="s">
        <v>1911</v>
      </c>
      <c r="U107" s="24"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07" s="24" t="s">
        <v>1894</v>
      </c>
      <c r="W107" s="9" t="s">
        <v>31</v>
      </c>
      <c r="X107" s="10">
        <v>100</v>
      </c>
      <c r="Y107" s="11" t="s">
        <v>59</v>
      </c>
      <c r="Z107" s="19">
        <v>95</v>
      </c>
      <c r="AA107" s="10">
        <v>2</v>
      </c>
      <c r="AB107" s="10">
        <v>50</v>
      </c>
      <c r="AC107" s="12">
        <v>3582811226529</v>
      </c>
      <c r="AD107" s="10" t="s">
        <v>29</v>
      </c>
      <c r="AE107" s="10"/>
      <c r="AF107" s="20" t="s">
        <v>1906</v>
      </c>
      <c r="AG107" s="20" t="s">
        <v>1907</v>
      </c>
      <c r="AH107" s="20" t="s">
        <v>38</v>
      </c>
      <c r="AI107" s="54"/>
      <c r="AJ107" s="54"/>
      <c r="AK107" s="55"/>
      <c r="AL107" s="10"/>
      <c r="AM107" s="10"/>
      <c r="AN107" s="10"/>
      <c r="AO107" s="10"/>
      <c r="AP107" s="10"/>
      <c r="AQ107" s="51" t="s">
        <v>1930</v>
      </c>
      <c r="AR107" s="51" t="s">
        <v>1931</v>
      </c>
      <c r="AS107" s="82" t="s">
        <v>1553</v>
      </c>
      <c r="AT107" s="9"/>
      <c r="AU107" s="96"/>
      <c r="AV107" s="82"/>
      <c r="AW107" s="52"/>
      <c r="AX107" s="74"/>
      <c r="AY107" s="51"/>
      <c r="AZ107" s="51"/>
      <c r="BA107" s="51"/>
      <c r="BB107" s="51"/>
      <c r="BC107" s="51"/>
      <c r="BD107" s="51"/>
      <c r="BE107" s="51"/>
      <c r="BF107" s="92"/>
      <c r="BG107" s="92"/>
      <c r="BH107" s="92"/>
      <c r="BI107" s="92"/>
      <c r="BJ107" s="92"/>
      <c r="BK107" s="92"/>
      <c r="BL107" s="92"/>
      <c r="BN107" s="7" t="str">
        <f>IF(IFERROR(FIND("romatis",TableauJDG[[#This Row],[TYPE DE THÉ FR]]),0)=0,"","aromatisé")</f>
        <v>aromatisé</v>
      </c>
      <c r="BV107" s="10" t="str">
        <f t="shared" si="110"/>
        <v>Naturellement stimulante, cette recette à base de maté vous accompagnera avec saveurs lors de vos séances de sport. Au programme : une attaque tonique sur le duo maté-gingembre suivie de jolies notes fruitées d’orange sanguine que vient souligner un</v>
      </c>
      <c r="BW107" s="10" t="str">
        <f t="shared" si="111"/>
        <v>e longue finale mentholée tout en fraîcheur.</v>
      </c>
      <c r="BX107" s="10" t="str">
        <f t="shared" si="84"/>
        <v/>
      </c>
      <c r="BY107" s="10" t="str">
        <f t="shared" si="85"/>
        <v/>
      </c>
      <c r="BZ107" s="10" t="str">
        <f t="shared" si="86"/>
        <v>Ingrédients : maté vert*(Ilex paraguariensis) 62%, gingembre* 15,5%, guarana* 6%, hibiscus* 6%, menthe poivrée*, huile essentielle d'orange sanguine* 4%, ginseng* 2%, stevia*. *Issu de l'agriculture biologique.</v>
      </c>
      <c r="CA107" s="10" t="str">
        <f t="shared" si="87"/>
        <v/>
      </c>
      <c r="CB107" s="10" t="str">
        <f t="shared" si="88"/>
        <v/>
      </c>
      <c r="CC107" s="10" t="str">
        <f t="shared" si="89"/>
        <v/>
      </c>
      <c r="CD107" s="10" t="str">
        <f t="shared" si="90"/>
        <v>Consommation journalière conseillée : 3 tasses de 25 cl.
Il est recommandé d'adopter un mode de vie sain et une alimentation variée et équilibrée pour profiter pleinement des vertus de cette infusion. Informations nutritionnelles moyennes pour 100 m</v>
      </c>
      <c r="CE107" s="10" t="str">
        <f t="shared" si="91"/>
        <v>l : Énergie 3 kJ/1 kcal. Cette infusion contient des quantités négligeables de matières grasses dont acides gras saturés, de glucides dont sucres, de protéines et de sel.</v>
      </c>
      <c r="CF107" s="10" t="str">
        <f t="shared" si="92"/>
        <v/>
      </c>
      <c r="CG107" s="10" t="str">
        <f t="shared" si="93"/>
        <v/>
      </c>
      <c r="CH107" s="10" t="str">
        <f t="shared" si="94"/>
        <v>Membre certifié World Fair Trade Organization, Les Jardins de Gaïa s’engagent pour un commerce plus juste et répondent aux exigences du commerce équitable. Pour en savoir plus : www.wfto.com.</v>
      </c>
      <c r="CI107" s="10" t="str">
        <f t="shared" si="95"/>
        <v/>
      </c>
      <c r="CJ107" s="10" t="str">
        <f t="shared" si="96"/>
        <v/>
      </c>
      <c r="CK107" s="10" t="str">
        <f t="shared" si="97"/>
        <v/>
      </c>
      <c r="CL107" s="10" t="str">
        <f t="shared" si="98"/>
        <v/>
      </c>
      <c r="CM107" s="10" t="str">
        <f t="shared" si="99"/>
        <v/>
      </c>
      <c r="CN107" s="10" t="str">
        <f t="shared" si="100"/>
        <v/>
      </c>
      <c r="CO107" s="10" t="str">
        <f t="shared" si="101"/>
        <v/>
      </c>
      <c r="CP107" s="10" t="str">
        <f t="shared" si="102"/>
        <v/>
      </c>
      <c r="CQ107" s="10" t="str">
        <f t="shared" si="103"/>
        <v/>
      </c>
      <c r="CR107" s="10" t="str">
        <f t="shared" si="104"/>
        <v/>
      </c>
      <c r="CS107" s="10" t="str">
        <f t="shared" si="105"/>
        <v/>
      </c>
      <c r="CT107" s="10" t="str">
        <f t="shared" si="106"/>
        <v/>
      </c>
      <c r="CU107" s="10" t="str">
        <f t="shared" si="107"/>
        <v/>
      </c>
      <c r="CV107" s="10" t="str">
        <f t="shared" si="108"/>
        <v/>
      </c>
      <c r="CW107" s="10" t="str">
        <f t="shared" si="109"/>
        <v/>
      </c>
    </row>
    <row r="108" spans="1:101" ht="115.2">
      <c r="A108" s="129" t="s">
        <v>559</v>
      </c>
      <c r="B108" s="9" t="s">
        <v>777</v>
      </c>
      <c r="C108" s="9" t="s">
        <v>39</v>
      </c>
      <c r="D108" s="8" t="s">
        <v>556</v>
      </c>
      <c r="E108" s="9" t="s">
        <v>557</v>
      </c>
      <c r="F108" s="9" t="s">
        <v>112</v>
      </c>
      <c r="G108" s="10" t="s">
        <v>363</v>
      </c>
      <c r="H108" s="10" t="s">
        <v>5</v>
      </c>
      <c r="I108" s="10" t="s">
        <v>6</v>
      </c>
      <c r="J108" s="10" t="s">
        <v>29</v>
      </c>
      <c r="K108" s="10" t="s">
        <v>29</v>
      </c>
      <c r="L108" s="10" t="s">
        <v>29</v>
      </c>
      <c r="M108" s="10" t="s">
        <v>29</v>
      </c>
      <c r="N108" s="10" t="s">
        <v>46</v>
      </c>
      <c r="O108" s="9"/>
      <c r="P108" s="9" t="s">
        <v>1650</v>
      </c>
      <c r="Q108" s="98" t="s">
        <v>1089</v>
      </c>
      <c r="R108" s="26"/>
      <c r="S108" s="9"/>
      <c r="T108" s="9" t="s">
        <v>558</v>
      </c>
      <c r="U108"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08" s="9" t="s">
        <v>41</v>
      </c>
      <c r="W108" s="9" t="s">
        <v>31</v>
      </c>
      <c r="X108" s="10">
        <v>100</v>
      </c>
      <c r="Y108" s="11" t="s">
        <v>49</v>
      </c>
      <c r="Z108" s="19">
        <v>95</v>
      </c>
      <c r="AA108" s="10">
        <v>2</v>
      </c>
      <c r="AB108" s="10">
        <v>50</v>
      </c>
      <c r="AC108" s="12">
        <v>3582811010029</v>
      </c>
      <c r="AD108" s="10" t="s">
        <v>29</v>
      </c>
      <c r="AE108" s="10" t="s">
        <v>560</v>
      </c>
      <c r="AF108" s="10" t="s">
        <v>1090</v>
      </c>
      <c r="AG108" s="10" t="s">
        <v>1091</v>
      </c>
      <c r="AH108" s="20" t="s">
        <v>1914</v>
      </c>
      <c r="AI108" s="10"/>
      <c r="AJ108" s="54" t="s">
        <v>776</v>
      </c>
      <c r="AK108" s="55">
        <v>45636</v>
      </c>
      <c r="AL108" s="10"/>
      <c r="AM108" s="10"/>
      <c r="AN108" s="10"/>
      <c r="AO108" s="50" t="s">
        <v>774</v>
      </c>
      <c r="AP108" s="50" t="s">
        <v>1596</v>
      </c>
      <c r="AQ108" s="51" t="s">
        <v>756</v>
      </c>
      <c r="AR108" s="51" t="s">
        <v>757</v>
      </c>
      <c r="AS108" s="87" t="s">
        <v>1552</v>
      </c>
      <c r="AT108" s="87" t="e">
        <f>VLOOKUP(A108,TRADS,14,0)</f>
        <v>#REF!</v>
      </c>
      <c r="AU108" s="138" t="s">
        <v>1651</v>
      </c>
      <c r="AV108" s="16" t="s">
        <v>1225</v>
      </c>
      <c r="AW108" s="16"/>
      <c r="AX108" s="74" t="s">
        <v>1820</v>
      </c>
      <c r="AY108" s="51" t="s">
        <v>1271</v>
      </c>
      <c r="AZ108" s="51" t="s">
        <v>1272</v>
      </c>
      <c r="BA108" s="51">
        <v>0</v>
      </c>
      <c r="BB108" s="51" t="s">
        <v>1642</v>
      </c>
      <c r="BC108" s="51" t="s">
        <v>1572</v>
      </c>
      <c r="BD108" s="51" t="s">
        <v>1287</v>
      </c>
      <c r="BE108" s="51"/>
      <c r="BF108" s="92"/>
      <c r="BG108" s="92"/>
      <c r="BH108" s="92"/>
      <c r="BI108" s="92"/>
      <c r="BJ108" s="92"/>
      <c r="BK108" s="92"/>
      <c r="BL108" s="92"/>
      <c r="BM108" s="93">
        <v>1</v>
      </c>
      <c r="BN108" s="7" t="str">
        <f>IF(IFERROR(FIND("romatis",TableauJDG[[#This Row],[TYPE DE THÉ FR]]),0)=0,"","aromatisé")</f>
        <v/>
      </c>
      <c r="BV108" s="10" t="str">
        <f t="shared" si="110"/>
        <v>Le maté vert à la différence du maté classique n’a pas été affiné ce qui lui confère des saveurs moins amères. Frais et doux, il constitue une excellente porte d’entrée dans l’univers de la yerba maté. On l'apprécie pour son effet stimulant, drainan</v>
      </c>
      <c r="BW108" s="10" t="str">
        <f t="shared" si="111"/>
        <v>t et son action positive sur le contrôle du poids.</v>
      </c>
      <c r="BX108" s="10" t="str">
        <f t="shared" si="84"/>
        <v/>
      </c>
      <c r="BY108" s="10" t="str">
        <f t="shared" si="85"/>
        <v/>
      </c>
      <c r="BZ108" s="10" t="str">
        <f t="shared" si="86"/>
        <v xml:space="preserve">Ingrédient : maté vert* (Ilex paraguariensis). *Issu de l'agriculture biologique. </v>
      </c>
      <c r="CA108" s="10" t="str">
        <f t="shared" si="87"/>
        <v/>
      </c>
      <c r="CB108" s="10" t="str">
        <f t="shared" si="88"/>
        <v/>
      </c>
      <c r="CC108" s="10" t="str">
        <f t="shared" si="89"/>
        <v/>
      </c>
      <c r="CD108" s="10" t="str">
        <f t="shared" si="90"/>
        <v>Consommation journalière conseillée : 3 tasses de 25 cl.
Il est recommandé d'adopter un mode de vie sain et une alimentation variée et équilibrée pour profiter pleinement des vertus de cette infusion. Informations nutritionnelles moyennes pour 100 m</v>
      </c>
      <c r="CE108" s="10" t="str">
        <f t="shared" si="91"/>
        <v>l : Énergie 3 kJ/1 kcal. Cette infusion contient des quantités négligeables de matières grasses dont acides gras saturés, de glucides dont sucres, de protéines et de sel.</v>
      </c>
      <c r="CF108" s="10" t="str">
        <f t="shared" si="92"/>
        <v/>
      </c>
      <c r="CG108" s="10" t="str">
        <f t="shared" si="93"/>
        <v/>
      </c>
      <c r="CH108" s="10" t="str">
        <f t="shared" si="94"/>
        <v>Membre certifié World Fair Trade Organization, Les Jardins de Gaïa s’engagent pour un commerce plus juste et répondent aux exigences du commerce équitable. Pour en savoir plus : www.wfto.com.</v>
      </c>
      <c r="CI108" s="10" t="str">
        <f t="shared" si="95"/>
        <v/>
      </c>
      <c r="CJ108" s="10" t="str">
        <f t="shared" si="96"/>
        <v/>
      </c>
      <c r="CK108" s="10" t="str">
        <f t="shared" si="97"/>
        <v/>
      </c>
      <c r="CL108" s="10" t="str">
        <f t="shared" si="98"/>
        <v>Unlike classic mate, green mate has not been refined, giving it less bitter flavours. Fresh and mild, it is an excellent introduction to the world of yerba mate. It is appreciated for its stimulating, cleansing effect and its a positive effect on wei</v>
      </c>
      <c r="CM108" s="10" t="str">
        <f t="shared" si="99"/>
        <v>ght control.</v>
      </c>
      <c r="CN108" s="10" t="str">
        <f t="shared" si="100"/>
        <v/>
      </c>
      <c r="CO108" s="10" t="str">
        <f t="shared" si="101"/>
        <v/>
      </c>
      <c r="CP108" s="10" t="str">
        <f t="shared" si="102"/>
        <v xml:space="preserve">Ingredient: green mate* (Ilex paraguariensis). *From organic farming. </v>
      </c>
      <c r="CQ108" s="10" t="str">
        <f t="shared" si="103"/>
        <v/>
      </c>
      <c r="CR108" s="10" t="str">
        <f t="shared" si="104"/>
        <v/>
      </c>
      <c r="CS108" s="10" t="str">
        <f t="shared" si="105"/>
        <v/>
      </c>
      <c r="CT108" s="10" t="str">
        <f t="shared" si="106"/>
        <v>Recommended daily consumption: 3 cups of 25 cl. 
A healthy lifestyle and a varied, balanced diet are recommended to fully benefit from the properties of this infusion. Average nutritional information per 100 ml: Energy 3 kJ/1 kcal. This herbal tea co</v>
      </c>
      <c r="CU108" s="10" t="str">
        <f t="shared" si="107"/>
        <v>ntains negligible amounts of fats (including saturated fats), carbohydrates (including sugars), proteins and salt.</v>
      </c>
      <c r="CV108" s="10" t="str">
        <f t="shared" si="108"/>
        <v/>
      </c>
      <c r="CW108" s="10" t="str">
        <f t="shared" si="109"/>
        <v/>
      </c>
    </row>
    <row r="109" spans="1:101" ht="100.8">
      <c r="A109" s="129" t="s">
        <v>565</v>
      </c>
      <c r="B109" s="9" t="s">
        <v>777</v>
      </c>
      <c r="C109" s="9" t="s">
        <v>39</v>
      </c>
      <c r="D109" s="8" t="s">
        <v>561</v>
      </c>
      <c r="E109" s="9" t="s">
        <v>1092</v>
      </c>
      <c r="F109" s="9" t="s">
        <v>86</v>
      </c>
      <c r="G109" s="10" t="s">
        <v>562</v>
      </c>
      <c r="H109" s="10" t="s">
        <v>5</v>
      </c>
      <c r="I109" s="10" t="s">
        <v>29</v>
      </c>
      <c r="J109" s="10" t="s">
        <v>29</v>
      </c>
      <c r="K109" s="10" t="s">
        <v>29</v>
      </c>
      <c r="L109" s="10" t="s">
        <v>29</v>
      </c>
      <c r="M109" s="10" t="s">
        <v>29</v>
      </c>
      <c r="N109" s="10" t="s">
        <v>85</v>
      </c>
      <c r="O109" s="9"/>
      <c r="P109" s="9" t="s">
        <v>563</v>
      </c>
      <c r="Q109" s="9" t="s">
        <v>1093</v>
      </c>
      <c r="R109" s="9"/>
      <c r="S109" s="9"/>
      <c r="T109" s="9" t="s">
        <v>564</v>
      </c>
      <c r="U109"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09" s="9" t="s">
        <v>41</v>
      </c>
      <c r="W109" s="9" t="s">
        <v>29</v>
      </c>
      <c r="X109" s="10">
        <v>50</v>
      </c>
      <c r="Y109" s="11" t="s">
        <v>42</v>
      </c>
      <c r="Z109" s="19">
        <v>95</v>
      </c>
      <c r="AA109" s="10">
        <v>2</v>
      </c>
      <c r="AB109" s="10">
        <v>25</v>
      </c>
      <c r="AC109" s="12">
        <v>3582811002086</v>
      </c>
      <c r="AD109" s="10" t="s">
        <v>29</v>
      </c>
      <c r="AE109" s="10" t="s">
        <v>1094</v>
      </c>
      <c r="AF109" s="10" t="s">
        <v>1094</v>
      </c>
      <c r="AG109" s="10" t="s">
        <v>29</v>
      </c>
      <c r="AH109" s="20"/>
      <c r="AI109" s="54" t="s">
        <v>776</v>
      </c>
      <c r="AJ109" s="54" t="s">
        <v>776</v>
      </c>
      <c r="AK109" s="55">
        <v>45771</v>
      </c>
      <c r="AL109" s="10"/>
      <c r="AM109" s="10"/>
      <c r="AN109" s="10"/>
      <c r="AO109" s="10"/>
      <c r="AP109" s="10"/>
      <c r="AQ109" s="51" t="s">
        <v>1413</v>
      </c>
      <c r="AR109" s="51" t="s">
        <v>1414</v>
      </c>
      <c r="AS109" s="84" t="s">
        <v>1552</v>
      </c>
      <c r="AT109" s="10" t="s">
        <v>562</v>
      </c>
      <c r="AU109" s="96" t="s">
        <v>1415</v>
      </c>
      <c r="AV109" s="9" t="s">
        <v>1416</v>
      </c>
      <c r="AW109" s="52"/>
      <c r="AX109" s="74" t="s">
        <v>1820</v>
      </c>
      <c r="AY109" s="51"/>
      <c r="AZ109" s="51"/>
      <c r="BA109" s="51"/>
      <c r="BB109" s="51"/>
      <c r="BC109" s="51"/>
      <c r="BD109" s="51"/>
      <c r="BE109" s="51"/>
      <c r="BF109" s="92"/>
      <c r="BG109" s="92"/>
      <c r="BH109" s="92"/>
      <c r="BI109" s="92"/>
      <c r="BJ109" s="92"/>
      <c r="BK109" s="92"/>
      <c r="BL109" s="92"/>
      <c r="BN109" s="7" t="str">
        <f>IF(IFERROR(FIND("romatis",TableauJDG[[#This Row],[TYPE DE THÉ FR]]),0)=0,"","aromatisé")</f>
        <v/>
      </c>
      <c r="BV109" s="10" t="str">
        <f t="shared" si="110"/>
        <v>Source de bien-être depuis l'Antiquité, la mélisse est une plante vivace aux feuilles très parfumées dont l’infusion aide à se relaxer et retrouver son équilibre tout en améliorant les fonctions digestives. Ses saveurs à la fois douces et citronnée</v>
      </c>
      <c r="BW109" s="10" t="str">
        <f t="shared" si="111"/>
        <v>s sont également très appréciées en cuisine.</v>
      </c>
      <c r="BX109" s="10" t="str">
        <f t="shared" si="84"/>
        <v/>
      </c>
      <c r="BY109" s="10" t="str">
        <f t="shared" si="85"/>
        <v/>
      </c>
      <c r="BZ109" s="10" t="str">
        <f t="shared" si="86"/>
        <v>Ingrédient : mélisse* (Melissa officinalis). *Issu de l'agriculture biologique.</v>
      </c>
      <c r="CA109" s="10" t="str">
        <f t="shared" si="87"/>
        <v/>
      </c>
      <c r="CB109" s="10" t="str">
        <f t="shared" si="88"/>
        <v/>
      </c>
      <c r="CC109" s="10" t="str">
        <f t="shared" si="89"/>
        <v/>
      </c>
      <c r="CD109" s="10" t="str">
        <f t="shared" si="90"/>
        <v>Consommation journalière conseillée : 3 tasses de 25 cl.
Il est recommandé d'adopter un mode de vie sain et une alimentation variée et équilibrée pour profiter pleinement des vertus de cette infusion. Informations nutritionnelles moyennes pour 100 m</v>
      </c>
      <c r="CE109" s="10" t="str">
        <f t="shared" si="91"/>
        <v>l : Énergie 3 kJ/1 kcal. Cette infusion contient des quantités négligeables de matières grasses dont acides gras saturés, de glucides dont sucres, de protéines et de sel.</v>
      </c>
      <c r="CF109" s="10" t="str">
        <f t="shared" si="92"/>
        <v/>
      </c>
      <c r="CG109" s="10" t="str">
        <f t="shared" si="93"/>
        <v/>
      </c>
      <c r="CH109" s="10" t="str">
        <f t="shared" si="94"/>
        <v>/</v>
      </c>
      <c r="CI109" s="10" t="str">
        <f t="shared" si="95"/>
        <v/>
      </c>
      <c r="CJ109" s="10" t="str">
        <f t="shared" si="96"/>
        <v/>
      </c>
      <c r="CK109" s="10" t="str">
        <f t="shared" si="97"/>
        <v/>
      </c>
      <c r="CL109" s="10" t="str">
        <f t="shared" si="98"/>
        <v>A source of well-being since ancient times, lemon balm is a perennial plant with highly fragrant leaves, whose infusion helps you relax and regain your balance, while improving digestive functions. Its sweet, lemony flavours are also highly appreciat</v>
      </c>
      <c r="CM109" s="10" t="str">
        <f t="shared" si="99"/>
        <v>ed in cooking.</v>
      </c>
      <c r="CN109" s="10" t="str">
        <f t="shared" si="100"/>
        <v/>
      </c>
      <c r="CO109" s="10" t="str">
        <f t="shared" si="101"/>
        <v/>
      </c>
      <c r="CP109" s="10" t="str">
        <f t="shared" si="102"/>
        <v>Ingredient: lemon balm* (Melissa officinalis). *From organic farming.</v>
      </c>
      <c r="CQ109" s="10" t="str">
        <f t="shared" si="103"/>
        <v/>
      </c>
      <c r="CR109" s="10" t="str">
        <f t="shared" si="104"/>
        <v/>
      </c>
      <c r="CS109" s="10" t="str">
        <f t="shared" si="105"/>
        <v/>
      </c>
      <c r="CT109" s="10" t="str">
        <f t="shared" si="106"/>
        <v>Recommended daily consumption: 3 cups of 25 cl. 
A healthy lifestyle and a varied, balanced diet are recommended to fully benefit from the properties of this infusion. Average nutritional information per 100 ml: Energy 3 kJ/1 kcal. This herbal tea co</v>
      </c>
      <c r="CU109" s="10" t="str">
        <f t="shared" si="107"/>
        <v>ntains negligible amounts of fats (including saturated fats), carbohydrates (including sugars), proteins and salt.</v>
      </c>
      <c r="CV109" s="10" t="str">
        <f t="shared" si="108"/>
        <v/>
      </c>
      <c r="CW109" s="10" t="str">
        <f t="shared" si="109"/>
        <v/>
      </c>
    </row>
    <row r="110" spans="1:101" ht="93.6">
      <c r="A110" s="129" t="s">
        <v>569</v>
      </c>
      <c r="B110" s="9" t="s">
        <v>26</v>
      </c>
      <c r="C110" s="9"/>
      <c r="D110" s="8" t="s">
        <v>566</v>
      </c>
      <c r="E110" s="9" t="s">
        <v>567</v>
      </c>
      <c r="F110" s="9" t="s">
        <v>27</v>
      </c>
      <c r="G110" s="9" t="s">
        <v>395</v>
      </c>
      <c r="H110" s="10" t="s">
        <v>5</v>
      </c>
      <c r="I110" s="10" t="s">
        <v>6</v>
      </c>
      <c r="J110" s="10" t="s">
        <v>29</v>
      </c>
      <c r="K110" s="10" t="s">
        <v>29</v>
      </c>
      <c r="L110" s="10" t="s">
        <v>29</v>
      </c>
      <c r="M110" s="10" t="s">
        <v>29</v>
      </c>
      <c r="N110" s="10" t="s">
        <v>396</v>
      </c>
      <c r="O110" s="9"/>
      <c r="P110" s="9" t="s">
        <v>568</v>
      </c>
      <c r="Q110" s="9" t="s">
        <v>1095</v>
      </c>
      <c r="R110" s="9"/>
      <c r="S110" s="9"/>
      <c r="T110" s="9" t="s">
        <v>69</v>
      </c>
      <c r="U110"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10" s="9" t="s">
        <v>29</v>
      </c>
      <c r="W110" s="9" t="s">
        <v>31</v>
      </c>
      <c r="X110" s="10">
        <v>100</v>
      </c>
      <c r="Y110" s="11" t="s">
        <v>32</v>
      </c>
      <c r="Z110" s="19">
        <v>95</v>
      </c>
      <c r="AA110" s="10">
        <v>2</v>
      </c>
      <c r="AB110" s="10">
        <v>50</v>
      </c>
      <c r="AC110" s="12">
        <v>3582810241622</v>
      </c>
      <c r="AD110" s="10" t="s">
        <v>29</v>
      </c>
      <c r="AE110" s="10" t="s">
        <v>570</v>
      </c>
      <c r="AF110" s="10" t="s">
        <v>1096</v>
      </c>
      <c r="AG110" s="10" t="s">
        <v>1097</v>
      </c>
      <c r="AH110" s="13" t="s">
        <v>398</v>
      </c>
      <c r="AI110" s="54" t="s">
        <v>776</v>
      </c>
      <c r="AJ110" s="54" t="s">
        <v>776</v>
      </c>
      <c r="AK110" s="55">
        <v>45693</v>
      </c>
      <c r="AL110" s="10"/>
      <c r="AM110" s="10">
        <v>25027</v>
      </c>
      <c r="AN110" s="10"/>
      <c r="AO110" s="10"/>
      <c r="AP110" s="10"/>
      <c r="AQ110" s="51" t="s">
        <v>1495</v>
      </c>
      <c r="AR110" s="51" t="s">
        <v>567</v>
      </c>
      <c r="AS110" s="82" t="s">
        <v>1562</v>
      </c>
      <c r="AT110" s="82" t="s">
        <v>1493</v>
      </c>
      <c r="AU110" s="140" t="s">
        <v>1496</v>
      </c>
      <c r="AV110" s="82" t="s">
        <v>741</v>
      </c>
      <c r="AW110" s="52"/>
      <c r="AX110" s="51"/>
      <c r="AY110" s="51"/>
      <c r="AZ110" s="51"/>
      <c r="BA110" s="51"/>
      <c r="BB110" s="51"/>
      <c r="BC110" s="51"/>
      <c r="BD110" s="51"/>
      <c r="BE110" s="51"/>
      <c r="BF110" s="92"/>
      <c r="BG110" s="92"/>
      <c r="BH110" s="92"/>
      <c r="BI110" s="92"/>
      <c r="BJ110" s="92"/>
      <c r="BK110" s="92"/>
      <c r="BL110" s="92"/>
      <c r="BN110" s="7" t="str">
        <f>IF(IFERROR(FIND("romatis",TableauJDG[[#This Row],[TYPE DE THÉ FR]]),0)=0,"","aromatisé")</f>
        <v/>
      </c>
      <c r="BV110" s="10" t="str">
        <f t="shared" si="110"/>
        <v>Ce thé noir issu d’une récolte estivale dans de petites parcelles d’altitude est tout en gourmandise. Ses feuilles libèrent un parfum cacaoté surprenant de puissance. En bouche, les notes végétales de bois de réglisse laissent place à de délicieux ar</v>
      </c>
      <c r="BW110" s="10" t="str">
        <f t="shared" si="111"/>
        <v>ômes évoquant le chocolat au lait et la vanille.</v>
      </c>
      <c r="BX110" s="10" t="str">
        <f t="shared" si="84"/>
        <v/>
      </c>
      <c r="BY110" s="10" t="str">
        <f t="shared" si="85"/>
        <v/>
      </c>
      <c r="BZ110" s="10" t="str">
        <f t="shared" si="86"/>
        <v>Ingrédient : thé noir*. *Issu de l'agriculture biologique.</v>
      </c>
      <c r="CA110" s="10" t="str">
        <f t="shared" si="87"/>
        <v/>
      </c>
      <c r="CB110" s="10" t="str">
        <f t="shared" si="88"/>
        <v/>
      </c>
      <c r="CC110" s="10" t="str">
        <f t="shared" si="89"/>
        <v/>
      </c>
      <c r="CD110" s="10" t="str">
        <f t="shared" si="90"/>
        <v>/</v>
      </c>
      <c r="CE110" s="10" t="str">
        <f t="shared" si="91"/>
        <v/>
      </c>
      <c r="CF110" s="10" t="str">
        <f t="shared" si="92"/>
        <v/>
      </c>
      <c r="CG110" s="10" t="str">
        <f t="shared" si="93"/>
        <v/>
      </c>
      <c r="CH110" s="10" t="str">
        <f t="shared" si="94"/>
        <v>Membre certifié World Fair Trade Organization, Les Jardins de Gaïa s’engagent pour un commerce plus juste et répondent aux exigences du commerce équitable. Pour en savoir plus : www.wfto.com.</v>
      </c>
      <c r="CI110" s="10" t="str">
        <f t="shared" si="95"/>
        <v/>
      </c>
      <c r="CJ110" s="10" t="str">
        <f t="shared" si="96"/>
        <v/>
      </c>
      <c r="CK110" s="10" t="str">
        <f t="shared" si="97"/>
        <v/>
      </c>
      <c r="CL110" s="10" t="str">
        <f t="shared" si="98"/>
        <v>This black tea, harvested in summer from small, high-altitude plots, is a gourmet delight. Its leaves release a surprisingly powerful cocoa aroma. On the palate, vegetal notes of licorice wood give way to delicious aromas reminiscent of milk chocolat</v>
      </c>
      <c r="CM110" s="10" t="str">
        <f t="shared" si="99"/>
        <v>e and vanilla.</v>
      </c>
      <c r="CN110" s="10" t="str">
        <f t="shared" si="100"/>
        <v/>
      </c>
      <c r="CO110" s="10" t="str">
        <f t="shared" si="101"/>
        <v/>
      </c>
      <c r="CP110" s="10" t="str">
        <f t="shared" si="102"/>
        <v>Ingredient: black tea*. *From organic farming.</v>
      </c>
      <c r="CQ110" s="10" t="str">
        <f t="shared" si="103"/>
        <v/>
      </c>
      <c r="CR110" s="10" t="str">
        <f t="shared" si="104"/>
        <v/>
      </c>
      <c r="CS110" s="10" t="str">
        <f t="shared" si="105"/>
        <v/>
      </c>
      <c r="CT110" s="10" t="str">
        <f t="shared" si="106"/>
        <v/>
      </c>
      <c r="CU110" s="10" t="str">
        <f t="shared" si="107"/>
        <v/>
      </c>
      <c r="CV110" s="10" t="str">
        <f t="shared" si="108"/>
        <v/>
      </c>
      <c r="CW110" s="10" t="str">
        <f t="shared" si="109"/>
        <v/>
      </c>
    </row>
    <row r="111" spans="1:101" ht="93.6">
      <c r="A111" s="129" t="s">
        <v>574</v>
      </c>
      <c r="B111" s="9" t="s">
        <v>26</v>
      </c>
      <c r="C111" s="9" t="s">
        <v>39</v>
      </c>
      <c r="D111" s="8" t="s">
        <v>571</v>
      </c>
      <c r="E111" s="9" t="s">
        <v>29</v>
      </c>
      <c r="F111" s="9" t="s">
        <v>86</v>
      </c>
      <c r="G111" s="10" t="s">
        <v>562</v>
      </c>
      <c r="H111" s="10" t="s">
        <v>5</v>
      </c>
      <c r="I111" s="10" t="s">
        <v>29</v>
      </c>
      <c r="J111" s="10" t="s">
        <v>29</v>
      </c>
      <c r="K111" s="10" t="s">
        <v>29</v>
      </c>
      <c r="L111" s="10" t="s">
        <v>29</v>
      </c>
      <c r="M111" s="10" t="s">
        <v>29</v>
      </c>
      <c r="N111" s="10" t="s">
        <v>85</v>
      </c>
      <c r="O111" s="9"/>
      <c r="P111" s="9" t="s">
        <v>572</v>
      </c>
      <c r="Q111" s="9" t="s">
        <v>1098</v>
      </c>
      <c r="R111" s="9"/>
      <c r="S111" s="9"/>
      <c r="T111" s="9" t="s">
        <v>573</v>
      </c>
      <c r="U111"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11" s="8" t="s">
        <v>29</v>
      </c>
      <c r="W111" s="9" t="s">
        <v>29</v>
      </c>
      <c r="X111" s="10">
        <v>50</v>
      </c>
      <c r="Y111" s="11" t="s">
        <v>42</v>
      </c>
      <c r="Z111" s="19">
        <v>95</v>
      </c>
      <c r="AA111" s="10">
        <v>2</v>
      </c>
      <c r="AB111" s="10">
        <v>25</v>
      </c>
      <c r="AC111" s="12">
        <v>3582811002000</v>
      </c>
      <c r="AD111" s="10" t="s">
        <v>29</v>
      </c>
      <c r="AE111" s="10" t="s">
        <v>1099</v>
      </c>
      <c r="AF111" s="10" t="s">
        <v>1099</v>
      </c>
      <c r="AG111" s="10" t="s">
        <v>29</v>
      </c>
      <c r="AH111" s="20"/>
      <c r="AI111" s="54" t="s">
        <v>776</v>
      </c>
      <c r="AJ111" s="54" t="s">
        <v>776</v>
      </c>
      <c r="AK111" s="55">
        <v>45693</v>
      </c>
      <c r="AL111" s="10"/>
      <c r="AM111" s="10">
        <v>25024</v>
      </c>
      <c r="AN111" s="10"/>
      <c r="AO111" s="10"/>
      <c r="AP111" s="10"/>
      <c r="AQ111" s="51" t="s">
        <v>1410</v>
      </c>
      <c r="AR111" s="51"/>
      <c r="AS111" s="84" t="s">
        <v>1552</v>
      </c>
      <c r="AT111" s="9" t="s">
        <v>562</v>
      </c>
      <c r="AU111" s="139" t="s">
        <v>1411</v>
      </c>
      <c r="AV111" s="82" t="s">
        <v>1412</v>
      </c>
      <c r="AW111" s="52"/>
      <c r="AX111" s="51"/>
      <c r="AY111" s="51"/>
      <c r="AZ111" s="51"/>
      <c r="BA111" s="51"/>
      <c r="BB111" s="51"/>
      <c r="BC111" s="51"/>
      <c r="BD111" s="51"/>
      <c r="BE111" s="51"/>
      <c r="BF111" s="92"/>
      <c r="BG111" s="92"/>
      <c r="BH111" s="92"/>
      <c r="BI111" s="92"/>
      <c r="BJ111" s="92"/>
      <c r="BK111" s="92"/>
      <c r="BL111" s="92"/>
      <c r="BN111" s="7" t="str">
        <f>IF(IFERROR(FIND("romatis",TableauJDG[[#This Row],[TYPE DE THÉ FR]]),0)=0,"","aromatisé")</f>
        <v/>
      </c>
      <c r="BV111" s="10" t="str">
        <f t="shared" si="110"/>
        <v>L’infusion de menthe très appréciée en Orient et souvent associée à un thé vert se distingue par la fraîcheur et la tonicité de ses saveurs. En cuisine elle souvent utilisée pour parfumer une sauce ou une salade de fruits. Une tisane délicieuse auss</v>
      </c>
      <c r="BW111" s="10" t="str">
        <f t="shared" si="111"/>
        <v>i bien chaude que glacée, avec ou sans sucre !</v>
      </c>
      <c r="BX111" s="10" t="str">
        <f t="shared" si="84"/>
        <v/>
      </c>
      <c r="BY111" s="10" t="str">
        <f t="shared" si="85"/>
        <v/>
      </c>
      <c r="BZ111" s="10" t="str">
        <f t="shared" si="86"/>
        <v>Ingrédient : menthe odorante* (Mentha rotundifolia). *Issu de l’agriculture biologique.</v>
      </c>
      <c r="CA111" s="10" t="str">
        <f t="shared" si="87"/>
        <v/>
      </c>
      <c r="CB111" s="10" t="str">
        <f t="shared" si="88"/>
        <v/>
      </c>
      <c r="CC111" s="10" t="str">
        <f t="shared" si="89"/>
        <v/>
      </c>
      <c r="CD111" s="10" t="str">
        <f t="shared" si="90"/>
        <v>/</v>
      </c>
      <c r="CE111" s="10" t="str">
        <f t="shared" si="91"/>
        <v/>
      </c>
      <c r="CF111" s="10" t="str">
        <f t="shared" si="92"/>
        <v/>
      </c>
      <c r="CG111" s="10" t="str">
        <f t="shared" si="93"/>
        <v/>
      </c>
      <c r="CH111" s="10" t="str">
        <f t="shared" si="94"/>
        <v>/</v>
      </c>
      <c r="CI111" s="10" t="str">
        <f t="shared" si="95"/>
        <v/>
      </c>
      <c r="CJ111" s="10" t="str">
        <f t="shared" si="96"/>
        <v/>
      </c>
      <c r="CK111" s="10" t="str">
        <f t="shared" si="97"/>
        <v/>
      </c>
      <c r="CL111" s="10" t="str">
        <f t="shared" si="98"/>
        <v>Mint infusion, much appreciated in the Orient and often combined with green tea, is distinguished by its fresh, invigorating flavours. In cooking, it is often used to flavour a sauce or fruit salad. A delicious herbal tea, hot or iced, with or withou</v>
      </c>
      <c r="CM111" s="10" t="str">
        <f t="shared" si="99"/>
        <v>t sugar!</v>
      </c>
      <c r="CN111" s="10" t="str">
        <f t="shared" si="100"/>
        <v/>
      </c>
      <c r="CO111" s="10" t="str">
        <f t="shared" si="101"/>
        <v/>
      </c>
      <c r="CP111" s="10" t="str">
        <f t="shared" si="102"/>
        <v>Ingredient: mint* (Mentha rotundifolia). *From organic farming.</v>
      </c>
      <c r="CQ111" s="10" t="str">
        <f t="shared" si="103"/>
        <v/>
      </c>
      <c r="CR111" s="10" t="str">
        <f t="shared" si="104"/>
        <v/>
      </c>
      <c r="CS111" s="10" t="str">
        <f t="shared" si="105"/>
        <v/>
      </c>
      <c r="CT111" s="10" t="str">
        <f t="shared" si="106"/>
        <v/>
      </c>
      <c r="CU111" s="10" t="str">
        <f t="shared" si="107"/>
        <v/>
      </c>
      <c r="CV111" s="10" t="str">
        <f t="shared" si="108"/>
        <v/>
      </c>
      <c r="CW111" s="10" t="str">
        <f t="shared" si="109"/>
        <v/>
      </c>
    </row>
    <row r="112" spans="1:101" ht="100.8">
      <c r="A112" s="129" t="s">
        <v>578</v>
      </c>
      <c r="B112" s="9" t="s">
        <v>777</v>
      </c>
      <c r="C112" s="9" t="s">
        <v>39</v>
      </c>
      <c r="D112" s="8" t="s">
        <v>95</v>
      </c>
      <c r="E112" s="9" t="s">
        <v>575</v>
      </c>
      <c r="F112" s="9" t="s">
        <v>86</v>
      </c>
      <c r="G112" s="10" t="s">
        <v>562</v>
      </c>
      <c r="H112" s="10" t="s">
        <v>5</v>
      </c>
      <c r="I112" s="10" t="s">
        <v>29</v>
      </c>
      <c r="J112" s="10" t="s">
        <v>29</v>
      </c>
      <c r="K112" s="10" t="s">
        <v>29</v>
      </c>
      <c r="L112" s="10" t="s">
        <v>29</v>
      </c>
      <c r="M112" s="10" t="s">
        <v>29</v>
      </c>
      <c r="N112" s="10" t="s">
        <v>85</v>
      </c>
      <c r="O112" s="9"/>
      <c r="P112" s="9" t="s">
        <v>576</v>
      </c>
      <c r="Q112" s="9" t="s">
        <v>1100</v>
      </c>
      <c r="R112" s="9"/>
      <c r="S112" s="9"/>
      <c r="T112" s="9" t="s">
        <v>577</v>
      </c>
      <c r="U112"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12" s="9" t="s">
        <v>41</v>
      </c>
      <c r="W112" s="9" t="s">
        <v>29</v>
      </c>
      <c r="X112" s="10">
        <v>50</v>
      </c>
      <c r="Y112" s="11" t="s">
        <v>42</v>
      </c>
      <c r="Z112" s="19">
        <v>95</v>
      </c>
      <c r="AA112" s="10">
        <v>2</v>
      </c>
      <c r="AB112" s="10">
        <v>25</v>
      </c>
      <c r="AC112" s="12">
        <v>3582811002093</v>
      </c>
      <c r="AD112" s="10" t="s">
        <v>29</v>
      </c>
      <c r="AE112" s="10" t="s">
        <v>1101</v>
      </c>
      <c r="AF112" s="10" t="s">
        <v>1101</v>
      </c>
      <c r="AG112" s="10" t="s">
        <v>29</v>
      </c>
      <c r="AH112" s="20"/>
      <c r="AI112" s="54" t="s">
        <v>776</v>
      </c>
      <c r="AJ112" s="54" t="s">
        <v>776</v>
      </c>
      <c r="AK112" s="55">
        <v>45758</v>
      </c>
      <c r="AL112" s="10"/>
      <c r="AM112" s="10"/>
      <c r="AN112" s="10"/>
      <c r="AO112" s="10"/>
      <c r="AP112" s="10"/>
      <c r="AQ112" s="51" t="s">
        <v>1417</v>
      </c>
      <c r="AR112" s="51" t="s">
        <v>758</v>
      </c>
      <c r="AS112" s="84" t="s">
        <v>1552</v>
      </c>
      <c r="AT112" s="9" t="s">
        <v>562</v>
      </c>
      <c r="AU112" s="140" t="s">
        <v>1418</v>
      </c>
      <c r="AV112" s="9" t="s">
        <v>1419</v>
      </c>
      <c r="AW112" s="52"/>
      <c r="AX112" s="74" t="s">
        <v>1820</v>
      </c>
      <c r="AY112" s="51"/>
      <c r="AZ112" s="51"/>
      <c r="BA112" s="51"/>
      <c r="BB112" s="51"/>
      <c r="BC112" s="51"/>
      <c r="BD112" s="51"/>
      <c r="BE112" s="51"/>
      <c r="BF112" s="92"/>
      <c r="BG112" s="92"/>
      <c r="BH112" s="92"/>
      <c r="BI112" s="92"/>
      <c r="BJ112" s="92"/>
      <c r="BK112" s="92"/>
      <c r="BL112" s="92"/>
      <c r="BN112" s="7" t="str">
        <f>IF(IFERROR(FIND("romatis",TableauJDG[[#This Row],[TYPE DE THÉ FR]]),0)=0,"","aromatisé")</f>
        <v/>
      </c>
      <c r="BV112" s="10" t="str">
        <f t="shared" si="110"/>
        <v>L'infusion de menthe poivrée aux saveurs toniques et légèrement épicées est un concentré de bienfaits. Particulièrement indiquée en fin de repas pour ses effets stimulants sur la sphère digestive, elle est aussi antispasmodique et apaisante et contri</v>
      </c>
      <c r="BW112" s="10" t="str">
        <f t="shared" si="111"/>
        <v xml:space="preserve">bue à préserver l'équilibre nerveux en général. </v>
      </c>
      <c r="BX112" s="10" t="str">
        <f t="shared" si="84"/>
        <v/>
      </c>
      <c r="BY112" s="10" t="str">
        <f t="shared" si="85"/>
        <v/>
      </c>
      <c r="BZ112" s="10" t="str">
        <f t="shared" si="86"/>
        <v>Ingrédient : menthe poivrée* (Mentha piperita). *Issu de l'agriculture biologique.</v>
      </c>
      <c r="CA112" s="10" t="str">
        <f t="shared" si="87"/>
        <v/>
      </c>
      <c r="CB112" s="10" t="str">
        <f t="shared" si="88"/>
        <v/>
      </c>
      <c r="CC112" s="10" t="str">
        <f t="shared" si="89"/>
        <v/>
      </c>
      <c r="CD112" s="10" t="str">
        <f t="shared" si="90"/>
        <v>Consommation journalière conseillée : 3 tasses de 25 cl.
Il est recommandé d'adopter un mode de vie sain et une alimentation variée et équilibrée pour profiter pleinement des vertus de cette infusion. Informations nutritionnelles moyennes pour 100 m</v>
      </c>
      <c r="CE112" s="10" t="str">
        <f t="shared" si="91"/>
        <v>l : Énergie 3 kJ/1 kcal. Cette infusion contient des quantités négligeables de matières grasses dont acides gras saturés, de glucides dont sucres, de protéines et de sel.</v>
      </c>
      <c r="CF112" s="10" t="str">
        <f t="shared" si="92"/>
        <v/>
      </c>
      <c r="CG112" s="10" t="str">
        <f t="shared" si="93"/>
        <v/>
      </c>
      <c r="CH112" s="10" t="str">
        <f t="shared" si="94"/>
        <v>/</v>
      </c>
      <c r="CI112" s="10" t="str">
        <f t="shared" si="95"/>
        <v/>
      </c>
      <c r="CJ112" s="10" t="str">
        <f t="shared" si="96"/>
        <v/>
      </c>
      <c r="CK112" s="10" t="str">
        <f t="shared" si="97"/>
        <v/>
      </c>
      <c r="CL112" s="10" t="str">
        <f t="shared" si="98"/>
        <v>Peppermint infusion, with its tonic and slightly spicy flavours, is a concentrate of benefits. Particularly indicated at the end of meals for its stimulating effects on the digestive system, it is also an antispasmodic and soothing agent, helping t</v>
      </c>
      <c r="CM112" s="10" t="str">
        <f t="shared" si="99"/>
        <v xml:space="preserve">o maintain general nervous balance. </v>
      </c>
      <c r="CN112" s="10" t="str">
        <f t="shared" si="100"/>
        <v/>
      </c>
      <c r="CO112" s="10" t="str">
        <f t="shared" si="101"/>
        <v/>
      </c>
      <c r="CP112" s="10" t="str">
        <f t="shared" si="102"/>
        <v>Ingredient: peppermint* (Mentha piperita). *From organic farming.</v>
      </c>
      <c r="CQ112" s="10" t="str">
        <f t="shared" si="103"/>
        <v/>
      </c>
      <c r="CR112" s="10" t="str">
        <f t="shared" si="104"/>
        <v/>
      </c>
      <c r="CS112" s="10" t="str">
        <f t="shared" si="105"/>
        <v/>
      </c>
      <c r="CT112" s="10" t="str">
        <f t="shared" si="106"/>
        <v>Recommended daily consumption: 3 cups of 25 cl. 
A healthy lifestyle and a varied, balanced diet are recommended to fully benefit from the properties of this infusion. Average nutritional information per 100 ml: Energy 3 kJ/1 kcal. This herbal tea co</v>
      </c>
      <c r="CU112" s="10" t="str">
        <f t="shared" si="107"/>
        <v>ntains negligible amounts of fats (including saturated fats), carbohydrates (including sugars), proteins and salt.</v>
      </c>
      <c r="CV112" s="10" t="str">
        <f t="shared" si="108"/>
        <v/>
      </c>
      <c r="CW112" s="10" t="str">
        <f t="shared" si="109"/>
        <v/>
      </c>
    </row>
    <row r="113" spans="1:101" ht="93.6">
      <c r="A113" s="130" t="s">
        <v>583</v>
      </c>
      <c r="B113" s="9" t="s">
        <v>1102</v>
      </c>
      <c r="C113" s="29" t="s">
        <v>1766</v>
      </c>
      <c r="D113" s="21" t="s">
        <v>579</v>
      </c>
      <c r="E113" s="29" t="s">
        <v>1782</v>
      </c>
      <c r="F113" s="9" t="s">
        <v>89</v>
      </c>
      <c r="G113" s="9" t="s">
        <v>580</v>
      </c>
      <c r="H113" s="35" t="s">
        <v>5</v>
      </c>
      <c r="I113" s="35" t="s">
        <v>29</v>
      </c>
      <c r="J113" s="35" t="s">
        <v>29</v>
      </c>
      <c r="K113" s="35" t="s">
        <v>29</v>
      </c>
      <c r="L113" s="35" t="s">
        <v>9</v>
      </c>
      <c r="M113" s="35" t="s">
        <v>29</v>
      </c>
      <c r="N113" s="10" t="s">
        <v>30</v>
      </c>
      <c r="O113" s="9"/>
      <c r="P113" s="9"/>
      <c r="Q113" s="118" t="s">
        <v>1783</v>
      </c>
      <c r="R113" s="119" t="s">
        <v>1784</v>
      </c>
      <c r="S113" s="9"/>
      <c r="T113" s="9" t="s">
        <v>581</v>
      </c>
      <c r="U113"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13" s="9" t="s">
        <v>29</v>
      </c>
      <c r="W113" s="9"/>
      <c r="X113" s="10">
        <v>80</v>
      </c>
      <c r="Y113" s="11" t="s">
        <v>32</v>
      </c>
      <c r="Z113" s="19" t="s">
        <v>66</v>
      </c>
      <c r="AA113" s="10">
        <v>2</v>
      </c>
      <c r="AB113" s="10">
        <v>40</v>
      </c>
      <c r="AC113" s="12">
        <v>3582810220320</v>
      </c>
      <c r="AD113" s="10" t="s">
        <v>29</v>
      </c>
      <c r="AE113" s="10" t="s">
        <v>584</v>
      </c>
      <c r="AF113" s="10" t="s">
        <v>1103</v>
      </c>
      <c r="AG113" s="10" t="s">
        <v>1104</v>
      </c>
      <c r="AH113" s="13" t="s">
        <v>582</v>
      </c>
      <c r="AI113" s="10"/>
      <c r="AJ113" s="54" t="s">
        <v>776</v>
      </c>
      <c r="AK113" s="10"/>
      <c r="AL113" s="10"/>
      <c r="AM113" s="10"/>
      <c r="AN113" s="10"/>
      <c r="AO113" s="10"/>
      <c r="AP113" s="10"/>
      <c r="AQ113" s="51"/>
      <c r="AR113" s="51"/>
      <c r="AS113" s="51"/>
      <c r="AT113" s="51"/>
      <c r="AU113" s="65" t="s">
        <v>1789</v>
      </c>
      <c r="AV113" s="52"/>
      <c r="AW113" s="52"/>
      <c r="AX113" s="51"/>
      <c r="AY113" s="51"/>
      <c r="AZ113" s="51"/>
      <c r="BA113" s="51"/>
      <c r="BB113" s="51"/>
      <c r="BC113" s="51"/>
      <c r="BD113" s="51"/>
      <c r="BE113" s="51"/>
      <c r="BF113" s="92"/>
      <c r="BG113" s="92"/>
      <c r="BH113" s="92"/>
      <c r="BI113" s="92"/>
      <c r="BJ113" s="92"/>
      <c r="BK113" s="92"/>
      <c r="BL113" s="92"/>
      <c r="BN113" s="7" t="str">
        <f>IF(IFERROR(FIND("romatis",TableauJDG[[#This Row],[TYPE DE THÉ FR]]),0)=0,"","aromatisé")</f>
        <v/>
      </c>
      <c r="BV113" s="10" t="str">
        <f t="shared" si="110"/>
        <v>Ce thé noir d’exception de petits producteurs a le parfum frais des Darjeeling de printemps. Sa liqueur fruitée et sucrée offre un festival de saveurs printanières qui s’épanouissent longuement en bouche en évoquant des saveurs d’artichaut, d’herbe c</v>
      </c>
      <c r="BW113" s="10" t="str">
        <f t="shared" si="111"/>
        <v>oupée, de fleurs sauvages et de fraise. Un enchantement !</v>
      </c>
      <c r="BX113" s="10" t="str">
        <f t="shared" si="84"/>
        <v/>
      </c>
      <c r="BY113" s="10" t="str">
        <f t="shared" si="85"/>
        <v/>
      </c>
      <c r="BZ113" s="10" t="str">
        <f t="shared" si="86"/>
        <v xml:space="preserve">Ingrédient : thé noir*. *Issu de l'agriculture biologique. </v>
      </c>
      <c r="CA113" s="10" t="str">
        <f t="shared" si="87"/>
        <v/>
      </c>
      <c r="CB113" s="10" t="str">
        <f t="shared" si="88"/>
        <v/>
      </c>
      <c r="CC113" s="10" t="str">
        <f t="shared" si="89"/>
        <v/>
      </c>
      <c r="CD113" s="10" t="str">
        <f t="shared" si="90"/>
        <v>/</v>
      </c>
      <c r="CE113" s="10" t="str">
        <f t="shared" si="91"/>
        <v/>
      </c>
      <c r="CF113" s="10" t="str">
        <f t="shared" si="92"/>
        <v/>
      </c>
      <c r="CG113" s="10" t="str">
        <f t="shared" si="93"/>
        <v/>
      </c>
      <c r="CH113" s="10" t="str">
        <f t="shared" si="94"/>
        <v/>
      </c>
      <c r="CI113" s="10" t="str">
        <f t="shared" si="95"/>
        <v/>
      </c>
      <c r="CJ113" s="10" t="str">
        <f t="shared" si="96"/>
        <v/>
      </c>
      <c r="CK113" s="10" t="str">
        <f t="shared" si="97"/>
        <v/>
      </c>
      <c r="CL113" s="10" t="str">
        <f t="shared" si="98"/>
        <v>Exceptional primeur from small producers. Notes: artichoke, cut grass, wildflowers, fruity finish (strawberry).</v>
      </c>
      <c r="CM113" s="10" t="str">
        <f t="shared" si="99"/>
        <v/>
      </c>
      <c r="CN113" s="10" t="str">
        <f t="shared" si="100"/>
        <v/>
      </c>
      <c r="CO113" s="10" t="str">
        <f t="shared" si="101"/>
        <v/>
      </c>
      <c r="CP113" s="10" t="str">
        <f t="shared" si="102"/>
        <v/>
      </c>
      <c r="CQ113" s="10" t="str">
        <f t="shared" si="103"/>
        <v/>
      </c>
      <c r="CR113" s="10" t="str">
        <f t="shared" si="104"/>
        <v/>
      </c>
      <c r="CS113" s="10" t="str">
        <f t="shared" si="105"/>
        <v/>
      </c>
      <c r="CT113" s="10" t="str">
        <f t="shared" si="106"/>
        <v/>
      </c>
      <c r="CU113" s="10" t="str">
        <f t="shared" si="107"/>
        <v/>
      </c>
      <c r="CV113" s="10" t="str">
        <f t="shared" si="108"/>
        <v/>
      </c>
      <c r="CW113" s="10" t="str">
        <f t="shared" si="109"/>
        <v/>
      </c>
    </row>
    <row r="114" spans="1:101" ht="86.4">
      <c r="A114" s="129" t="s">
        <v>590</v>
      </c>
      <c r="B114" s="9" t="s">
        <v>26</v>
      </c>
      <c r="C114" s="9"/>
      <c r="D114" s="8" t="s">
        <v>585</v>
      </c>
      <c r="E114" s="9" t="s">
        <v>586</v>
      </c>
      <c r="F114" s="9" t="s">
        <v>786</v>
      </c>
      <c r="G114" s="9" t="s">
        <v>65</v>
      </c>
      <c r="H114" s="10" t="s">
        <v>5</v>
      </c>
      <c r="I114" s="10" t="s">
        <v>6</v>
      </c>
      <c r="J114" s="10" t="s">
        <v>29</v>
      </c>
      <c r="K114" s="10" t="s">
        <v>8</v>
      </c>
      <c r="L114" s="10" t="s">
        <v>29</v>
      </c>
      <c r="M114" s="10" t="s">
        <v>29</v>
      </c>
      <c r="N114" s="10" t="s">
        <v>47</v>
      </c>
      <c r="O114" s="9"/>
      <c r="P114" s="9" t="s">
        <v>587</v>
      </c>
      <c r="Q114" s="9" t="s">
        <v>1105</v>
      </c>
      <c r="R114" s="9"/>
      <c r="S114" s="9"/>
      <c r="T114" s="9" t="s">
        <v>588</v>
      </c>
      <c r="U114"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14" s="9" t="s">
        <v>29</v>
      </c>
      <c r="W114" s="9" t="s">
        <v>31</v>
      </c>
      <c r="X114" s="10">
        <v>100</v>
      </c>
      <c r="Y114" s="11" t="s">
        <v>32</v>
      </c>
      <c r="Z114" s="19">
        <v>95</v>
      </c>
      <c r="AA114" s="10">
        <v>2</v>
      </c>
      <c r="AB114" s="10">
        <v>50</v>
      </c>
      <c r="AC114" s="12">
        <v>3582810200322</v>
      </c>
      <c r="AD114" s="10" t="s">
        <v>29</v>
      </c>
      <c r="AE114" s="10" t="s">
        <v>591</v>
      </c>
      <c r="AF114" s="10" t="s">
        <v>1106</v>
      </c>
      <c r="AG114" s="10" t="s">
        <v>1107</v>
      </c>
      <c r="AH114" s="13" t="s">
        <v>589</v>
      </c>
      <c r="AI114" s="54" t="s">
        <v>776</v>
      </c>
      <c r="AJ114" s="54" t="s">
        <v>776</v>
      </c>
      <c r="AK114" s="55">
        <v>45674</v>
      </c>
      <c r="AL114" s="10"/>
      <c r="AM114" s="10">
        <v>25010</v>
      </c>
      <c r="AN114" s="10"/>
      <c r="AO114" s="10"/>
      <c r="AP114" s="10"/>
      <c r="AQ114" s="51" t="s">
        <v>585</v>
      </c>
      <c r="AR114" s="51" t="s">
        <v>1533</v>
      </c>
      <c r="AS114" s="51" t="s">
        <v>1560</v>
      </c>
      <c r="AT114" s="51" t="s">
        <v>754</v>
      </c>
      <c r="AU114" s="16" t="s">
        <v>1534</v>
      </c>
      <c r="AV114" s="52" t="s">
        <v>1535</v>
      </c>
      <c r="AW114" s="52"/>
      <c r="AX114" s="51"/>
      <c r="AY114" s="51"/>
      <c r="AZ114" s="51"/>
      <c r="BA114" s="51"/>
      <c r="BB114" s="51"/>
      <c r="BC114" s="51"/>
      <c r="BD114" s="51"/>
      <c r="BE114" s="51"/>
      <c r="BF114" s="92"/>
      <c r="BG114" s="92"/>
      <c r="BH114" s="92"/>
      <c r="BI114" s="92"/>
      <c r="BJ114" s="92"/>
      <c r="BK114" s="92"/>
      <c r="BL114" s="92"/>
      <c r="BN114" s="7" t="str">
        <f>IF(IFERROR(FIND("romatis",TableauJDG[[#This Row],[TYPE DE THÉ FR]]),0)=0,"","aromatisé")</f>
        <v/>
      </c>
      <c r="BV114" s="10" t="str">
        <f t="shared" si="110"/>
        <v>Ces minis tuocha, fruits de la compression de feuilles de pu’er issues de théiers anciens sont particulièrement pratiques et faciles à vivre. À glisser dans sa poche ou dans un sac, pour apprécier leurs saveurs boisées et légèrement sucrées au burea</v>
      </c>
      <c r="BW114" s="10" t="str">
        <f t="shared" si="111"/>
        <v>u ou en rando à l’autre bout du monde.</v>
      </c>
      <c r="BX114" s="10" t="str">
        <f t="shared" si="84"/>
        <v/>
      </c>
      <c r="BY114" s="10" t="str">
        <f t="shared" si="85"/>
        <v/>
      </c>
      <c r="BZ114" s="10" t="str">
        <f t="shared" si="86"/>
        <v>Ingrédient : thé sombre pu'er* compressé en nid. *Issu de l'agriculture biologique.</v>
      </c>
      <c r="CA114" s="10" t="str">
        <f t="shared" si="87"/>
        <v/>
      </c>
      <c r="CB114" s="10" t="str">
        <f t="shared" si="88"/>
        <v/>
      </c>
      <c r="CC114" s="10" t="str">
        <f t="shared" si="89"/>
        <v/>
      </c>
      <c r="CD114" s="10" t="str">
        <f t="shared" si="90"/>
        <v>/</v>
      </c>
      <c r="CE114" s="10" t="str">
        <f t="shared" si="91"/>
        <v/>
      </c>
      <c r="CF114" s="10" t="str">
        <f t="shared" si="92"/>
        <v/>
      </c>
      <c r="CG114" s="10" t="str">
        <f t="shared" si="93"/>
        <v/>
      </c>
      <c r="CH114" s="10" t="str">
        <f t="shared" si="94"/>
        <v>Membre certifié World Fair Trade Organization, Les Jardins de Gaïa s’engagent pour un commerce plus juste et répondent aux exigences du commerce équitable. Pour en savoir plus : www.wfto.com.</v>
      </c>
      <c r="CI114" s="10" t="str">
        <f t="shared" si="95"/>
        <v/>
      </c>
      <c r="CJ114" s="10" t="str">
        <f t="shared" si="96"/>
        <v/>
      </c>
      <c r="CK114" s="10" t="str">
        <f t="shared" si="97"/>
        <v/>
      </c>
      <c r="CL114" s="10" t="str">
        <f t="shared" si="98"/>
        <v>These mini tuocha, the result of compressing pu'er leaves from ancient tea bushes, are particularly practical and easy to live with. Slip them into your pocket or bag, and enjoy their woody, slightly sweet flavours at the office or on a hike to the o</v>
      </c>
      <c r="CM114" s="10" t="str">
        <f t="shared" si="99"/>
        <v>ther side of the world.</v>
      </c>
      <c r="CN114" s="10" t="str">
        <f t="shared" si="100"/>
        <v/>
      </c>
      <c r="CO114" s="10" t="str">
        <f t="shared" si="101"/>
        <v/>
      </c>
      <c r="CP114" s="10" t="str">
        <f t="shared" si="102"/>
        <v xml:space="preserve">Ingredient: pu'er dark tea* compressed into a nest. *From organic farming. </v>
      </c>
      <c r="CQ114" s="10" t="str">
        <f t="shared" si="103"/>
        <v/>
      </c>
      <c r="CR114" s="10" t="str">
        <f t="shared" si="104"/>
        <v/>
      </c>
      <c r="CS114" s="10" t="str">
        <f t="shared" si="105"/>
        <v/>
      </c>
      <c r="CT114" s="10" t="str">
        <f t="shared" si="106"/>
        <v/>
      </c>
      <c r="CU114" s="10" t="str">
        <f t="shared" si="107"/>
        <v/>
      </c>
      <c r="CV114" s="10" t="str">
        <f t="shared" si="108"/>
        <v/>
      </c>
      <c r="CW114" s="10" t="str">
        <f t="shared" si="109"/>
        <v/>
      </c>
    </row>
    <row r="115" spans="1:101" ht="86.4">
      <c r="A115" s="129" t="s">
        <v>592</v>
      </c>
      <c r="B115" s="9" t="s">
        <v>26</v>
      </c>
      <c r="C115" s="9"/>
      <c r="D115" s="8" t="s">
        <v>585</v>
      </c>
      <c r="E115" s="9" t="s">
        <v>586</v>
      </c>
      <c r="F115" s="9" t="s">
        <v>786</v>
      </c>
      <c r="G115" s="9" t="s">
        <v>65</v>
      </c>
      <c r="H115" s="10" t="s">
        <v>5</v>
      </c>
      <c r="I115" s="10" t="s">
        <v>6</v>
      </c>
      <c r="J115" s="10" t="s">
        <v>29</v>
      </c>
      <c r="K115" s="10" t="s">
        <v>8</v>
      </c>
      <c r="L115" s="10" t="s">
        <v>29</v>
      </c>
      <c r="M115" s="10" t="s">
        <v>29</v>
      </c>
      <c r="N115" s="10" t="s">
        <v>47</v>
      </c>
      <c r="O115" s="9"/>
      <c r="P115" s="9" t="s">
        <v>587</v>
      </c>
      <c r="Q115" s="9" t="s">
        <v>1105</v>
      </c>
      <c r="R115" s="9"/>
      <c r="S115" s="9"/>
      <c r="T115" s="9" t="s">
        <v>588</v>
      </c>
      <c r="U115"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15" s="9" t="s">
        <v>29</v>
      </c>
      <c r="W115" s="9" t="s">
        <v>31</v>
      </c>
      <c r="X115" s="10">
        <v>50</v>
      </c>
      <c r="Y115" s="11" t="s">
        <v>32</v>
      </c>
      <c r="Z115" s="19">
        <v>95</v>
      </c>
      <c r="AA115" s="10">
        <v>2</v>
      </c>
      <c r="AB115" s="10">
        <v>25</v>
      </c>
      <c r="AC115" s="12">
        <v>3582810203262</v>
      </c>
      <c r="AD115" s="10" t="s">
        <v>29</v>
      </c>
      <c r="AE115" s="10" t="s">
        <v>591</v>
      </c>
      <c r="AF115" s="10" t="s">
        <v>1106</v>
      </c>
      <c r="AG115" s="10" t="s">
        <v>1108</v>
      </c>
      <c r="AH115" s="13" t="s">
        <v>589</v>
      </c>
      <c r="AI115" s="54" t="s">
        <v>776</v>
      </c>
      <c r="AJ115" s="54" t="s">
        <v>776</v>
      </c>
      <c r="AK115" s="55">
        <v>45674</v>
      </c>
      <c r="AL115" s="10"/>
      <c r="AM115" s="10">
        <v>25013</v>
      </c>
      <c r="AN115" s="10"/>
      <c r="AO115" s="10"/>
      <c r="AP115" s="10"/>
      <c r="AQ115" s="51" t="s">
        <v>585</v>
      </c>
      <c r="AR115" s="51" t="s">
        <v>1533</v>
      </c>
      <c r="AS115" s="51" t="s">
        <v>1560</v>
      </c>
      <c r="AT115" s="51" t="s">
        <v>754</v>
      </c>
      <c r="AU115" s="16" t="s">
        <v>1534</v>
      </c>
      <c r="AV115" s="52" t="s">
        <v>1535</v>
      </c>
      <c r="AW115" s="52"/>
      <c r="AX115" s="51"/>
      <c r="AY115" s="51"/>
      <c r="AZ115" s="51"/>
      <c r="BA115" s="51"/>
      <c r="BB115" s="51"/>
      <c r="BC115" s="51"/>
      <c r="BD115" s="51"/>
      <c r="BE115" s="51"/>
      <c r="BF115" s="92"/>
      <c r="BG115" s="92"/>
      <c r="BH115" s="92"/>
      <c r="BI115" s="92"/>
      <c r="BJ115" s="92"/>
      <c r="BK115" s="92"/>
      <c r="BL115" s="92"/>
      <c r="BN115" s="7" t="str">
        <f>IF(IFERROR(FIND("romatis",TableauJDG[[#This Row],[TYPE DE THÉ FR]]),0)=0,"","aromatisé")</f>
        <v/>
      </c>
      <c r="BV115" s="10" t="str">
        <f t="shared" si="110"/>
        <v>Ces minis tuocha, fruits de la compression de feuilles de pu’er issues de théiers anciens sont particulièrement pratiques et faciles à vivre. À glisser dans sa poche ou dans un sac, pour apprécier leurs saveurs boisées et légèrement sucrées au burea</v>
      </c>
      <c r="BW115" s="10" t="str">
        <f t="shared" si="111"/>
        <v>u ou en rando à l’autre bout du monde.</v>
      </c>
      <c r="BX115" s="10" t="str">
        <f t="shared" si="84"/>
        <v/>
      </c>
      <c r="BY115" s="10" t="str">
        <f t="shared" si="85"/>
        <v/>
      </c>
      <c r="BZ115" s="10" t="str">
        <f t="shared" si="86"/>
        <v>Ingrédient : thé sombre pu'er* compressé en nid. *Issu de l'agriculture biologique.</v>
      </c>
      <c r="CA115" s="10" t="str">
        <f t="shared" si="87"/>
        <v/>
      </c>
      <c r="CB115" s="10" t="str">
        <f t="shared" si="88"/>
        <v/>
      </c>
      <c r="CC115" s="10" t="str">
        <f t="shared" si="89"/>
        <v/>
      </c>
      <c r="CD115" s="10" t="str">
        <f t="shared" si="90"/>
        <v>/</v>
      </c>
      <c r="CE115" s="10" t="str">
        <f t="shared" si="91"/>
        <v/>
      </c>
      <c r="CF115" s="10" t="str">
        <f t="shared" si="92"/>
        <v/>
      </c>
      <c r="CG115" s="10" t="str">
        <f t="shared" si="93"/>
        <v/>
      </c>
      <c r="CH115" s="10" t="str">
        <f t="shared" si="94"/>
        <v>Membre certifié World Fair Trade Organization, Les Jardins de Gaïa s’engagent pour un commerce plus juste et répondent aux exigences du commerce équitable. Pour en savoir plus : www.wfto.com.</v>
      </c>
      <c r="CI115" s="10" t="str">
        <f t="shared" si="95"/>
        <v/>
      </c>
      <c r="CJ115" s="10" t="str">
        <f t="shared" si="96"/>
        <v/>
      </c>
      <c r="CK115" s="10" t="str">
        <f t="shared" si="97"/>
        <v/>
      </c>
      <c r="CL115" s="10" t="str">
        <f t="shared" si="98"/>
        <v>These mini tuocha, the result of compressing pu'er leaves from ancient tea bushes, are particularly practical and easy to live with. Slip them into your pocket or bag, and enjoy their woody, slightly sweet flavours at the office or on a hike to the o</v>
      </c>
      <c r="CM115" s="10" t="str">
        <f t="shared" si="99"/>
        <v>ther side of the world.</v>
      </c>
      <c r="CN115" s="10" t="str">
        <f t="shared" si="100"/>
        <v/>
      </c>
      <c r="CO115" s="10" t="str">
        <f t="shared" si="101"/>
        <v/>
      </c>
      <c r="CP115" s="10" t="str">
        <f t="shared" si="102"/>
        <v xml:space="preserve">Ingredient: pu'er dark tea* compressed into a nest. *From organic farming. </v>
      </c>
      <c r="CQ115" s="10" t="str">
        <f t="shared" si="103"/>
        <v/>
      </c>
      <c r="CR115" s="10" t="str">
        <f t="shared" si="104"/>
        <v/>
      </c>
      <c r="CS115" s="10" t="str">
        <f t="shared" si="105"/>
        <v/>
      </c>
      <c r="CT115" s="10" t="str">
        <f t="shared" si="106"/>
        <v/>
      </c>
      <c r="CU115" s="10" t="str">
        <f t="shared" si="107"/>
        <v/>
      </c>
      <c r="CV115" s="10" t="str">
        <f t="shared" si="108"/>
        <v/>
      </c>
      <c r="CW115" s="10" t="str">
        <f t="shared" si="109"/>
        <v/>
      </c>
    </row>
    <row r="116" spans="1:101" s="66" customFormat="1" ht="72">
      <c r="A116" s="129" t="s">
        <v>593</v>
      </c>
      <c r="B116" s="9" t="s">
        <v>782</v>
      </c>
      <c r="C116" s="9"/>
      <c r="D116" s="8" t="s">
        <v>594</v>
      </c>
      <c r="E116" s="9" t="s">
        <v>595</v>
      </c>
      <c r="F116" s="9" t="s">
        <v>596</v>
      </c>
      <c r="G116" s="9" t="s">
        <v>65</v>
      </c>
      <c r="H116" s="10" t="s">
        <v>5</v>
      </c>
      <c r="I116" s="10" t="s">
        <v>6</v>
      </c>
      <c r="J116" s="10" t="s">
        <v>29</v>
      </c>
      <c r="K116" s="10" t="s">
        <v>8</v>
      </c>
      <c r="L116" s="10" t="s">
        <v>29</v>
      </c>
      <c r="M116" s="10" t="s">
        <v>29</v>
      </c>
      <c r="N116" s="10" t="s">
        <v>47</v>
      </c>
      <c r="O116" s="9" t="s">
        <v>1909</v>
      </c>
      <c r="P116" s="9" t="s">
        <v>597</v>
      </c>
      <c r="Q116" s="9" t="s">
        <v>1109</v>
      </c>
      <c r="R116" s="9"/>
      <c r="S116" s="9"/>
      <c r="T116" s="9" t="s">
        <v>48</v>
      </c>
      <c r="U116"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16" s="9" t="s">
        <v>29</v>
      </c>
      <c r="W116" s="9" t="s">
        <v>31</v>
      </c>
      <c r="X116" s="10">
        <v>60</v>
      </c>
      <c r="Y116" s="19" t="s">
        <v>78</v>
      </c>
      <c r="Z116" s="19">
        <v>80</v>
      </c>
      <c r="AA116" s="10">
        <v>2</v>
      </c>
      <c r="AB116" s="10">
        <v>30</v>
      </c>
      <c r="AC116" s="12">
        <v>3582810672068</v>
      </c>
      <c r="AD116" s="10" t="s">
        <v>50</v>
      </c>
      <c r="AE116" s="10" t="s">
        <v>598</v>
      </c>
      <c r="AF116" s="10" t="s">
        <v>1110</v>
      </c>
      <c r="AG116" s="10" t="s">
        <v>1111</v>
      </c>
      <c r="AH116" s="13" t="s">
        <v>87</v>
      </c>
      <c r="AI116" s="10"/>
      <c r="AJ116" s="10"/>
      <c r="AK116" s="10"/>
      <c r="AL116" s="10"/>
      <c r="AM116" s="10"/>
      <c r="AN116" s="10"/>
      <c r="AO116" s="10"/>
      <c r="AP116" s="10"/>
      <c r="AQ116" s="51"/>
      <c r="AR116" s="51"/>
      <c r="AS116" s="51"/>
      <c r="AT116" s="51"/>
      <c r="AU116" s="51"/>
      <c r="AV116" s="52"/>
      <c r="AW116" s="52"/>
      <c r="AX116" s="51"/>
      <c r="AY116" s="51"/>
      <c r="AZ116" s="51"/>
      <c r="BA116" s="51"/>
      <c r="BB116" s="51"/>
      <c r="BC116" s="51"/>
      <c r="BD116" s="51"/>
      <c r="BE116" s="51"/>
      <c r="BF116" s="92"/>
      <c r="BG116" s="92"/>
      <c r="BH116" s="92"/>
      <c r="BI116" s="92"/>
      <c r="BJ116" s="92"/>
      <c r="BK116" s="92"/>
      <c r="BL116" s="92"/>
      <c r="BM116" s="7"/>
      <c r="BN116" s="7" t="str">
        <f>IF(IFERROR(FIND("romatis",TableauJDG[[#This Row],[TYPE DE THÉ FR]]),0)=0,"","aromatisé")</f>
        <v/>
      </c>
      <c r="BO116" s="10" t="s">
        <v>1760</v>
      </c>
      <c r="BP116" s="7"/>
      <c r="BQ116" s="7"/>
      <c r="BR116" s="7"/>
      <c r="BS116" s="7"/>
      <c r="BT116" s="7"/>
      <c r="BU116" s="7"/>
      <c r="BV116" s="10" t="str">
        <f t="shared" si="110"/>
        <v>Ce thé blanc compressé en une charmante petite galette est composé de bourgeons au duvet argenté et de jeunes feuilles tortueuses issues de théiers anciens. Original et rare, il offre une liqueur raffinée et douce, aux parfums floraux et aux saveur</v>
      </c>
      <c r="BW116" s="10" t="str">
        <f t="shared" si="111"/>
        <v xml:space="preserve">s végétales, fruitées et délicatement sucrées. </v>
      </c>
      <c r="BX116" s="10" t="str">
        <f t="shared" si="84"/>
        <v/>
      </c>
      <c r="BY116" s="10" t="str">
        <f t="shared" si="85"/>
        <v/>
      </c>
      <c r="BZ116" s="10" t="str">
        <f t="shared" si="86"/>
        <v xml:space="preserve">Ingrédient : thé blanc*. *Issu de l'agriculture biologique. </v>
      </c>
      <c r="CA116" s="10" t="str">
        <f t="shared" si="87"/>
        <v/>
      </c>
      <c r="CB116" s="10" t="str">
        <f t="shared" si="88"/>
        <v/>
      </c>
      <c r="CC116" s="10" t="str">
        <f t="shared" si="89"/>
        <v/>
      </c>
      <c r="CD116" s="10" t="str">
        <f t="shared" si="90"/>
        <v>/</v>
      </c>
      <c r="CE116" s="10" t="str">
        <f t="shared" si="91"/>
        <v/>
      </c>
      <c r="CF116" s="10" t="str">
        <f t="shared" si="92"/>
        <v/>
      </c>
      <c r="CG116" s="10" t="str">
        <f t="shared" si="93"/>
        <v/>
      </c>
      <c r="CH116" s="10" t="str">
        <f t="shared" si="94"/>
        <v>Membre certifié World Fair Trade Organization, Les Jardins de Gaïa s’engagent pour un commerce plus juste et répondent aux exigences du commerce équitable. Pour en savoir plus : www.wfto.com.</v>
      </c>
      <c r="CI116" s="10" t="str">
        <f t="shared" si="95"/>
        <v/>
      </c>
      <c r="CJ116" s="10" t="str">
        <f t="shared" si="96"/>
        <v/>
      </c>
      <c r="CK116" s="10" t="str">
        <f t="shared" si="97"/>
        <v/>
      </c>
      <c r="CL116" s="10" t="str">
        <f t="shared" si="98"/>
        <v/>
      </c>
      <c r="CM116" s="10" t="str">
        <f t="shared" si="99"/>
        <v/>
      </c>
      <c r="CN116" s="10" t="str">
        <f t="shared" si="100"/>
        <v/>
      </c>
      <c r="CO116" s="10" t="str">
        <f t="shared" si="101"/>
        <v/>
      </c>
      <c r="CP116" s="10" t="str">
        <f t="shared" si="102"/>
        <v/>
      </c>
      <c r="CQ116" s="10" t="str">
        <f t="shared" si="103"/>
        <v/>
      </c>
      <c r="CR116" s="10" t="str">
        <f t="shared" si="104"/>
        <v/>
      </c>
      <c r="CS116" s="10" t="str">
        <f t="shared" si="105"/>
        <v/>
      </c>
      <c r="CT116" s="10" t="str">
        <f t="shared" si="106"/>
        <v/>
      </c>
      <c r="CU116" s="10" t="str">
        <f t="shared" si="107"/>
        <v/>
      </c>
      <c r="CV116" s="10" t="str">
        <f t="shared" si="108"/>
        <v/>
      </c>
      <c r="CW116" s="10" t="str">
        <f t="shared" si="109"/>
        <v/>
      </c>
    </row>
    <row r="117" spans="1:101" ht="126" customHeight="1">
      <c r="A117" s="129" t="s">
        <v>603</v>
      </c>
      <c r="B117" s="9" t="s">
        <v>1102</v>
      </c>
      <c r="C117" s="9"/>
      <c r="D117" s="8" t="s">
        <v>599</v>
      </c>
      <c r="E117" s="9" t="s">
        <v>600</v>
      </c>
      <c r="F117" s="9" t="s">
        <v>89</v>
      </c>
      <c r="G117" s="9" t="s">
        <v>601</v>
      </c>
      <c r="H117" s="35" t="s">
        <v>5</v>
      </c>
      <c r="I117" s="35" t="s">
        <v>29</v>
      </c>
      <c r="J117" s="35" t="s">
        <v>29</v>
      </c>
      <c r="K117" s="35" t="s">
        <v>29</v>
      </c>
      <c r="L117" s="35" t="s">
        <v>9</v>
      </c>
      <c r="M117" s="36" t="s">
        <v>29</v>
      </c>
      <c r="N117" s="10" t="s">
        <v>30</v>
      </c>
      <c r="O117" s="9"/>
      <c r="P117" s="9" t="s">
        <v>1112</v>
      </c>
      <c r="Q117" s="9" t="s">
        <v>1113</v>
      </c>
      <c r="R117" s="9"/>
      <c r="S117" s="9"/>
      <c r="T117" s="9" t="s">
        <v>602</v>
      </c>
      <c r="U117"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17" s="9" t="s">
        <v>29</v>
      </c>
      <c r="W117" s="9"/>
      <c r="X117" s="10">
        <v>80</v>
      </c>
      <c r="Y117" s="11" t="s">
        <v>32</v>
      </c>
      <c r="Z117" s="19" t="s">
        <v>66</v>
      </c>
      <c r="AA117" s="10">
        <v>2</v>
      </c>
      <c r="AB117" s="10">
        <v>40</v>
      </c>
      <c r="AC117" s="12">
        <v>3582810224120</v>
      </c>
      <c r="AD117" s="10" t="s">
        <v>29</v>
      </c>
      <c r="AE117" s="10" t="s">
        <v>604</v>
      </c>
      <c r="AF117" s="10" t="s">
        <v>1114</v>
      </c>
      <c r="AG117" s="10" t="s">
        <v>1115</v>
      </c>
      <c r="AH117" s="13" t="s">
        <v>141</v>
      </c>
      <c r="AI117" s="10"/>
      <c r="AJ117" s="10"/>
      <c r="AK117" s="10"/>
      <c r="AL117" s="10"/>
      <c r="AM117" s="10"/>
      <c r="AN117" s="10"/>
      <c r="AO117" s="10"/>
      <c r="AP117" s="10"/>
      <c r="AQ117" s="51"/>
      <c r="AR117" s="51"/>
      <c r="AS117" s="51"/>
      <c r="AT117" s="51"/>
      <c r="AU117" s="51"/>
      <c r="AV117" s="52"/>
      <c r="AW117" s="52"/>
      <c r="AX117" s="51"/>
      <c r="AY117" s="51"/>
      <c r="AZ117" s="51"/>
      <c r="BA117" s="51"/>
      <c r="BB117" s="51"/>
      <c r="BC117" s="51"/>
      <c r="BD117" s="51"/>
      <c r="BE117" s="51"/>
      <c r="BF117" s="92"/>
      <c r="BG117" s="92"/>
      <c r="BH117" s="92"/>
      <c r="BI117" s="92"/>
      <c r="BJ117" s="92"/>
      <c r="BK117" s="92"/>
      <c r="BL117" s="92"/>
      <c r="BN117" s="7" t="str">
        <f>IF(IFERROR(FIND("romatis",TableauJDG[[#This Row],[TYPE DE THÉ FR]]),0)=0,"","aromatisé")</f>
        <v/>
      </c>
      <c r="BV117" s="10" t="str">
        <f t="shared" si="110"/>
        <v>Ce thé noir printanier de Singell est une ode à l’astre lunaire et son influence bénéfique sur les théiers. Sa liqueur lumineuse témoigne du grand savoir-faire du jardin. Elle offre des saveurs d’herbes et de fleurs sauvages suivies d’une finale acid</v>
      </c>
      <c r="BW117" s="10" t="str">
        <f t="shared" si="111"/>
        <v xml:space="preserve">ulée d’une belle longueur en bouche. </v>
      </c>
      <c r="BX117" s="10" t="str">
        <f t="shared" si="84"/>
        <v/>
      </c>
      <c r="BY117" s="10" t="str">
        <f t="shared" si="85"/>
        <v/>
      </c>
      <c r="BZ117" s="10" t="str">
        <f t="shared" si="86"/>
        <v xml:space="preserve">Ingrédient :  thé noir*. *Issu de l'agriculture biologique. </v>
      </c>
      <c r="CA117" s="10" t="str">
        <f t="shared" si="87"/>
        <v/>
      </c>
      <c r="CB117" s="10" t="str">
        <f t="shared" si="88"/>
        <v/>
      </c>
      <c r="CC117" s="10" t="str">
        <f t="shared" si="89"/>
        <v/>
      </c>
      <c r="CD117" s="10" t="str">
        <f t="shared" si="90"/>
        <v>/</v>
      </c>
      <c r="CE117" s="10" t="str">
        <f t="shared" si="91"/>
        <v/>
      </c>
      <c r="CF117" s="10" t="str">
        <f t="shared" si="92"/>
        <v/>
      </c>
      <c r="CG117" s="10" t="str">
        <f t="shared" si="93"/>
        <v/>
      </c>
      <c r="CH117" s="10" t="str">
        <f t="shared" si="94"/>
        <v/>
      </c>
      <c r="CI117" s="10" t="str">
        <f t="shared" si="95"/>
        <v/>
      </c>
      <c r="CJ117" s="10" t="str">
        <f t="shared" si="96"/>
        <v/>
      </c>
      <c r="CK117" s="10" t="str">
        <f t="shared" si="97"/>
        <v/>
      </c>
      <c r="CL117" s="10" t="str">
        <f t="shared" si="98"/>
        <v/>
      </c>
      <c r="CM117" s="10" t="str">
        <f t="shared" si="99"/>
        <v/>
      </c>
      <c r="CN117" s="10" t="str">
        <f t="shared" si="100"/>
        <v/>
      </c>
      <c r="CO117" s="10" t="str">
        <f t="shared" si="101"/>
        <v/>
      </c>
      <c r="CP117" s="10" t="str">
        <f t="shared" si="102"/>
        <v/>
      </c>
      <c r="CQ117" s="10" t="str">
        <f t="shared" si="103"/>
        <v/>
      </c>
      <c r="CR117" s="10" t="str">
        <f t="shared" si="104"/>
        <v/>
      </c>
      <c r="CS117" s="10" t="str">
        <f t="shared" si="105"/>
        <v/>
      </c>
      <c r="CT117" s="10" t="str">
        <f t="shared" si="106"/>
        <v/>
      </c>
      <c r="CU117" s="10" t="str">
        <f t="shared" si="107"/>
        <v/>
      </c>
      <c r="CV117" s="10" t="str">
        <f t="shared" si="108"/>
        <v/>
      </c>
      <c r="CW117" s="10" t="str">
        <f t="shared" si="109"/>
        <v/>
      </c>
    </row>
    <row r="118" spans="1:101" ht="72">
      <c r="A118" s="129" t="s">
        <v>605</v>
      </c>
      <c r="B118" s="9" t="s">
        <v>783</v>
      </c>
      <c r="C118" s="9"/>
      <c r="D118" s="8" t="s">
        <v>606</v>
      </c>
      <c r="E118" s="9" t="s">
        <v>607</v>
      </c>
      <c r="F118" s="9" t="s">
        <v>86</v>
      </c>
      <c r="G118" s="9" t="s">
        <v>295</v>
      </c>
      <c r="H118" s="10" t="s">
        <v>29</v>
      </c>
      <c r="I118" s="10" t="s">
        <v>29</v>
      </c>
      <c r="J118" s="10" t="s">
        <v>29</v>
      </c>
      <c r="K118" s="10" t="s">
        <v>29</v>
      </c>
      <c r="L118" s="10" t="s">
        <v>29</v>
      </c>
      <c r="M118" s="10" t="s">
        <v>29</v>
      </c>
      <c r="N118" s="10" t="s">
        <v>29</v>
      </c>
      <c r="O118" s="9"/>
      <c r="P118" s="9" t="s">
        <v>608</v>
      </c>
      <c r="Q118" s="9" t="s">
        <v>1116</v>
      </c>
      <c r="R118" s="9"/>
      <c r="S118" s="9"/>
      <c r="T118" s="9" t="s">
        <v>609</v>
      </c>
      <c r="U118"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18" s="9" t="s">
        <v>29</v>
      </c>
      <c r="W118" s="9" t="s">
        <v>29</v>
      </c>
      <c r="X118" s="10">
        <v>50</v>
      </c>
      <c r="Y118" s="19" t="s">
        <v>59</v>
      </c>
      <c r="Z118" s="19">
        <v>85</v>
      </c>
      <c r="AA118" s="10">
        <v>2</v>
      </c>
      <c r="AB118" s="10">
        <v>25</v>
      </c>
      <c r="AC118" s="12">
        <v>3582811022961</v>
      </c>
      <c r="AD118" s="10" t="s">
        <v>50</v>
      </c>
      <c r="AE118" s="10" t="s">
        <v>610</v>
      </c>
      <c r="AF118" s="10" t="s">
        <v>1117</v>
      </c>
      <c r="AG118" s="10" t="s">
        <v>29</v>
      </c>
      <c r="AH118" s="10" t="s">
        <v>295</v>
      </c>
      <c r="AI118" s="10"/>
      <c r="AJ118" s="10"/>
      <c r="AK118" s="10"/>
      <c r="AL118" s="10"/>
      <c r="AM118" s="10"/>
      <c r="AN118" s="10"/>
      <c r="AO118" s="10"/>
      <c r="AP118" s="10"/>
      <c r="AQ118" s="51"/>
      <c r="AR118" s="51"/>
      <c r="AS118" s="51"/>
      <c r="AT118" s="51"/>
      <c r="AU118" s="51"/>
      <c r="AV118" s="52"/>
      <c r="AW118" s="52"/>
      <c r="AX118" s="51"/>
      <c r="AY118" s="51"/>
      <c r="AZ118" s="51"/>
      <c r="BA118" s="51"/>
      <c r="BB118" s="51"/>
      <c r="BC118" s="51"/>
      <c r="BD118" s="51"/>
      <c r="BE118" s="51"/>
      <c r="BF118" s="92"/>
      <c r="BG118" s="92"/>
      <c r="BH118" s="92"/>
      <c r="BI118" s="92"/>
      <c r="BJ118" s="92"/>
      <c r="BK118" s="92"/>
      <c r="BL118" s="92"/>
      <c r="BN118" s="7" t="str">
        <f>IF(IFERROR(FIND("romatis",TableauJDG[[#This Row],[TYPE DE THÉ FR]]),0)=0,"","aromatisé")</f>
        <v/>
      </c>
      <c r="BV118" s="10" t="str">
        <f t="shared" si="110"/>
        <v>Cultivées dans la magnifique région de Matsuzaki dans la péninsule d’Izu, ces feuilles de mûrier blanc (Morus alba) ont été transformées à la manière d’un sencha. Elles sont très appréciées au Japon pour leurs saveurs sucrées évoquant les fèves, acco</v>
      </c>
      <c r="BW118" s="10" t="str">
        <f t="shared" si="111"/>
        <v>mpagnées de jolies notes herbacées et épicées.</v>
      </c>
      <c r="BX118" s="10" t="str">
        <f t="shared" si="84"/>
        <v/>
      </c>
      <c r="BY118" s="10" t="str">
        <f t="shared" si="85"/>
        <v/>
      </c>
      <c r="BZ118" s="10" t="str">
        <f t="shared" si="86"/>
        <v xml:space="preserve">Ingrédient : feuilles de mûrier blanc du Japon (Morus Alba). 
Garanti sans résidus de pesticides. </v>
      </c>
      <c r="CA118" s="10" t="str">
        <f t="shared" si="87"/>
        <v/>
      </c>
      <c r="CB118" s="10" t="str">
        <f t="shared" si="88"/>
        <v/>
      </c>
      <c r="CC118" s="10" t="str">
        <f t="shared" si="89"/>
        <v/>
      </c>
      <c r="CD118" s="10" t="str">
        <f t="shared" si="90"/>
        <v>/</v>
      </c>
      <c r="CE118" s="10" t="str">
        <f t="shared" si="91"/>
        <v/>
      </c>
      <c r="CF118" s="10" t="str">
        <f t="shared" si="92"/>
        <v/>
      </c>
      <c r="CG118" s="10" t="str">
        <f t="shared" si="93"/>
        <v/>
      </c>
      <c r="CH118" s="10" t="str">
        <f t="shared" si="94"/>
        <v>/</v>
      </c>
      <c r="CI118" s="10" t="str">
        <f t="shared" si="95"/>
        <v/>
      </c>
      <c r="CJ118" s="10" t="str">
        <f t="shared" si="96"/>
        <v/>
      </c>
      <c r="CK118" s="10" t="str">
        <f t="shared" si="97"/>
        <v/>
      </c>
      <c r="CL118" s="10" t="str">
        <f t="shared" si="98"/>
        <v/>
      </c>
      <c r="CM118" s="10" t="str">
        <f t="shared" si="99"/>
        <v/>
      </c>
      <c r="CN118" s="10" t="str">
        <f t="shared" si="100"/>
        <v/>
      </c>
      <c r="CO118" s="10" t="str">
        <f t="shared" si="101"/>
        <v/>
      </c>
      <c r="CP118" s="10" t="str">
        <f t="shared" si="102"/>
        <v/>
      </c>
      <c r="CQ118" s="10" t="str">
        <f t="shared" si="103"/>
        <v/>
      </c>
      <c r="CR118" s="10" t="str">
        <f t="shared" si="104"/>
        <v/>
      </c>
      <c r="CS118" s="10" t="str">
        <f t="shared" si="105"/>
        <v/>
      </c>
      <c r="CT118" s="10" t="str">
        <f t="shared" si="106"/>
        <v/>
      </c>
      <c r="CU118" s="10" t="str">
        <f t="shared" si="107"/>
        <v/>
      </c>
      <c r="CV118" s="10" t="str">
        <f t="shared" si="108"/>
        <v/>
      </c>
      <c r="CW118" s="10" t="str">
        <f t="shared" si="109"/>
        <v/>
      </c>
    </row>
    <row r="119" spans="1:101" ht="72">
      <c r="A119" s="129" t="s">
        <v>618</v>
      </c>
      <c r="B119" s="9" t="s">
        <v>26</v>
      </c>
      <c r="C119" s="9"/>
      <c r="D119" s="8" t="s">
        <v>611</v>
      </c>
      <c r="E119" s="9" t="s">
        <v>612</v>
      </c>
      <c r="F119" s="9" t="s">
        <v>44</v>
      </c>
      <c r="G119" s="9" t="s">
        <v>45</v>
      </c>
      <c r="H119" s="10" t="s">
        <v>5</v>
      </c>
      <c r="I119" s="10" t="s">
        <v>6</v>
      </c>
      <c r="J119" s="10" t="s">
        <v>29</v>
      </c>
      <c r="K119" s="10" t="s">
        <v>29</v>
      </c>
      <c r="L119" s="10" t="s">
        <v>29</v>
      </c>
      <c r="M119" s="10" t="s">
        <v>29</v>
      </c>
      <c r="N119" s="10" t="s">
        <v>37</v>
      </c>
      <c r="O119" s="9"/>
      <c r="P119" s="9" t="s">
        <v>613</v>
      </c>
      <c r="Q119" s="9" t="s">
        <v>1118</v>
      </c>
      <c r="R119" s="9"/>
      <c r="S119" s="9"/>
      <c r="T119" s="9" t="s">
        <v>614</v>
      </c>
      <c r="U119"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19" s="9" t="s">
        <v>29</v>
      </c>
      <c r="W119" s="9" t="s">
        <v>31</v>
      </c>
      <c r="X119" s="10">
        <v>100</v>
      </c>
      <c r="Y119" s="11" t="s">
        <v>42</v>
      </c>
      <c r="Z119" s="19">
        <v>95</v>
      </c>
      <c r="AA119" s="10">
        <v>2</v>
      </c>
      <c r="AB119" s="10">
        <v>50</v>
      </c>
      <c r="AC119" s="12">
        <v>3582810921524</v>
      </c>
      <c r="AD119" s="10" t="s">
        <v>29</v>
      </c>
      <c r="AE119" s="10" t="s">
        <v>1120</v>
      </c>
      <c r="AF119" s="10" t="s">
        <v>1120</v>
      </c>
      <c r="AG119" s="10" t="s">
        <v>1121</v>
      </c>
      <c r="AH119" s="13" t="s">
        <v>38</v>
      </c>
      <c r="AI119" s="54" t="s">
        <v>776</v>
      </c>
      <c r="AJ119" s="54" t="s">
        <v>776</v>
      </c>
      <c r="AK119" s="55">
        <v>45601</v>
      </c>
      <c r="AL119" s="10" t="s">
        <v>1122</v>
      </c>
      <c r="AM119" s="10" t="s">
        <v>1123</v>
      </c>
      <c r="AN119" s="10"/>
      <c r="AO119" s="50"/>
      <c r="AP119" s="50"/>
      <c r="AQ119" s="51" t="s">
        <v>615</v>
      </c>
      <c r="AR119" s="51" t="s">
        <v>616</v>
      </c>
      <c r="AS119" s="16"/>
      <c r="AT119" s="87" t="e">
        <f>VLOOKUP(A119,TRADS,14,0)</f>
        <v>#REF!</v>
      </c>
      <c r="AU119" s="63" t="s">
        <v>1119</v>
      </c>
      <c r="AV119" s="16" t="s">
        <v>617</v>
      </c>
      <c r="AW119" s="16"/>
      <c r="AX119" s="51"/>
      <c r="AY119" s="51"/>
      <c r="AZ119" s="51"/>
      <c r="BA119" s="51"/>
      <c r="BB119" s="51"/>
      <c r="BC119" s="51"/>
      <c r="BD119" s="51"/>
      <c r="BE119" s="51"/>
      <c r="BF119" s="92"/>
      <c r="BG119" s="92"/>
      <c r="BH119" s="92"/>
      <c r="BI119" s="92"/>
      <c r="BJ119" s="92"/>
      <c r="BK119" s="92"/>
      <c r="BL119" s="92"/>
      <c r="BN119" s="7" t="str">
        <f>IF(IFERROR(FIND("romatis",TableauJDG[[#This Row],[TYPE DE THÉ FR]]),0)=0,"","aromatisé")</f>
        <v>aromatisé</v>
      </c>
      <c r="BV119" s="10" t="str">
        <f t="shared" si="110"/>
        <v>A l’image d’un doux murmure de la forêt qui attire, cette recette de rooibos est riche en secrets gourmands. Laissez-vous séduire par la rencontre des saveurs fruitées, sucrées et légèrement acidulées d’une corbeille de fruits rouges avec les notes b</v>
      </c>
      <c r="BW119" s="10" t="str">
        <f t="shared" si="111"/>
        <v>oisées de l’emblématique boisson sud-africaine.</v>
      </c>
      <c r="BX119" s="10" t="str">
        <f t="shared" si="84"/>
        <v/>
      </c>
      <c r="BY119" s="10" t="str">
        <f t="shared" si="85"/>
        <v/>
      </c>
      <c r="BZ119" s="10" t="str">
        <f t="shared" si="86"/>
        <v>Ingrédients : rooibos*, arômes naturels de (myrtille*, framboise*, mûre* 3%, fraise* 2%), aronia*, feuilles de fraisier* 1%. *Issu de l'agriculture biologique.</v>
      </c>
      <c r="CA119" s="10" t="str">
        <f t="shared" si="87"/>
        <v/>
      </c>
      <c r="CB119" s="10" t="str">
        <f t="shared" si="88"/>
        <v/>
      </c>
      <c r="CC119" s="10" t="str">
        <f t="shared" si="89"/>
        <v/>
      </c>
      <c r="CD119" s="10" t="str">
        <f t="shared" si="90"/>
        <v>/</v>
      </c>
      <c r="CE119" s="10" t="str">
        <f t="shared" si="91"/>
        <v/>
      </c>
      <c r="CF119" s="10" t="str">
        <f t="shared" si="92"/>
        <v/>
      </c>
      <c r="CG119" s="10" t="str">
        <f t="shared" si="93"/>
        <v/>
      </c>
      <c r="CH119" s="10" t="str">
        <f t="shared" si="94"/>
        <v>Membre certifié World Fair Trade Organization, Les Jardins de Gaïa s’engagent pour un commerce plus juste et répondent aux exigences du commerce équitable. Pour en savoir plus : www.wfto.com.</v>
      </c>
      <c r="CI119" s="10" t="str">
        <f t="shared" si="95"/>
        <v/>
      </c>
      <c r="CJ119" s="10" t="str">
        <f t="shared" si="96"/>
        <v/>
      </c>
      <c r="CK119" s="10" t="str">
        <f t="shared" si="97"/>
        <v/>
      </c>
      <c r="CL119" s="10" t="str">
        <f t="shared" si="98"/>
        <v>Like the gentle murmur of the beckoning forest, this rooibos recipe is rich in tasty secrets. Let yourself be seduced by the meeting of the fruity, sweet and slightly acid flavours of a basket of red fruits with the woody notes of the emblematic Sout</v>
      </c>
      <c r="CM119" s="10" t="str">
        <f t="shared" si="99"/>
        <v>h African drink.</v>
      </c>
      <c r="CN119" s="10" t="str">
        <f t="shared" si="100"/>
        <v/>
      </c>
      <c r="CO119" s="10" t="str">
        <f t="shared" si="101"/>
        <v/>
      </c>
      <c r="CP119" s="10" t="str">
        <f t="shared" si="102"/>
        <v>Ingredients: rooibos*, natural (blueberry*, raspberry*, blackberry* 3%, strawberry* 2%) flavourings, aronia*, strawberry leaves* 1%. *From organic farming.</v>
      </c>
      <c r="CQ119" s="10" t="str">
        <f t="shared" si="103"/>
        <v/>
      </c>
      <c r="CR119" s="10" t="str">
        <f t="shared" si="104"/>
        <v/>
      </c>
      <c r="CS119" s="10" t="str">
        <f t="shared" si="105"/>
        <v/>
      </c>
      <c r="CT119" s="10" t="str">
        <f t="shared" si="106"/>
        <v/>
      </c>
      <c r="CU119" s="10" t="str">
        <f t="shared" si="107"/>
        <v/>
      </c>
      <c r="CV119" s="10" t="str">
        <f t="shared" si="108"/>
        <v/>
      </c>
      <c r="CW119" s="10" t="str">
        <f t="shared" si="109"/>
        <v/>
      </c>
    </row>
    <row r="120" spans="1:101" ht="201.6">
      <c r="A120" s="130" t="s">
        <v>622</v>
      </c>
      <c r="B120" s="9" t="s">
        <v>26</v>
      </c>
      <c r="C120" s="9"/>
      <c r="D120" s="8" t="s">
        <v>619</v>
      </c>
      <c r="E120" s="9" t="s">
        <v>620</v>
      </c>
      <c r="F120" s="9" t="s">
        <v>62</v>
      </c>
      <c r="G120" s="9" t="s">
        <v>97</v>
      </c>
      <c r="H120" s="10" t="s">
        <v>5</v>
      </c>
      <c r="I120" s="10" t="s">
        <v>6</v>
      </c>
      <c r="J120" s="10" t="s">
        <v>29</v>
      </c>
      <c r="K120" s="10" t="s">
        <v>29</v>
      </c>
      <c r="L120" s="10" t="s">
        <v>29</v>
      </c>
      <c r="M120" s="10" t="s">
        <v>29</v>
      </c>
      <c r="N120" s="10" t="s">
        <v>37</v>
      </c>
      <c r="O120" s="9"/>
      <c r="P120" s="9" t="s">
        <v>621</v>
      </c>
      <c r="Q120" s="9" t="s">
        <v>1124</v>
      </c>
      <c r="R120" s="9"/>
      <c r="S120" s="9"/>
      <c r="T120" s="9" t="s">
        <v>1669</v>
      </c>
      <c r="U120"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20" s="9" t="s">
        <v>29</v>
      </c>
      <c r="W120" s="9" t="s">
        <v>31</v>
      </c>
      <c r="X120" s="10">
        <v>50</v>
      </c>
      <c r="Y120" s="19" t="s">
        <v>32</v>
      </c>
      <c r="Z120" s="19">
        <v>85</v>
      </c>
      <c r="AA120" s="10">
        <v>2</v>
      </c>
      <c r="AB120" s="10">
        <v>25</v>
      </c>
      <c r="AC120" s="12">
        <v>3582810650561</v>
      </c>
      <c r="AD120" s="10" t="s">
        <v>29</v>
      </c>
      <c r="AE120" s="38" t="s">
        <v>1125</v>
      </c>
      <c r="AF120" s="38" t="s">
        <v>1125</v>
      </c>
      <c r="AG120" s="38" t="s">
        <v>1126</v>
      </c>
      <c r="AH120" s="13" t="s">
        <v>38</v>
      </c>
      <c r="AI120" s="54" t="s">
        <v>776</v>
      </c>
      <c r="AJ120" s="54" t="s">
        <v>776</v>
      </c>
      <c r="AK120" s="55">
        <v>45674</v>
      </c>
      <c r="AL120" s="10"/>
      <c r="AM120" s="10" t="s">
        <v>1639</v>
      </c>
      <c r="AN120" s="10"/>
      <c r="AO120" s="50"/>
      <c r="AP120" s="50"/>
      <c r="AQ120" s="51" t="s">
        <v>1240</v>
      </c>
      <c r="AR120" s="51" t="s">
        <v>1319</v>
      </c>
      <c r="AS120" s="87" t="s">
        <v>1558</v>
      </c>
      <c r="AT120" s="87" t="e">
        <f>VLOOKUP(A120,TRADS,14,0)</f>
        <v>#REF!</v>
      </c>
      <c r="AU120" s="141" t="s">
        <v>1597</v>
      </c>
      <c r="AV120" s="87" t="s">
        <v>1320</v>
      </c>
      <c r="AW120" s="52"/>
      <c r="AX120" s="51"/>
      <c r="AY120" s="51"/>
      <c r="AZ120" s="51"/>
      <c r="BA120" s="51"/>
      <c r="BB120" s="51"/>
      <c r="BC120" s="51"/>
      <c r="BD120" s="51"/>
      <c r="BE120" s="51"/>
      <c r="BF120" s="92"/>
      <c r="BG120" s="92"/>
      <c r="BH120" s="92"/>
      <c r="BI120" s="92"/>
      <c r="BJ120" s="92"/>
      <c r="BK120" s="92"/>
      <c r="BL120" s="92"/>
      <c r="BN120" s="7" t="str">
        <f>IF(IFERROR(FIND("romatis",TableauJDG[[#This Row],[TYPE DE THÉ FR]]),0)=0,"","aromatisé")</f>
        <v>aromatisé</v>
      </c>
      <c r="BO120" s="10" t="s">
        <v>1670</v>
      </c>
      <c r="BP120" s="7" t="s">
        <v>1671</v>
      </c>
      <c r="BQ120" s="7" t="s">
        <v>1672</v>
      </c>
      <c r="BV120" s="10" t="str">
        <f t="shared" si="110"/>
        <v>Inspirée par la féérie d’une neige immaculée aux premières lueurs d’une journée ensoleillée, cette recette colorée à base de thé blanc séduit autant les yeux que le palais. Les notes de fève tonka, d’agrumes et de vanille déploient toute leur gourman</v>
      </c>
      <c r="BW120" s="10" t="str">
        <f t="shared" si="111"/>
        <v>dise et sont une invitation à fondre de plaisir !</v>
      </c>
      <c r="BX120" s="10" t="str">
        <f t="shared" si="84"/>
        <v/>
      </c>
      <c r="BY120" s="10" t="str">
        <f t="shared" si="85"/>
        <v/>
      </c>
      <c r="BZ120" s="10" t="str">
        <f t="shared" si="86"/>
        <v>Ingrédients : thé blanc*, fève tonka* 13%, écorces de mandarine* 6%, baies roses*, pétales de rose*, extrait de vanille*, huiles essentielles d'agrumes (orange*, bergamote*) 3%, pétales de soucis*, d'amarante*. *Issu de l’agriculture biologique.</v>
      </c>
      <c r="CA120" s="10" t="str">
        <f t="shared" si="87"/>
        <v/>
      </c>
      <c r="CB120" s="10" t="str">
        <f t="shared" si="88"/>
        <v/>
      </c>
      <c r="CC120" s="10" t="str">
        <f t="shared" si="89"/>
        <v/>
      </c>
      <c r="CD120" s="10" t="str">
        <f t="shared" si="90"/>
        <v>/</v>
      </c>
      <c r="CE120" s="10" t="str">
        <f t="shared" si="91"/>
        <v/>
      </c>
      <c r="CF120" s="10" t="str">
        <f t="shared" si="92"/>
        <v/>
      </c>
      <c r="CG120" s="10" t="str">
        <f t="shared" si="93"/>
        <v/>
      </c>
      <c r="CH120" s="10" t="str">
        <f t="shared" si="94"/>
        <v>Membre certifié World Fair Trade Organization, Les Jardins de Gaïa s’engagent pour un commerce plus juste et répondent aux exigences du commerce équitable. Pour en savoir plus : www.wfto.com.</v>
      </c>
      <c r="CI120" s="10" t="str">
        <f t="shared" si="95"/>
        <v/>
      </c>
      <c r="CJ120" s="10" t="str">
        <f t="shared" si="96"/>
        <v/>
      </c>
      <c r="CK120" s="10" t="str">
        <f t="shared" si="97"/>
        <v/>
      </c>
      <c r="CL120" s="10" t="str">
        <f t="shared" si="98"/>
        <v>Inspired by the enchantment of immaculate snow at the first light of a sunny day, this colourful white tea-based recipe is as appealing to the eye as it is to the palate. Notes of tonka bean, citrus and vanilla unfold their deliciousness, inviting yo</v>
      </c>
      <c r="CM120" s="10" t="str">
        <f t="shared" si="99"/>
        <v>u to melt with pleasure!</v>
      </c>
      <c r="CN120" s="10" t="str">
        <f t="shared" si="100"/>
        <v/>
      </c>
      <c r="CO120" s="10" t="str">
        <f t="shared" si="101"/>
        <v/>
      </c>
      <c r="CP120" s="10" t="str">
        <f t="shared" si="102"/>
        <v>Ingredients: white tea*, tonka bean* 13%, mandarin peels* 6%, pink berries*, rose petals*, vanilla extract*, citrus essential oils (orange*, bergamot*) 3%, marigold petals*, amaranth petals*. *From organic farming.</v>
      </c>
      <c r="CQ120" s="10" t="str">
        <f t="shared" si="103"/>
        <v/>
      </c>
      <c r="CR120" s="10" t="str">
        <f t="shared" si="104"/>
        <v/>
      </c>
      <c r="CS120" s="10" t="str">
        <f t="shared" si="105"/>
        <v/>
      </c>
      <c r="CT120" s="10" t="str">
        <f t="shared" si="106"/>
        <v/>
      </c>
      <c r="CU120" s="10" t="str">
        <f t="shared" si="107"/>
        <v/>
      </c>
      <c r="CV120" s="10" t="str">
        <f t="shared" si="108"/>
        <v/>
      </c>
      <c r="CW120" s="10" t="str">
        <f t="shared" si="109"/>
        <v/>
      </c>
    </row>
    <row r="121" spans="1:101" ht="93.6">
      <c r="A121" s="129" t="s">
        <v>626</v>
      </c>
      <c r="B121" s="9" t="s">
        <v>26</v>
      </c>
      <c r="C121" s="9"/>
      <c r="D121" s="8" t="s">
        <v>623</v>
      </c>
      <c r="E121" s="9" t="s">
        <v>624</v>
      </c>
      <c r="F121" s="9" t="s">
        <v>75</v>
      </c>
      <c r="G121" s="9" t="s">
        <v>28</v>
      </c>
      <c r="H121" s="10" t="s">
        <v>5</v>
      </c>
      <c r="I121" s="10" t="s">
        <v>6</v>
      </c>
      <c r="J121" s="10" t="s">
        <v>29</v>
      </c>
      <c r="K121" s="10" t="s">
        <v>29</v>
      </c>
      <c r="L121" s="10" t="s">
        <v>9</v>
      </c>
      <c r="M121" s="10" t="s">
        <v>29</v>
      </c>
      <c r="N121" s="10" t="s">
        <v>30</v>
      </c>
      <c r="O121" s="9"/>
      <c r="P121" s="9" t="s">
        <v>625</v>
      </c>
      <c r="Q121" s="9" t="s">
        <v>1127</v>
      </c>
      <c r="R121" s="9"/>
      <c r="S121" s="9"/>
      <c r="T121" s="9" t="s">
        <v>69</v>
      </c>
      <c r="U121"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21" s="9" t="s">
        <v>29</v>
      </c>
      <c r="W121" s="9" t="s">
        <v>31</v>
      </c>
      <c r="X121" s="10">
        <v>80</v>
      </c>
      <c r="Y121" s="11" t="s">
        <v>59</v>
      </c>
      <c r="Z121" s="19">
        <v>90</v>
      </c>
      <c r="AA121" s="10">
        <v>2</v>
      </c>
      <c r="AB121" s="10">
        <v>40</v>
      </c>
      <c r="AC121" s="12">
        <v>3582810233924</v>
      </c>
      <c r="AD121" s="10" t="s">
        <v>29</v>
      </c>
      <c r="AE121" s="10" t="s">
        <v>1128</v>
      </c>
      <c r="AF121" s="10" t="s">
        <v>1128</v>
      </c>
      <c r="AG121" s="10" t="s">
        <v>1129</v>
      </c>
      <c r="AH121" s="13" t="s">
        <v>38</v>
      </c>
      <c r="AI121" s="54" t="s">
        <v>776</v>
      </c>
      <c r="AJ121" s="54" t="s">
        <v>776</v>
      </c>
      <c r="AK121" s="55">
        <v>45687</v>
      </c>
      <c r="AL121" s="10"/>
      <c r="AM121" s="10">
        <v>24014</v>
      </c>
      <c r="AN121" s="10"/>
      <c r="AO121" s="10"/>
      <c r="AP121" s="10"/>
      <c r="AQ121" s="51" t="s">
        <v>1487</v>
      </c>
      <c r="AR121" s="51" t="s">
        <v>1488</v>
      </c>
      <c r="AS121" s="51" t="s">
        <v>1548</v>
      </c>
      <c r="AT121" s="51" t="s">
        <v>752</v>
      </c>
      <c r="AU121" s="140" t="s">
        <v>1489</v>
      </c>
      <c r="AV121" s="82" t="s">
        <v>741</v>
      </c>
      <c r="AW121" s="52"/>
      <c r="AX121" s="51"/>
      <c r="AY121" s="51"/>
      <c r="AZ121" s="51"/>
      <c r="BA121" s="51"/>
      <c r="BB121" s="51"/>
      <c r="BC121" s="51"/>
      <c r="BD121" s="51"/>
      <c r="BE121" s="51"/>
      <c r="BF121" s="92"/>
      <c r="BG121" s="92"/>
      <c r="BH121" s="92"/>
      <c r="BI121" s="92"/>
      <c r="BJ121" s="92"/>
      <c r="BK121" s="92"/>
      <c r="BL121" s="92"/>
      <c r="BN121" s="7" t="str">
        <f>IF(IFERROR(FIND("romatis",TableauJDG[[#This Row],[TYPE DE THÉ FR]]),0)=0,"","aromatisé")</f>
        <v/>
      </c>
      <c r="BV121" s="10" t="str">
        <f t="shared" si="110"/>
        <v>Ce thé noir du Darjeeling est le fruit d’un mariage de plusieurs récoltes de printemps dont il exprime la vivacité et les fragrances magiques. Laissez-vous charmer par sa tasse lumineuse aux saveurs raffinées, fraîches et complexes qui évoquent les f</v>
      </c>
      <c r="BW121" s="10" t="str">
        <f t="shared" si="111"/>
        <v>ruits rouges et la noisette.</v>
      </c>
      <c r="BX121" s="10" t="str">
        <f t="shared" si="84"/>
        <v/>
      </c>
      <c r="BY121" s="10" t="str">
        <f t="shared" si="85"/>
        <v/>
      </c>
      <c r="BZ121" s="10" t="str">
        <f t="shared" si="86"/>
        <v>Ingrédient : thé noir*. *Issu de l'agriculture biologique.</v>
      </c>
      <c r="CA121" s="10" t="str">
        <f t="shared" si="87"/>
        <v/>
      </c>
      <c r="CB121" s="10" t="str">
        <f t="shared" si="88"/>
        <v/>
      </c>
      <c r="CC121" s="10" t="str">
        <f t="shared" si="89"/>
        <v/>
      </c>
      <c r="CD121" s="10" t="str">
        <f t="shared" si="90"/>
        <v>/</v>
      </c>
      <c r="CE121" s="10" t="str">
        <f t="shared" si="91"/>
        <v/>
      </c>
      <c r="CF121" s="10" t="str">
        <f t="shared" si="92"/>
        <v/>
      </c>
      <c r="CG121" s="10" t="str">
        <f t="shared" si="93"/>
        <v/>
      </c>
      <c r="CH121" s="10" t="str">
        <f t="shared" si="94"/>
        <v>Membre certifié World Fair Trade Organization, Les Jardins de Gaïa s’engagent pour un commerce plus juste et répondent aux exigences du commerce équitable. Pour en savoir plus : www.wfto.com.</v>
      </c>
      <c r="CI121" s="10" t="str">
        <f t="shared" si="95"/>
        <v/>
      </c>
      <c r="CJ121" s="10" t="str">
        <f t="shared" si="96"/>
        <v/>
      </c>
      <c r="CK121" s="10" t="str">
        <f t="shared" si="97"/>
        <v/>
      </c>
      <c r="CL121" s="10" t="str">
        <f t="shared" si="98"/>
        <v>This Darjeeling black tea is the fruit of a blend of several spring harvests, expressing their vivacity and magical fragrances. Let yourself be charmed by its luminous cup, with refined, fresh and complex flavours evocative of red fruit and hazelnut.</v>
      </c>
      <c r="CM121" s="10" t="str">
        <f t="shared" si="99"/>
        <v/>
      </c>
      <c r="CN121" s="10" t="str">
        <f t="shared" si="100"/>
        <v/>
      </c>
      <c r="CO121" s="10" t="str">
        <f t="shared" si="101"/>
        <v/>
      </c>
      <c r="CP121" s="10" t="str">
        <f t="shared" si="102"/>
        <v>Ingredient: black tea*. *From organic farming.</v>
      </c>
      <c r="CQ121" s="10" t="str">
        <f t="shared" si="103"/>
        <v/>
      </c>
      <c r="CR121" s="10" t="str">
        <f t="shared" si="104"/>
        <v/>
      </c>
      <c r="CS121" s="10" t="str">
        <f t="shared" si="105"/>
        <v/>
      </c>
      <c r="CT121" s="10" t="str">
        <f t="shared" si="106"/>
        <v/>
      </c>
      <c r="CU121" s="10" t="str">
        <f t="shared" si="107"/>
        <v/>
      </c>
      <c r="CV121" s="10" t="str">
        <f t="shared" si="108"/>
        <v/>
      </c>
      <c r="CW121" s="10" t="str">
        <f t="shared" si="109"/>
        <v/>
      </c>
    </row>
    <row r="122" spans="1:101" ht="86.4">
      <c r="A122" s="129" t="s">
        <v>630</v>
      </c>
      <c r="B122" s="9" t="s">
        <v>782</v>
      </c>
      <c r="C122" s="9"/>
      <c r="D122" s="8" t="s">
        <v>627</v>
      </c>
      <c r="E122" s="9" t="s">
        <v>628</v>
      </c>
      <c r="F122" s="9" t="s">
        <v>27</v>
      </c>
      <c r="G122" s="9" t="s">
        <v>395</v>
      </c>
      <c r="H122" s="10" t="s">
        <v>5</v>
      </c>
      <c r="I122" s="10" t="s">
        <v>6</v>
      </c>
      <c r="J122" s="10" t="s">
        <v>29</v>
      </c>
      <c r="K122" s="10" t="s">
        <v>29</v>
      </c>
      <c r="L122" s="10" t="s">
        <v>29</v>
      </c>
      <c r="M122" s="10" t="s">
        <v>29</v>
      </c>
      <c r="N122" s="10" t="s">
        <v>396</v>
      </c>
      <c r="O122" s="9"/>
      <c r="P122" s="9" t="s">
        <v>629</v>
      </c>
      <c r="Q122" s="9" t="s">
        <v>1130</v>
      </c>
      <c r="R122" s="9" t="s">
        <v>1644</v>
      </c>
      <c r="S122" s="9"/>
      <c r="T122" s="9" t="s">
        <v>581</v>
      </c>
      <c r="U122"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22" s="9" t="s">
        <v>29</v>
      </c>
      <c r="W122" s="9" t="s">
        <v>31</v>
      </c>
      <c r="X122" s="10">
        <v>80</v>
      </c>
      <c r="Y122" s="11" t="s">
        <v>59</v>
      </c>
      <c r="Z122" s="19">
        <v>95</v>
      </c>
      <c r="AA122" s="10">
        <v>2</v>
      </c>
      <c r="AB122" s="10">
        <v>40</v>
      </c>
      <c r="AC122" s="12">
        <v>3582811341529</v>
      </c>
      <c r="AD122" s="10" t="s">
        <v>29</v>
      </c>
      <c r="AE122" s="10" t="s">
        <v>1131</v>
      </c>
      <c r="AF122" s="10" t="s">
        <v>1131</v>
      </c>
      <c r="AG122" s="10" t="s">
        <v>1132</v>
      </c>
      <c r="AH122" s="13" t="s">
        <v>398</v>
      </c>
      <c r="AI122" s="54" t="s">
        <v>776</v>
      </c>
      <c r="AJ122" s="54" t="s">
        <v>776</v>
      </c>
      <c r="AK122" s="55">
        <v>45944</v>
      </c>
      <c r="AL122" s="10"/>
      <c r="AM122" s="10"/>
      <c r="AN122" s="10"/>
      <c r="AO122" s="10"/>
      <c r="AP122" s="10"/>
      <c r="AQ122" s="51" t="s">
        <v>627</v>
      </c>
      <c r="AR122" s="51" t="s">
        <v>1492</v>
      </c>
      <c r="AS122" s="82" t="s">
        <v>1480</v>
      </c>
      <c r="AT122" s="82" t="s">
        <v>1493</v>
      </c>
      <c r="AU122" s="82" t="s">
        <v>1494</v>
      </c>
      <c r="AV122" s="82" t="s">
        <v>1482</v>
      </c>
      <c r="AW122" s="52" t="s">
        <v>1645</v>
      </c>
      <c r="AX122" s="51"/>
      <c r="AY122" s="51"/>
      <c r="AZ122" s="51"/>
      <c r="BA122" s="51"/>
      <c r="BB122" s="51"/>
      <c r="BC122" s="51"/>
      <c r="BD122" s="51"/>
      <c r="BE122" s="51"/>
      <c r="BF122" s="92"/>
      <c r="BG122" s="92"/>
      <c r="BH122" s="92"/>
      <c r="BI122" s="92"/>
      <c r="BJ122" s="92"/>
      <c r="BK122" s="92"/>
      <c r="BL122" s="92"/>
      <c r="BN122" s="7" t="str">
        <f>IF(IFERROR(FIND("romatis",TableauJDG[[#This Row],[TYPE DE THÉ FR]]),0)=0,"","aromatisé")</f>
        <v/>
      </c>
      <c r="BV122" s="10" t="str">
        <f t="shared" si="110"/>
        <v>Fruit d’une récolte d’été sur les hauts plateaux de l’Himalaya, ce thé noir offre une belle concentration en bourgeons. Florale et sucrée au nez, sa liqueur particulièrement dense libère de délicieuses notes de cassonade et de miel. Un thé idéal pou</v>
      </c>
      <c r="BW122" s="10" t="str">
        <f t="shared" si="111"/>
        <v>r découvrir l’originalité des thés noirs népalais.</v>
      </c>
      <c r="BX122" s="10" t="str">
        <f t="shared" si="84"/>
        <v/>
      </c>
      <c r="BY122" s="10" t="str">
        <f t="shared" si="85"/>
        <v/>
      </c>
      <c r="BZ122" s="10" t="str">
        <f t="shared" si="86"/>
        <v xml:space="preserve">Ingrédient : thé noir*. *Issu de l'agriculture biologique. </v>
      </c>
      <c r="CA122" s="10" t="str">
        <f t="shared" si="87"/>
        <v/>
      </c>
      <c r="CB122" s="10" t="str">
        <f t="shared" si="88"/>
        <v/>
      </c>
      <c r="CC122" s="10" t="str">
        <f t="shared" si="89"/>
        <v/>
      </c>
      <c r="CD122" s="10" t="str">
        <f t="shared" si="90"/>
        <v>/</v>
      </c>
      <c r="CE122" s="10" t="str">
        <f t="shared" si="91"/>
        <v/>
      </c>
      <c r="CF122" s="10" t="str">
        <f t="shared" si="92"/>
        <v/>
      </c>
      <c r="CG122" s="10" t="str">
        <f t="shared" si="93"/>
        <v/>
      </c>
      <c r="CH122" s="10" t="str">
        <f t="shared" si="94"/>
        <v>Membre certifié World Fair Trade Organization, Les Jardins de Gaïa s’engagent pour un commerce plus juste et répondent aux exigences du commerce équitable. Pour en savoir plus : www.wfto.com.</v>
      </c>
      <c r="CI122" s="10" t="str">
        <f t="shared" si="95"/>
        <v/>
      </c>
      <c r="CJ122" s="10" t="str">
        <f t="shared" si="96"/>
        <v/>
      </c>
      <c r="CK122" s="10" t="str">
        <f t="shared" si="97"/>
        <v/>
      </c>
      <c r="CL122" s="10" t="str">
        <f t="shared" si="98"/>
        <v>The fruit of a summer harvest in the Himalayan highlands, this black tea has a high concentration of buds. Floral and sweet on the nose, its particularly dense liquor releases delicious notes of brown sugar and honey. An ideal tea for discovering th</v>
      </c>
      <c r="CM122" s="10" t="str">
        <f t="shared" si="99"/>
        <v>e originality of Nepalese black teas.</v>
      </c>
      <c r="CN122" s="10" t="str">
        <f t="shared" si="100"/>
        <v/>
      </c>
      <c r="CO122" s="10" t="str">
        <f t="shared" si="101"/>
        <v/>
      </c>
      <c r="CP122" s="10" t="str">
        <f t="shared" si="102"/>
        <v xml:space="preserve">Ingredient: black tea*. *From organic farming. </v>
      </c>
      <c r="CQ122" s="10" t="str">
        <f t="shared" si="103"/>
        <v/>
      </c>
      <c r="CR122" s="10" t="str">
        <f t="shared" si="104"/>
        <v/>
      </c>
      <c r="CS122" s="10" t="str">
        <f t="shared" si="105"/>
        <v/>
      </c>
      <c r="CT122" s="10" t="str">
        <f t="shared" si="106"/>
        <v/>
      </c>
      <c r="CU122" s="10" t="str">
        <f t="shared" si="107"/>
        <v/>
      </c>
      <c r="CV122" s="10" t="str">
        <f t="shared" si="108"/>
        <v/>
      </c>
      <c r="CW122" s="10" t="str">
        <f t="shared" si="109"/>
        <v/>
      </c>
    </row>
    <row r="123" spans="1:101" ht="57.6">
      <c r="A123" s="129" t="s">
        <v>631</v>
      </c>
      <c r="B123" s="9" t="s">
        <v>26</v>
      </c>
      <c r="C123" s="9"/>
      <c r="D123" s="8" t="s">
        <v>632</v>
      </c>
      <c r="E123" s="9" t="s">
        <v>633</v>
      </c>
      <c r="F123" s="9" t="s">
        <v>44</v>
      </c>
      <c r="G123" s="9" t="s">
        <v>45</v>
      </c>
      <c r="H123" s="10" t="s">
        <v>5</v>
      </c>
      <c r="I123" s="10" t="s">
        <v>6</v>
      </c>
      <c r="J123" s="10" t="s">
        <v>29</v>
      </c>
      <c r="K123" s="10" t="s">
        <v>29</v>
      </c>
      <c r="L123" s="10" t="s">
        <v>29</v>
      </c>
      <c r="M123" s="10" t="s">
        <v>29</v>
      </c>
      <c r="N123" s="20" t="s">
        <v>634</v>
      </c>
      <c r="O123" s="9"/>
      <c r="P123" s="9" t="s">
        <v>635</v>
      </c>
      <c r="Q123" s="9" t="s">
        <v>635</v>
      </c>
      <c r="R123" s="9"/>
      <c r="S123" s="9"/>
      <c r="T123" s="9" t="s">
        <v>636</v>
      </c>
      <c r="U123"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23" s="9" t="s">
        <v>29</v>
      </c>
      <c r="W123" s="9" t="s">
        <v>31</v>
      </c>
      <c r="X123" s="10">
        <v>100</v>
      </c>
      <c r="Y123" s="11" t="s">
        <v>42</v>
      </c>
      <c r="Z123" s="19">
        <v>95</v>
      </c>
      <c r="AA123" s="10">
        <v>2</v>
      </c>
      <c r="AB123" s="10">
        <v>50</v>
      </c>
      <c r="AC123" s="12">
        <v>3582810924723</v>
      </c>
      <c r="AD123" s="10" t="s">
        <v>29</v>
      </c>
      <c r="AE123" s="10" t="s">
        <v>1133</v>
      </c>
      <c r="AF123" s="10" t="s">
        <v>1133</v>
      </c>
      <c r="AG123" s="10" t="s">
        <v>1134</v>
      </c>
      <c r="AH123" s="13" t="s">
        <v>38</v>
      </c>
      <c r="AI123" s="10"/>
      <c r="AJ123" s="10"/>
      <c r="AK123" s="10"/>
      <c r="AL123" s="10"/>
      <c r="AM123" s="10"/>
      <c r="AN123" s="10"/>
      <c r="AO123" s="10"/>
      <c r="AP123" s="10"/>
      <c r="AQ123" s="51"/>
      <c r="AR123" s="51"/>
      <c r="AS123" s="51"/>
      <c r="AT123" s="51"/>
      <c r="AU123" s="120"/>
      <c r="AV123" s="52"/>
      <c r="AW123" s="52"/>
      <c r="AX123" s="51"/>
      <c r="AY123" s="51"/>
      <c r="AZ123" s="51"/>
      <c r="BA123" s="51"/>
      <c r="BB123" s="51"/>
      <c r="BC123" s="51"/>
      <c r="BD123" s="51"/>
      <c r="BE123" s="51"/>
      <c r="BF123" s="92"/>
      <c r="BG123" s="92"/>
      <c r="BH123" s="92"/>
      <c r="BI123" s="92"/>
      <c r="BJ123" s="92"/>
      <c r="BK123" s="92"/>
      <c r="BL123" s="92"/>
      <c r="BN123" s="7" t="str">
        <f>IF(IFERROR(FIND("romatis",TableauJDG[[#This Row],[TYPE DE THÉ FR]]),0)=0,"","aromatisé")</f>
        <v>aromatisé</v>
      </c>
      <c r="BV123" s="10" t="str">
        <f t="shared" si="110"/>
        <v>Passer du temps en famille, savourer de bons petits plats et se réchauffer le cœur en dégustant une infusion de rooibos qui sent bon le pruneau et la cannelle… Rien de tel pour resserrer les liens dans ces moments magiques !</v>
      </c>
      <c r="BW123" s="10" t="str">
        <f t="shared" si="111"/>
        <v/>
      </c>
      <c r="BX123" s="10" t="str">
        <f t="shared" si="84"/>
        <v/>
      </c>
      <c r="BY123" s="10" t="str">
        <f t="shared" si="85"/>
        <v/>
      </c>
      <c r="BZ123" s="10" t="str">
        <f t="shared" si="86"/>
        <v>Ingrédients : rooibos*, arômes naturels de (mirabelle, pruneau*) 7%, morceaux de pomme*, cannelle*, fleurs de sureau*, amarante*. *Issu de l'agriculture biologique.</v>
      </c>
      <c r="CA123" s="10" t="str">
        <f t="shared" si="87"/>
        <v/>
      </c>
      <c r="CB123" s="10" t="str">
        <f t="shared" si="88"/>
        <v/>
      </c>
      <c r="CC123" s="10" t="str">
        <f t="shared" si="89"/>
        <v/>
      </c>
      <c r="CD123" s="10" t="str">
        <f t="shared" si="90"/>
        <v>/</v>
      </c>
      <c r="CE123" s="10" t="str">
        <f t="shared" si="91"/>
        <v/>
      </c>
      <c r="CF123" s="10" t="str">
        <f t="shared" si="92"/>
        <v/>
      </c>
      <c r="CG123" s="10" t="str">
        <f t="shared" si="93"/>
        <v/>
      </c>
      <c r="CH123" s="10" t="str">
        <f t="shared" si="94"/>
        <v>Membre certifié World Fair Trade Organization, Les Jardins de Gaïa s’engagent pour un commerce plus juste et répondent aux exigences du commerce équitable. Pour en savoir plus : www.wfto.com.</v>
      </c>
      <c r="CI123" s="10" t="str">
        <f t="shared" si="95"/>
        <v/>
      </c>
      <c r="CJ123" s="10" t="str">
        <f t="shared" si="96"/>
        <v/>
      </c>
      <c r="CK123" s="10" t="str">
        <f t="shared" si="97"/>
        <v/>
      </c>
      <c r="CL123" s="10" t="str">
        <f t="shared" si="98"/>
        <v/>
      </c>
      <c r="CM123" s="10" t="str">
        <f t="shared" si="99"/>
        <v/>
      </c>
      <c r="CN123" s="10" t="str">
        <f t="shared" si="100"/>
        <v/>
      </c>
      <c r="CO123" s="10" t="str">
        <f t="shared" si="101"/>
        <v/>
      </c>
      <c r="CP123" s="10" t="str">
        <f t="shared" si="102"/>
        <v/>
      </c>
      <c r="CQ123" s="10" t="str">
        <f t="shared" si="103"/>
        <v/>
      </c>
      <c r="CR123" s="10" t="str">
        <f t="shared" si="104"/>
        <v/>
      </c>
      <c r="CS123" s="10" t="str">
        <f t="shared" si="105"/>
        <v/>
      </c>
      <c r="CT123" s="10" t="str">
        <f t="shared" si="106"/>
        <v/>
      </c>
      <c r="CU123" s="10" t="str">
        <f t="shared" si="107"/>
        <v/>
      </c>
      <c r="CV123" s="10" t="str">
        <f t="shared" si="108"/>
        <v/>
      </c>
      <c r="CW123" s="10" t="str">
        <f t="shared" si="109"/>
        <v/>
      </c>
    </row>
    <row r="124" spans="1:101" ht="100.8">
      <c r="A124" s="129" t="s">
        <v>641</v>
      </c>
      <c r="B124" s="9" t="s">
        <v>26</v>
      </c>
      <c r="C124" s="9"/>
      <c r="D124" s="8" t="s">
        <v>1135</v>
      </c>
      <c r="E124" s="9" t="s">
        <v>282</v>
      </c>
      <c r="F124" s="9" t="s">
        <v>27</v>
      </c>
      <c r="G124" s="9" t="s">
        <v>637</v>
      </c>
      <c r="H124" s="10" t="s">
        <v>5</v>
      </c>
      <c r="I124" s="10" t="s">
        <v>6</v>
      </c>
      <c r="J124" s="10" t="s">
        <v>29</v>
      </c>
      <c r="K124" s="10" t="s">
        <v>29</v>
      </c>
      <c r="L124" s="10" t="s">
        <v>29</v>
      </c>
      <c r="M124" s="10" t="s">
        <v>29</v>
      </c>
      <c r="N124" s="10" t="s">
        <v>638</v>
      </c>
      <c r="O124" s="9"/>
      <c r="P124" s="9" t="s">
        <v>639</v>
      </c>
      <c r="Q124" s="9" t="s">
        <v>1136</v>
      </c>
      <c r="R124" s="9"/>
      <c r="S124" s="9"/>
      <c r="T124" s="9" t="s">
        <v>69</v>
      </c>
      <c r="U124"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24" s="9" t="s">
        <v>29</v>
      </c>
      <c r="W124" s="9" t="s">
        <v>31</v>
      </c>
      <c r="X124" s="10">
        <v>90</v>
      </c>
      <c r="Y124" s="11" t="s">
        <v>32</v>
      </c>
      <c r="Z124" s="19">
        <v>95</v>
      </c>
      <c r="AA124" s="10">
        <v>2</v>
      </c>
      <c r="AB124" s="10">
        <v>45</v>
      </c>
      <c r="AC124" s="12">
        <v>3582810254721</v>
      </c>
      <c r="AD124" s="10" t="s">
        <v>29</v>
      </c>
      <c r="AE124" s="10" t="s">
        <v>642</v>
      </c>
      <c r="AF124" s="10" t="s">
        <v>1137</v>
      </c>
      <c r="AG124" s="10" t="s">
        <v>1138</v>
      </c>
      <c r="AH124" s="13" t="s">
        <v>640</v>
      </c>
      <c r="AI124" s="54" t="s">
        <v>776</v>
      </c>
      <c r="AJ124" s="54" t="s">
        <v>776</v>
      </c>
      <c r="AK124" s="55">
        <v>45663</v>
      </c>
      <c r="AL124" s="10"/>
      <c r="AM124" s="10"/>
      <c r="AN124" s="10"/>
      <c r="AO124" s="10"/>
      <c r="AP124" s="10"/>
      <c r="AQ124" s="51" t="s">
        <v>1616</v>
      </c>
      <c r="AR124" s="51" t="s">
        <v>282</v>
      </c>
      <c r="AS124" s="51" t="s">
        <v>1480</v>
      </c>
      <c r="AT124" s="51" t="s">
        <v>637</v>
      </c>
      <c r="AU124" s="138" t="s">
        <v>1503</v>
      </c>
      <c r="AV124" s="150" t="s">
        <v>741</v>
      </c>
      <c r="AW124" s="150"/>
      <c r="AX124" s="51"/>
      <c r="AY124" s="51"/>
      <c r="AZ124" s="51"/>
      <c r="BA124" s="51"/>
      <c r="BB124" s="51"/>
      <c r="BC124" s="51"/>
      <c r="BD124" s="51"/>
      <c r="BE124" s="51"/>
      <c r="BF124" s="92"/>
      <c r="BG124" s="92"/>
      <c r="BH124" s="92"/>
      <c r="BI124" s="92"/>
      <c r="BJ124" s="92"/>
      <c r="BK124" s="92"/>
      <c r="BL124" s="92"/>
      <c r="BN124" s="7" t="str">
        <f>IF(IFERROR(FIND("romatis",TableauJDG[[#This Row],[TYPE DE THÉ FR]]),0)=0,"","aromatisé")</f>
        <v/>
      </c>
      <c r="BV124" s="10" t="str">
        <f t="shared" si="110"/>
        <v>Élaboré dans la province de Phongsaly au nord du Laos, ce thé noir issu de théiers anciens est composé de grandes feuilles émaillées de bourgeons dorés. Sa liqueur ambrée souple et aromatique offre des saveurs chocolatées et vanillées agréablement po</v>
      </c>
      <c r="BW124" s="10" t="str">
        <f t="shared" si="111"/>
        <v>nctuées par des notes fruitées d'agrumes.</v>
      </c>
      <c r="BX124" s="10" t="str">
        <f t="shared" si="84"/>
        <v/>
      </c>
      <c r="BY124" s="10" t="str">
        <f t="shared" si="85"/>
        <v/>
      </c>
      <c r="BZ124" s="10" t="str">
        <f t="shared" si="86"/>
        <v>Ingrédient : thé noir*. *Issu de l'agriculture biologique.</v>
      </c>
      <c r="CA124" s="10" t="str">
        <f t="shared" si="87"/>
        <v/>
      </c>
      <c r="CB124" s="10" t="str">
        <f t="shared" si="88"/>
        <v/>
      </c>
      <c r="CC124" s="10" t="str">
        <f t="shared" si="89"/>
        <v/>
      </c>
      <c r="CD124" s="10" t="str">
        <f t="shared" si="90"/>
        <v>/</v>
      </c>
      <c r="CE124" s="10" t="str">
        <f t="shared" si="91"/>
        <v/>
      </c>
      <c r="CF124" s="10" t="str">
        <f t="shared" si="92"/>
        <v/>
      </c>
      <c r="CG124" s="10" t="str">
        <f t="shared" si="93"/>
        <v/>
      </c>
      <c r="CH124" s="10" t="str">
        <f t="shared" si="94"/>
        <v>Membre certifié World Fair Trade Organization, Les Jardins de Gaïa s’engagent pour un commerce plus juste et répondent aux exigences du commerce équitable. Pour en savoir plus : www.wfto.com.</v>
      </c>
      <c r="CI124" s="10" t="str">
        <f t="shared" si="95"/>
        <v/>
      </c>
      <c r="CJ124" s="10" t="str">
        <f t="shared" si="96"/>
        <v/>
      </c>
      <c r="CK124" s="10" t="str">
        <f t="shared" si="97"/>
        <v/>
      </c>
      <c r="CL124" s="10" t="str">
        <f t="shared" si="98"/>
        <v>Produced in the Phongsaly province in northern Laos, this black tea from ancient tea bushes features large leaves glazed with golden buds. Its supple, aromatic amber cup offers chocolate and vanilla flavours nicely punctuated by fruity citrus notes.</v>
      </c>
      <c r="CM124" s="10" t="str">
        <f t="shared" si="99"/>
        <v/>
      </c>
      <c r="CN124" s="10" t="str">
        <f t="shared" si="100"/>
        <v/>
      </c>
      <c r="CO124" s="10" t="str">
        <f t="shared" si="101"/>
        <v/>
      </c>
      <c r="CP124" s="10" t="str">
        <f t="shared" si="102"/>
        <v>Ingredient: black tea*. *From organic farming.</v>
      </c>
      <c r="CQ124" s="10" t="str">
        <f t="shared" si="103"/>
        <v/>
      </c>
      <c r="CR124" s="10" t="str">
        <f t="shared" si="104"/>
        <v/>
      </c>
      <c r="CS124" s="10" t="str">
        <f t="shared" si="105"/>
        <v/>
      </c>
      <c r="CT124" s="10" t="str">
        <f t="shared" si="106"/>
        <v/>
      </c>
      <c r="CU124" s="10" t="str">
        <f t="shared" si="107"/>
        <v/>
      </c>
      <c r="CV124" s="10" t="str">
        <f t="shared" si="108"/>
        <v/>
      </c>
      <c r="CW124" s="10" t="str">
        <f t="shared" si="109"/>
        <v/>
      </c>
    </row>
    <row r="125" spans="1:101" ht="129.6">
      <c r="A125" s="130" t="s">
        <v>101</v>
      </c>
      <c r="B125" s="9" t="s">
        <v>26</v>
      </c>
      <c r="C125" s="9" t="s">
        <v>39</v>
      </c>
      <c r="D125" s="18" t="s">
        <v>1830</v>
      </c>
      <c r="E125" s="9" t="s">
        <v>98</v>
      </c>
      <c r="F125" s="9" t="s">
        <v>40</v>
      </c>
      <c r="G125" s="9" t="s">
        <v>45</v>
      </c>
      <c r="H125" s="10" t="s">
        <v>5</v>
      </c>
      <c r="I125" s="10" t="s">
        <v>29</v>
      </c>
      <c r="J125" s="10" t="s">
        <v>29</v>
      </c>
      <c r="K125" s="10" t="s">
        <v>29</v>
      </c>
      <c r="L125" s="10" t="s">
        <v>29</v>
      </c>
      <c r="M125" s="10" t="s">
        <v>29</v>
      </c>
      <c r="N125" s="20" t="s">
        <v>37</v>
      </c>
      <c r="O125" s="10"/>
      <c r="P125" s="9" t="s">
        <v>99</v>
      </c>
      <c r="Q125" s="15" t="s">
        <v>1831</v>
      </c>
      <c r="R125" s="9"/>
      <c r="S125" s="9"/>
      <c r="T125" s="9" t="s">
        <v>793</v>
      </c>
      <c r="U125"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25" s="9" t="s">
        <v>29</v>
      </c>
      <c r="W125" s="9" t="s">
        <v>29</v>
      </c>
      <c r="X125" s="10">
        <v>100</v>
      </c>
      <c r="Y125" s="11" t="s">
        <v>100</v>
      </c>
      <c r="Z125" s="19">
        <v>95</v>
      </c>
      <c r="AA125" s="10">
        <v>2</v>
      </c>
      <c r="AB125" s="10">
        <v>50</v>
      </c>
      <c r="AC125" s="12">
        <v>3582812417421</v>
      </c>
      <c r="AD125" s="10" t="s">
        <v>29</v>
      </c>
      <c r="AE125" s="10" t="s">
        <v>102</v>
      </c>
      <c r="AF125" s="10" t="s">
        <v>1868</v>
      </c>
      <c r="AG125" s="10" t="s">
        <v>1869</v>
      </c>
      <c r="AH125" s="20" t="s">
        <v>38</v>
      </c>
      <c r="AI125" s="54" t="s">
        <v>776</v>
      </c>
      <c r="AJ125" s="54" t="s">
        <v>776</v>
      </c>
      <c r="AK125" s="55">
        <v>45693</v>
      </c>
      <c r="AL125" s="10"/>
      <c r="AM125" s="10">
        <v>25024</v>
      </c>
      <c r="AN125" s="10"/>
      <c r="AO125" s="10"/>
      <c r="AP125" s="10"/>
      <c r="AQ125" s="51" t="s">
        <v>1934</v>
      </c>
      <c r="AR125" s="51" t="s">
        <v>1300</v>
      </c>
      <c r="AS125" s="82" t="s">
        <v>1561</v>
      </c>
      <c r="AT125" s="82" t="s">
        <v>1297</v>
      </c>
      <c r="AU125" s="140" t="s">
        <v>1301</v>
      </c>
      <c r="AV125" s="82" t="s">
        <v>1658</v>
      </c>
      <c r="AW125" s="16"/>
      <c r="AX125" s="51"/>
      <c r="AY125" s="51"/>
      <c r="AZ125" s="51"/>
      <c r="BA125" s="51"/>
      <c r="BB125" s="51"/>
      <c r="BC125" s="51"/>
      <c r="BD125" s="51"/>
      <c r="BE125" s="51"/>
      <c r="BF125" s="92"/>
      <c r="BG125" s="92"/>
      <c r="BH125" s="92"/>
      <c r="BI125" s="92"/>
      <c r="BJ125" s="92"/>
      <c r="BK125" s="92"/>
      <c r="BL125" s="92"/>
      <c r="BN125" s="7" t="str">
        <f>IF(IFERROR(FIND("romatis",TableauJDG[[#This Row],[TYPE DE THÉ FR]]),0)=0,"","aromatisé")</f>
        <v/>
      </c>
      <c r="BO125" s="10" t="s">
        <v>1967</v>
      </c>
      <c r="BV125" s="10" t="str">
        <f t="shared" si="110"/>
        <v>Inspirée de la douceur d’une nuit passée les yeux dans les étoiles, cette tisane est une constellation de saveurs chaudes et lumineuses. Ses notes miellées et citronnées, accompagnées d’accents de cardamome et d'anis sont irrésistibles à tout momen</v>
      </c>
      <c r="BW125" s="10" t="str">
        <f t="shared" si="111"/>
        <v>t de la journée.</v>
      </c>
      <c r="BX125" s="10" t="str">
        <f t="shared" si="84"/>
        <v/>
      </c>
      <c r="BY125" s="10" t="str">
        <f t="shared" si="85"/>
        <v/>
      </c>
      <c r="BZ125" s="10" t="str">
        <f t="shared" si="86"/>
        <v>Ingrédients : honeybush* 48% (Cyclopia subternata), anis* (Pimpinella anisum), gingembre* (Zingiber officinale), morceaux de pomme* (Malus domestica), cardamome* 7% (Elettaria cardamomum), cannelle* (Cinnamomum zeylanicum), verveine* (Aloysia triphyl</v>
      </c>
      <c r="CA125" s="10" t="str">
        <f t="shared" si="87"/>
        <v>la), fleurs de violette* (Viola odorata), pétales de bleuet* (Centaurea cyanus). *Issu de l’agriculture biologique.</v>
      </c>
      <c r="CB125" s="10" t="str">
        <f t="shared" si="88"/>
        <v/>
      </c>
      <c r="CC125" s="10" t="str">
        <f t="shared" si="89"/>
        <v/>
      </c>
      <c r="CD125" s="10" t="str">
        <f t="shared" si="90"/>
        <v>/</v>
      </c>
      <c r="CE125" s="10" t="str">
        <f t="shared" si="91"/>
        <v/>
      </c>
      <c r="CF125" s="10" t="str">
        <f t="shared" si="92"/>
        <v/>
      </c>
      <c r="CG125" s="10" t="str">
        <f t="shared" si="93"/>
        <v/>
      </c>
      <c r="CH125" s="10" t="str">
        <f t="shared" si="94"/>
        <v>/</v>
      </c>
      <c r="CI125" s="10" t="str">
        <f t="shared" si="95"/>
        <v/>
      </c>
      <c r="CJ125" s="10" t="str">
        <f t="shared" si="96"/>
        <v/>
      </c>
      <c r="CK125" s="10" t="str">
        <f t="shared" si="97"/>
        <v/>
      </c>
      <c r="CL125" s="10" t="str">
        <f t="shared" si="98"/>
        <v>A comforting break after a walk, this herbal tea with its honeyed, lemony flavours, accompanied by notes of cardamom and anise, has the softness of a caress... Dedicated to everyday adventurers, it makes the pleasure of returning to one's cocoon irre</v>
      </c>
      <c r="CM125" s="10" t="str">
        <f t="shared" si="99"/>
        <v>sistible.</v>
      </c>
      <c r="CN125" s="10" t="str">
        <f t="shared" si="100"/>
        <v/>
      </c>
      <c r="CO125" s="10" t="str">
        <f t="shared" si="101"/>
        <v/>
      </c>
      <c r="CP125" s="10" t="str">
        <f t="shared" si="102"/>
        <v>Ingredients: honeybush* 48% (Cyclopia subternata), anise* (Pimpinella anisum), ginger* (Zingiber officinale), apple pieces* (Malus domestica), cardamom* 7% (Elettaria cardamomum), cinnamon* (Cinnamomum zeylanicum), verbena* (Aloysia triphylla), viole</v>
      </c>
      <c r="CQ125" s="10" t="str">
        <f t="shared" si="103"/>
        <v>t flowers* (Viola odorata), cornflower petals* (Centaurea cyanus). *From organic farming.</v>
      </c>
      <c r="CR125" s="10" t="str">
        <f t="shared" si="104"/>
        <v/>
      </c>
      <c r="CS125" s="10" t="str">
        <f t="shared" si="105"/>
        <v/>
      </c>
      <c r="CT125" s="10" t="str">
        <f t="shared" si="106"/>
        <v/>
      </c>
      <c r="CU125" s="10" t="str">
        <f t="shared" si="107"/>
        <v/>
      </c>
      <c r="CV125" s="10" t="str">
        <f t="shared" si="108"/>
        <v/>
      </c>
      <c r="CW125" s="10" t="str">
        <f t="shared" si="109"/>
        <v/>
      </c>
    </row>
    <row r="126" spans="1:101" ht="100.8">
      <c r="A126" s="129" t="s">
        <v>646</v>
      </c>
      <c r="B126" s="9" t="s">
        <v>777</v>
      </c>
      <c r="C126" s="9" t="s">
        <v>39</v>
      </c>
      <c r="D126" s="8" t="s">
        <v>643</v>
      </c>
      <c r="E126" s="9" t="s">
        <v>1139</v>
      </c>
      <c r="F126" s="9" t="s">
        <v>644</v>
      </c>
      <c r="G126" s="56" t="s">
        <v>29</v>
      </c>
      <c r="H126" s="10" t="s">
        <v>5</v>
      </c>
      <c r="I126" s="10" t="s">
        <v>29</v>
      </c>
      <c r="J126" s="10" t="s">
        <v>29</v>
      </c>
      <c r="K126" s="10" t="s">
        <v>29</v>
      </c>
      <c r="L126" s="10" t="s">
        <v>29</v>
      </c>
      <c r="M126" s="10" t="s">
        <v>29</v>
      </c>
      <c r="N126" s="10" t="s">
        <v>37</v>
      </c>
      <c r="O126" s="9"/>
      <c r="P126" s="9" t="s">
        <v>645</v>
      </c>
      <c r="Q126" s="9" t="s">
        <v>645</v>
      </c>
      <c r="R126" s="9"/>
      <c r="S126" s="9"/>
      <c r="T126" s="9" t="s">
        <v>1140</v>
      </c>
      <c r="U126"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26" s="9" t="s">
        <v>41</v>
      </c>
      <c r="W126" s="9" t="s">
        <v>29</v>
      </c>
      <c r="X126" s="10">
        <v>100</v>
      </c>
      <c r="Y126" s="11" t="s">
        <v>78</v>
      </c>
      <c r="Z126" s="19">
        <v>95</v>
      </c>
      <c r="AA126" s="10">
        <v>2</v>
      </c>
      <c r="AB126" s="10">
        <v>50</v>
      </c>
      <c r="AC126" s="12">
        <v>3582811202325</v>
      </c>
      <c r="AD126" s="10" t="s">
        <v>29</v>
      </c>
      <c r="AE126" s="10" t="s">
        <v>647</v>
      </c>
      <c r="AF126" s="10" t="s">
        <v>1141</v>
      </c>
      <c r="AG126" s="10" t="s">
        <v>1142</v>
      </c>
      <c r="AH126" s="13" t="s">
        <v>38</v>
      </c>
      <c r="AI126" s="10"/>
      <c r="AJ126" s="10"/>
      <c r="AK126" s="10"/>
      <c r="AL126" s="10"/>
      <c r="AM126" s="10"/>
      <c r="AN126" s="10"/>
      <c r="AO126" s="10"/>
      <c r="AP126" s="10"/>
      <c r="AQ126" s="51" t="s">
        <v>1469</v>
      </c>
      <c r="AR126" s="51" t="s">
        <v>1470</v>
      </c>
      <c r="AS126" s="84" t="s">
        <v>1552</v>
      </c>
      <c r="AT126" s="9" t="s">
        <v>29</v>
      </c>
      <c r="AU126" s="139" t="s">
        <v>1471</v>
      </c>
      <c r="AV126" s="9" t="s">
        <v>1472</v>
      </c>
      <c r="AW126" s="52"/>
      <c r="AX126" s="74" t="s">
        <v>1820</v>
      </c>
      <c r="AY126" s="51"/>
      <c r="AZ126" s="51"/>
      <c r="BA126" s="51"/>
      <c r="BB126" s="51"/>
      <c r="BC126" s="51"/>
      <c r="BD126" s="51"/>
      <c r="BE126" s="51"/>
      <c r="BF126" s="92"/>
      <c r="BG126" s="92"/>
      <c r="BH126" s="92"/>
      <c r="BI126" s="92"/>
      <c r="BJ126" s="92"/>
      <c r="BK126" s="92"/>
      <c r="BL126" s="92"/>
      <c r="BN126" s="7" t="str">
        <f>IF(IFERROR(FIND("romatis",TableauJDG[[#This Row],[TYPE DE THÉ FR]]),0)=0,"","aromatisé")</f>
        <v/>
      </c>
      <c r="BV126" s="10" t="str">
        <f t="shared" si="110"/>
        <v xml:space="preserve">Cette infusion drainante aux saveurs fraîches et agréables, dominée par une note mentholée, est idéale pour stimuler la perte de poids tout en douceur. Pour se faire plaisir tout en éloignant les kilos superflus… </v>
      </c>
      <c r="BW126" s="10" t="str">
        <f t="shared" si="111"/>
        <v/>
      </c>
      <c r="BX126" s="10" t="str">
        <f t="shared" si="84"/>
        <v/>
      </c>
      <c r="BY126" s="10" t="str">
        <f t="shared" si="85"/>
        <v/>
      </c>
      <c r="BZ126" s="10" t="str">
        <f t="shared" si="86"/>
        <v>Ingrédients : menthe poivrée* 25% (Mentha piperita), honeybush* (Cyclopia subternata), maté* 17% (Ilex paraguariensis), ortie* 13% (Urtica dioica), thé vert* 12% (Camellia sinensis), thé sombre pu'er* 8% (Camellia sinensis). *Issu de l'agriculture bi</v>
      </c>
      <c r="CA126" s="10" t="str">
        <f t="shared" si="87"/>
        <v>ologique.</v>
      </c>
      <c r="CB126" s="10" t="str">
        <f t="shared" si="88"/>
        <v/>
      </c>
      <c r="CC126" s="10" t="str">
        <f t="shared" si="89"/>
        <v/>
      </c>
      <c r="CD126" s="10" t="str">
        <f t="shared" si="90"/>
        <v>Consommation journalière conseillée : 3 tasses de 25 cl.
Il est recommandé d'adopter un mode de vie sain et une alimentation variée et équilibrée pour profiter pleinement des vertus de cette infusion. Informations nutritionnelles moyennes pour 100 m</v>
      </c>
      <c r="CE126" s="10" t="str">
        <f t="shared" si="91"/>
        <v>l : Énergie 3 kJ/1 kcal. Cette infusion contient des quantités négligeables de matières grasses dont acides gras saturés, de glucides dont sucres, de protéines et de sel.</v>
      </c>
      <c r="CF126" s="10" t="str">
        <f t="shared" si="92"/>
        <v/>
      </c>
      <c r="CG126" s="10" t="str">
        <f t="shared" si="93"/>
        <v/>
      </c>
      <c r="CH126" s="10" t="str">
        <f t="shared" si="94"/>
        <v>/</v>
      </c>
      <c r="CI126" s="10" t="str">
        <f t="shared" si="95"/>
        <v/>
      </c>
      <c r="CJ126" s="10" t="str">
        <f t="shared" si="96"/>
        <v/>
      </c>
      <c r="CK126" s="10" t="str">
        <f t="shared" si="97"/>
        <v/>
      </c>
      <c r="CL126" s="10" t="str">
        <f t="shared" si="98"/>
        <v xml:space="preserve">This cleansing infusion with its fresh, pleasant flavours, dominated by a menthol note, is ideal for gently stimulating weight loss. Indulge yourself while shedding unwanted pounds... </v>
      </c>
      <c r="CM126" s="10" t="str">
        <f t="shared" si="99"/>
        <v/>
      </c>
      <c r="CN126" s="10" t="str">
        <f t="shared" si="100"/>
        <v/>
      </c>
      <c r="CO126" s="10" t="str">
        <f t="shared" si="101"/>
        <v/>
      </c>
      <c r="CP126" s="10" t="str">
        <f t="shared" si="102"/>
        <v>Ingredients: peppermint* 25%, honeybush*, mate* 17%, nettle* 13%, green tea* 12%, pu'er dark tea* 8%. *From organic farming.</v>
      </c>
      <c r="CQ126" s="10" t="str">
        <f t="shared" si="103"/>
        <v/>
      </c>
      <c r="CR126" s="10" t="str">
        <f t="shared" si="104"/>
        <v/>
      </c>
      <c r="CS126" s="10" t="str">
        <f t="shared" si="105"/>
        <v/>
      </c>
      <c r="CT126" s="10" t="str">
        <f t="shared" si="106"/>
        <v>Recommended daily consumption: 3 cups of 25 cl. 
A healthy lifestyle and a varied, balanced diet are recommended to fully benefit from the properties of this infusion. Average nutritional information per 100 ml: Energy 3 kJ/1 kcal. This herbal tea co</v>
      </c>
      <c r="CU126" s="10" t="str">
        <f t="shared" si="107"/>
        <v>ntains negligible amounts of fats (including saturated fats), carbohydrates (including sugars), proteins and salt.</v>
      </c>
      <c r="CV126" s="10" t="str">
        <f t="shared" si="108"/>
        <v/>
      </c>
      <c r="CW126" s="10" t="str">
        <f t="shared" si="109"/>
        <v/>
      </c>
    </row>
    <row r="127" spans="1:101" ht="115.2">
      <c r="A127" s="128" t="s">
        <v>651</v>
      </c>
      <c r="B127" s="9" t="s">
        <v>26</v>
      </c>
      <c r="C127" s="9"/>
      <c r="D127" s="8" t="s">
        <v>648</v>
      </c>
      <c r="E127" s="17" t="s">
        <v>1143</v>
      </c>
      <c r="F127" s="9" t="s">
        <v>57</v>
      </c>
      <c r="G127" s="9" t="s">
        <v>890</v>
      </c>
      <c r="H127" s="10" t="s">
        <v>5</v>
      </c>
      <c r="I127" s="10" t="s">
        <v>6</v>
      </c>
      <c r="J127" s="10" t="s">
        <v>29</v>
      </c>
      <c r="K127" s="10" t="s">
        <v>29</v>
      </c>
      <c r="L127" s="10" t="s">
        <v>29</v>
      </c>
      <c r="M127" s="10" t="s">
        <v>29</v>
      </c>
      <c r="N127" s="10" t="s">
        <v>37</v>
      </c>
      <c r="O127" s="9"/>
      <c r="P127" s="9" t="s">
        <v>649</v>
      </c>
      <c r="Q127" s="69" t="s">
        <v>1144</v>
      </c>
      <c r="R127" s="69"/>
      <c r="S127" s="9"/>
      <c r="T127" s="61" t="s">
        <v>1145</v>
      </c>
      <c r="U127" s="61"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27" s="9" t="s">
        <v>29</v>
      </c>
      <c r="W127" s="9" t="s">
        <v>31</v>
      </c>
      <c r="X127" s="10">
        <v>100</v>
      </c>
      <c r="Y127" s="19" t="s">
        <v>59</v>
      </c>
      <c r="Z127" s="19">
        <v>75</v>
      </c>
      <c r="AA127" s="10">
        <v>2</v>
      </c>
      <c r="AB127" s="10">
        <v>50</v>
      </c>
      <c r="AC127" s="12">
        <v>3582813569228</v>
      </c>
      <c r="AD127" s="10" t="s">
        <v>29</v>
      </c>
      <c r="AE127" s="10" t="s">
        <v>1737</v>
      </c>
      <c r="AF127" s="10" t="s">
        <v>1148</v>
      </c>
      <c r="AG127" s="10" t="s">
        <v>1149</v>
      </c>
      <c r="AH127" s="13" t="s">
        <v>1150</v>
      </c>
      <c r="AI127" s="54" t="s">
        <v>776</v>
      </c>
      <c r="AJ127" s="54" t="s">
        <v>776</v>
      </c>
      <c r="AK127" s="55">
        <v>45601</v>
      </c>
      <c r="AL127" s="10"/>
      <c r="AM127" s="10" t="s">
        <v>1151</v>
      </c>
      <c r="AN127" s="10"/>
      <c r="AO127" s="50" t="s">
        <v>774</v>
      </c>
      <c r="AP127" s="50" t="s">
        <v>1598</v>
      </c>
      <c r="AQ127" s="51" t="s">
        <v>650</v>
      </c>
      <c r="AR127" s="51" t="s">
        <v>1146</v>
      </c>
      <c r="AS127" s="87" t="s">
        <v>1555</v>
      </c>
      <c r="AT127" s="87" t="e">
        <f>VLOOKUP(A127,TRADS,14,0)</f>
        <v>#REF!</v>
      </c>
      <c r="AU127" s="138" t="s">
        <v>1702</v>
      </c>
      <c r="AV127" s="16" t="s">
        <v>1147</v>
      </c>
      <c r="AW127" s="16"/>
      <c r="AX127" s="51"/>
      <c r="AY127" s="51" t="s">
        <v>1250</v>
      </c>
      <c r="AZ127" s="51" t="s">
        <v>1251</v>
      </c>
      <c r="BA127" s="51">
        <v>0</v>
      </c>
      <c r="BB127" s="51" t="s">
        <v>1642</v>
      </c>
      <c r="BC127" s="51" t="s">
        <v>1573</v>
      </c>
      <c r="BD127" s="51" t="s">
        <v>1287</v>
      </c>
      <c r="BE127" s="51"/>
      <c r="BF127" s="92"/>
      <c r="BG127" s="92"/>
      <c r="BH127" s="92"/>
      <c r="BI127" s="92"/>
      <c r="BJ127" s="92"/>
      <c r="BK127" s="92"/>
      <c r="BL127" s="92"/>
      <c r="BN127" s="7" t="str">
        <f>IF(IFERROR(FIND("romatis",TableauJDG[[#This Row],[TYPE DE THÉ FR]]),0)=0,"","aromatisé")</f>
        <v>aromatisé</v>
      </c>
      <c r="BO127" s="10" t="s">
        <v>1730</v>
      </c>
      <c r="BV127" s="10" t="str">
        <f t="shared" si="110"/>
        <v>Ce mariage des saveurs végétales du thé vert avec les saveurs fruitées et légèrement acidulées d’une association d’agrumes ne laisse pas indifférent. Un véritable océan de fraîcheur pour les papilles qui se déguste aussi bien en infusion chaude que g</v>
      </c>
      <c r="BW127" s="10" t="str">
        <f t="shared" si="111"/>
        <v>lacée.</v>
      </c>
      <c r="BX127" s="10" t="str">
        <f t="shared" si="84"/>
        <v/>
      </c>
      <c r="BY127" s="10" t="str">
        <f t="shared" si="85"/>
        <v/>
      </c>
      <c r="BZ127" s="10" t="str">
        <f t="shared" si="86"/>
        <v>Ingrédients : thé vert*, huiles essentielles d'agrumes (pamplemousse*, mandarine*, orange douce*, bergamote* et orange sanguine*) 3%, arôme naturel de citron vert* 1%, écorces d'orange* 1%, écorces de mandarine* 1%, pétales de bleuet bleu*. *Issu d</v>
      </c>
      <c r="CA127" s="10" t="str">
        <f t="shared" si="87"/>
        <v>e l'agriculture biologique.</v>
      </c>
      <c r="CB127" s="10" t="str">
        <f t="shared" si="88"/>
        <v/>
      </c>
      <c r="CC127" s="10" t="str">
        <f t="shared" si="89"/>
        <v/>
      </c>
      <c r="CD127" s="10" t="str">
        <f t="shared" si="90"/>
        <v>/</v>
      </c>
      <c r="CE127" s="10" t="str">
        <f t="shared" si="91"/>
        <v/>
      </c>
      <c r="CF127" s="10" t="str">
        <f t="shared" si="92"/>
        <v/>
      </c>
      <c r="CG127" s="10" t="str">
        <f t="shared" si="93"/>
        <v/>
      </c>
      <c r="CH127" s="10" t="str">
        <f t="shared" si="94"/>
        <v>Membre certifié World Fair Trade Organization, Les Jardins de Gaïa s’engagent pour un commerce plus juste et répondent aux exigences du commerce équitable. Pour en savoir plus : www.wfto.com.</v>
      </c>
      <c r="CI127" s="10" t="str">
        <f t="shared" si="95"/>
        <v/>
      </c>
      <c r="CJ127" s="10" t="str">
        <f t="shared" si="96"/>
        <v/>
      </c>
      <c r="CK127" s="10" t="str">
        <f t="shared" si="97"/>
        <v/>
      </c>
      <c r="CL127" s="10" t="str">
        <f t="shared" si="98"/>
        <v>This marriage of the herbal flavours of green tea with the fruity, slightly acidic flavours of a citrus combination leaves no one indifferent. A true sea of freshness for the taste buds, to be enjoyed either as a hot or iced infusion.</v>
      </c>
      <c r="CM127" s="10" t="str">
        <f t="shared" si="99"/>
        <v/>
      </c>
      <c r="CN127" s="10" t="str">
        <f t="shared" si="100"/>
        <v/>
      </c>
      <c r="CO127" s="10" t="str">
        <f t="shared" si="101"/>
        <v/>
      </c>
      <c r="CP127" s="10" t="str">
        <f t="shared" si="102"/>
        <v xml:space="preserve">Ingredients: green tea*, citrus essential oils (grapefruit*, mandarin*, sweet orange*, bergamot*, blood orange*) 3%, orange peels* 1%, mandarin peels* 1%, cornflower petals*. *From organic farming. </v>
      </c>
      <c r="CQ127" s="10" t="str">
        <f t="shared" si="103"/>
        <v/>
      </c>
      <c r="CR127" s="10" t="str">
        <f t="shared" si="104"/>
        <v/>
      </c>
      <c r="CS127" s="10" t="str">
        <f t="shared" si="105"/>
        <v/>
      </c>
      <c r="CT127" s="10" t="str">
        <f t="shared" si="106"/>
        <v/>
      </c>
      <c r="CU127" s="10" t="str">
        <f t="shared" si="107"/>
        <v/>
      </c>
      <c r="CV127" s="10" t="str">
        <f t="shared" si="108"/>
        <v/>
      </c>
      <c r="CW127" s="10" t="str">
        <f t="shared" si="109"/>
        <v/>
      </c>
    </row>
    <row r="128" spans="1:101" ht="93.6">
      <c r="A128" s="129" t="s">
        <v>652</v>
      </c>
      <c r="B128" s="9" t="s">
        <v>782</v>
      </c>
      <c r="C128" s="9"/>
      <c r="D128" s="8" t="s">
        <v>1152</v>
      </c>
      <c r="E128" s="9" t="s">
        <v>29</v>
      </c>
      <c r="F128" s="9" t="s">
        <v>784</v>
      </c>
      <c r="G128" s="9" t="s">
        <v>76</v>
      </c>
      <c r="H128" s="10" t="s">
        <v>5</v>
      </c>
      <c r="I128" s="10" t="s">
        <v>29</v>
      </c>
      <c r="J128" s="10" t="s">
        <v>29</v>
      </c>
      <c r="K128" s="10" t="s">
        <v>29</v>
      </c>
      <c r="L128" s="10" t="s">
        <v>29</v>
      </c>
      <c r="M128" s="10" t="s">
        <v>29</v>
      </c>
      <c r="N128" s="10" t="s">
        <v>77</v>
      </c>
      <c r="O128" s="9"/>
      <c r="P128" s="9" t="s">
        <v>1153</v>
      </c>
      <c r="Q128" s="9" t="s">
        <v>1154</v>
      </c>
      <c r="R128" s="9" t="s">
        <v>1698</v>
      </c>
      <c r="S128" s="9"/>
      <c r="T128" s="9" t="s">
        <v>785</v>
      </c>
      <c r="U128"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28" s="9" t="s">
        <v>29</v>
      </c>
      <c r="W128" s="9" t="s">
        <v>29</v>
      </c>
      <c r="X128" s="10">
        <v>80</v>
      </c>
      <c r="Y128" s="11" t="s">
        <v>78</v>
      </c>
      <c r="Z128" s="19">
        <v>95</v>
      </c>
      <c r="AA128" s="10">
        <v>2</v>
      </c>
      <c r="AB128" s="10">
        <v>40</v>
      </c>
      <c r="AC128" s="12">
        <v>3582810712023</v>
      </c>
      <c r="AD128" s="10" t="s">
        <v>50</v>
      </c>
      <c r="AE128" s="10" t="s">
        <v>1155</v>
      </c>
      <c r="AF128" s="10" t="s">
        <v>1155</v>
      </c>
      <c r="AG128" s="10" t="s">
        <v>52</v>
      </c>
      <c r="AH128" s="13" t="s">
        <v>79</v>
      </c>
      <c r="AI128" s="54" t="s">
        <v>776</v>
      </c>
      <c r="AJ128" s="54" t="s">
        <v>776</v>
      </c>
      <c r="AK128" s="55">
        <v>45771</v>
      </c>
      <c r="AL128" s="10"/>
      <c r="AM128" s="10"/>
      <c r="AN128" s="10"/>
      <c r="AO128" s="10"/>
      <c r="AP128" s="10"/>
      <c r="AQ128" s="51" t="s">
        <v>1152</v>
      </c>
      <c r="AR128" s="51"/>
      <c r="AS128" s="82" t="s">
        <v>1614</v>
      </c>
      <c r="AT128" s="82" t="s">
        <v>1506</v>
      </c>
      <c r="AU128" s="85" t="s">
        <v>1699</v>
      </c>
      <c r="AV128" s="109" t="s">
        <v>1615</v>
      </c>
      <c r="AW128" s="94" t="s">
        <v>1700</v>
      </c>
      <c r="AX128" s="51"/>
      <c r="AY128" s="51"/>
      <c r="AZ128" s="51"/>
      <c r="BA128" s="51"/>
      <c r="BB128" s="51"/>
      <c r="BC128" s="51"/>
      <c r="BD128" s="51"/>
      <c r="BE128" s="51"/>
      <c r="BF128" s="92"/>
      <c r="BG128" s="92"/>
      <c r="BH128" s="92"/>
      <c r="BI128" s="92"/>
      <c r="BJ128" s="92"/>
      <c r="BK128" s="92"/>
      <c r="BL128" s="92"/>
      <c r="BN128" s="7" t="str">
        <f>IF(IFERROR(FIND("romatis",TableauJDG[[#This Row],[TYPE DE THÉ FR]]),0)=0,"","aromatisé")</f>
        <v/>
      </c>
      <c r="BV128" s="10" t="str">
        <f t="shared" si="110"/>
        <v>Ce thé wulong de caractère reflète l'exceptionnelle richesse la région préservée de Waikato au nord de la Nouvelle-Zélande. Ses feuilles longuement cuites offrent une liqueur riche et dense dont les notes d’abricot, de raisin de Corinthe, de pain gri</v>
      </c>
      <c r="BW128" s="10" t="str">
        <f t="shared" si="111"/>
        <v>llé et de fruits à coque sont irrésistibles.</v>
      </c>
      <c r="BX128" s="10" t="str">
        <f t="shared" si="84"/>
        <v/>
      </c>
      <c r="BY128" s="10" t="str">
        <f t="shared" si="85"/>
        <v/>
      </c>
      <c r="BZ128" s="10" t="str">
        <f t="shared" si="86"/>
        <v>Ingrédient : thé wulong*. *Issu de l'agriculture biologique.</v>
      </c>
      <c r="CA128" s="10" t="str">
        <f t="shared" si="87"/>
        <v/>
      </c>
      <c r="CB128" s="10" t="str">
        <f t="shared" si="88"/>
        <v/>
      </c>
      <c r="CC128" s="10" t="str">
        <f t="shared" si="89"/>
        <v/>
      </c>
      <c r="CD128" s="10" t="str">
        <f t="shared" si="90"/>
        <v>/</v>
      </c>
      <c r="CE128" s="10" t="str">
        <f t="shared" si="91"/>
        <v/>
      </c>
      <c r="CF128" s="10" t="str">
        <f t="shared" si="92"/>
        <v/>
      </c>
      <c r="CG128" s="10" t="str">
        <f t="shared" si="93"/>
        <v/>
      </c>
      <c r="CH128" s="10" t="str">
        <f t="shared" si="94"/>
        <v>/</v>
      </c>
      <c r="CI128" s="10" t="str">
        <f t="shared" si="95"/>
        <v/>
      </c>
      <c r="CJ128" s="10" t="str">
        <f t="shared" si="96"/>
        <v/>
      </c>
      <c r="CK128" s="10" t="str">
        <f t="shared" si="97"/>
        <v/>
      </c>
      <c r="CL128" s="10" t="str">
        <f t="shared" si="98"/>
        <v>This characterful wulong tea reflects the exceptional richness of the unspoilt Waikato region in northern New Zealand. Its long-fired leaves produce a rich, dense brew with irresistible notes of apricot, currant, toast and nuts.</v>
      </c>
      <c r="CM128" s="10" t="str">
        <f t="shared" si="99"/>
        <v/>
      </c>
      <c r="CN128" s="10" t="str">
        <f t="shared" si="100"/>
        <v/>
      </c>
      <c r="CO128" s="10" t="str">
        <f t="shared" si="101"/>
        <v/>
      </c>
      <c r="CP128" s="10" t="str">
        <f t="shared" si="102"/>
        <v>Ingredient: wulong tea*. *From organic farming.</v>
      </c>
      <c r="CQ128" s="10" t="str">
        <f t="shared" si="103"/>
        <v/>
      </c>
      <c r="CR128" s="10" t="str">
        <f t="shared" si="104"/>
        <v/>
      </c>
      <c r="CS128" s="10" t="str">
        <f t="shared" si="105"/>
        <v/>
      </c>
      <c r="CT128" s="10" t="str">
        <f t="shared" si="106"/>
        <v/>
      </c>
      <c r="CU128" s="10" t="str">
        <f t="shared" si="107"/>
        <v/>
      </c>
      <c r="CV128" s="10" t="str">
        <f t="shared" si="108"/>
        <v/>
      </c>
      <c r="CW128" s="10" t="str">
        <f t="shared" si="109"/>
        <v/>
      </c>
    </row>
    <row r="129" spans="1:101" ht="115.2">
      <c r="A129" s="128" t="s">
        <v>657</v>
      </c>
      <c r="B129" s="9" t="s">
        <v>787</v>
      </c>
      <c r="C129" s="9" t="s">
        <v>788</v>
      </c>
      <c r="D129" s="8" t="s">
        <v>653</v>
      </c>
      <c r="E129" s="9" t="s">
        <v>654</v>
      </c>
      <c r="F129" s="9" t="s">
        <v>57</v>
      </c>
      <c r="G129" s="10" t="s">
        <v>58</v>
      </c>
      <c r="H129" s="10" t="s">
        <v>5</v>
      </c>
      <c r="I129" s="10" t="s">
        <v>6</v>
      </c>
      <c r="J129" s="10" t="s">
        <v>29</v>
      </c>
      <c r="K129" s="10" t="s">
        <v>29</v>
      </c>
      <c r="L129" s="10" t="s">
        <v>29</v>
      </c>
      <c r="M129" s="10" t="s">
        <v>29</v>
      </c>
      <c r="N129" s="10" t="s">
        <v>37</v>
      </c>
      <c r="O129" s="9"/>
      <c r="P129" s="9" t="s">
        <v>655</v>
      </c>
      <c r="Q129" s="9" t="s">
        <v>1156</v>
      </c>
      <c r="R129" s="9"/>
      <c r="S129" s="9" t="s">
        <v>993</v>
      </c>
      <c r="T129" s="9" t="s">
        <v>656</v>
      </c>
      <c r="U129"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29" s="8" t="s">
        <v>29</v>
      </c>
      <c r="W129" s="9" t="s">
        <v>31</v>
      </c>
      <c r="X129" s="10">
        <v>100</v>
      </c>
      <c r="Y129" s="11" t="s">
        <v>32</v>
      </c>
      <c r="Z129" s="19">
        <v>80</v>
      </c>
      <c r="AA129" s="10">
        <v>2</v>
      </c>
      <c r="AB129" s="12">
        <v>50</v>
      </c>
      <c r="AC129" s="12">
        <v>3582810361627</v>
      </c>
      <c r="AD129" s="10" t="s">
        <v>29</v>
      </c>
      <c r="AE129" s="10" t="s">
        <v>1157</v>
      </c>
      <c r="AF129" s="10" t="s">
        <v>1157</v>
      </c>
      <c r="AG129" s="10" t="s">
        <v>1158</v>
      </c>
      <c r="AH129" s="13" t="s">
        <v>38</v>
      </c>
      <c r="AI129" s="54" t="s">
        <v>776</v>
      </c>
      <c r="AJ129" s="54" t="s">
        <v>776</v>
      </c>
      <c r="AK129" s="55">
        <v>45707</v>
      </c>
      <c r="AL129" s="10"/>
      <c r="AM129" s="10"/>
      <c r="AN129" s="10"/>
      <c r="AO129" s="50" t="s">
        <v>774</v>
      </c>
      <c r="AP129" s="50" t="s">
        <v>1599</v>
      </c>
      <c r="AQ129" s="51" t="s">
        <v>1243</v>
      </c>
      <c r="AR129" s="51" t="s">
        <v>1328</v>
      </c>
      <c r="AS129" s="87" t="s">
        <v>1555</v>
      </c>
      <c r="AT129" s="87" t="e">
        <f>VLOOKUP(A129,TRADS,14,0)</f>
        <v>#REF!</v>
      </c>
      <c r="AU129" s="141" t="s">
        <v>1566</v>
      </c>
      <c r="AV129" s="87" t="s">
        <v>1329</v>
      </c>
      <c r="AW129" s="87"/>
      <c r="AX129" s="87" t="s">
        <v>29</v>
      </c>
      <c r="AY129" s="51" t="s">
        <v>1244</v>
      </c>
      <c r="AZ129" s="51" t="s">
        <v>1245</v>
      </c>
      <c r="BA129" s="51" t="s">
        <v>1570</v>
      </c>
      <c r="BB129" s="51" t="s">
        <v>1642</v>
      </c>
      <c r="BC129" s="51" t="s">
        <v>1573</v>
      </c>
      <c r="BD129" s="51" t="s">
        <v>1287</v>
      </c>
      <c r="BE129" s="51"/>
      <c r="BF129" s="92"/>
      <c r="BG129" s="92"/>
      <c r="BH129" s="92"/>
      <c r="BI129" s="92"/>
      <c r="BJ129" s="92"/>
      <c r="BK129" s="92"/>
      <c r="BL129" s="92"/>
      <c r="BM129" s="93">
        <v>1</v>
      </c>
      <c r="BN129" s="7" t="str">
        <f>IF(IFERROR(FIND("romatis",TableauJDG[[#This Row],[TYPE DE THÉ FR]]),0)=0,"","aromatisé")</f>
        <v>aromatisé</v>
      </c>
      <c r="BV129" s="10" t="str">
        <f t="shared" si="110"/>
        <v>Ce thé vert joliment émaillé de pétales de tournesol, aux douces saveurs de fleurs de sureau et de poire, soutient la protection du courlis cendré, oiseau emblématique du Ried alsacien dont la courbe du bec rappelle la lune. Pour que son chant magiqu</v>
      </c>
      <c r="BW129" s="10" t="str">
        <f t="shared" si="111"/>
        <v>e accompagne encore longtemps nos dégustations !</v>
      </c>
      <c r="BX129" s="10" t="str">
        <f t="shared" ref="BX129:BX152" si="112">IF(MID($Q129,251,1)=" ",IF(MID($Q129,500,1)=" ",IF(MID($Q129,749,1)=" ",MID($Q129,499,249),IF(MID($Q129,748,1)=" ",MID($Q129,499,248),MID($Q129,499,250))),IF(MID($Q129,499,1)=" ",IF(MID($Q129,748,1)=" ",MID($Q129,498,249),IF(MID($Q129,747,1)=" ",MID($Q129,498,248),MID($Q129,498,250))),IF(MID($Q129,750,1)=" ",MID($Q129,500,249),IF(MID($Q129,749,1)=" ",MID($Q129,500,248),MID($Q129,500,250))))),IF(MID($Q129,250,1)=" ",IF(MID($Q129,499,1)=" ",IF(MID($Q129,746,1)=" ",MID($Q129,498,247),IF(MID($Q129,745,1)=" ",MID($Q129,498,246),MID($Q129,498,248))),IF(MID($Q129,498,1)=" ",IF(MID($Q129,745,1)=" ",MID($Q129,497,247),IF(MID($Q129,744,1)=" ",MID($Q129,497,246),MID($Q129,497,248))),IF(MID($Q129,749,1)=" ",MID($Q129,499,249),IF(MID($Q129,748,1)=" ",MID($Q129,499,248),MID($Q129,499,250))))),IF(MID($Q129,501,1)=" ",IF(MID($Q129,750,1)=" ",MID($Q129,500,249),IF(MID($Q129,749,1)=" ",MID($Q129,500,248),MID($Q129,500,250))),IF(MID($Q129,500,1)=" ",IF(MID($Q129,749,1)=" ",MID($Q129,499,249),IF(MID($Q129,750,1)=" ",MID($Q129,499,249),MID($Q129,499,250))),IF(MID($Q129,751,1)=" ",MID($Q129,501,249),IF(MID($Q129,750,1)=" ",MID($Q129,501,248),MID($Q129,501,250)))))))</f>
        <v/>
      </c>
      <c r="BY129" s="10" t="str">
        <f t="shared" ref="BY129:BY152" si="113">IF(MID($Q129,251,1)=" ",IF(MID($Q129,500,1)=" ",IF(MID($Q129,749,1)=" ",MID($Q129,748,250),IF(MID($Q129,748,1)=" ",MID($Q129,747,250),MID($Q129,749,250))),IF(MID($Q129,499,1)=" ",IF(MID($Q129,748,1)=" ",MID($Q129,747,250),IF(MID($Q129,747,1)=" ",MID($Q129,746,250),MID($Q129,748,250))),IF(MID($Q129,750,1)=" ",MID($Q129,749,250),IF(MID($Q129,749,1)=" ",MID($Q129,748,250),MID($Q129,750,250))))),IF(MID($Q129,250,1)=" ",IF(MID($Q129,499,1)=" ",IF(MID($Q129,746,1)=" ",MID($Q129,745,250),IF(MID($Q129,745,1)=" ",MID($Q129,744,250),MID($Q129,746,250))),IF(MID($Q129,498,1)=" ",IF(MID($Q129,745,1)=" ",MID($Q129,744,250),IF(MID($Q129,744,1)=" ",MID($Q129,743,250),MID($Q129,745,250))),IF(MID($Q129,749,1)=" ",MID($Q129,748,250),IF(MID($Q129,748,1)=" ",MID($Q129,747,250),MID($Q129,749,250))))),IF(MID($Q129,501,1)=" ",IF(MID($Q129,750,1)=" ",MID($Q129,749,250),IF(MID($Q129,749,1)=" ",MID($Q129,748,250),MID($Q129,750,250))),IF(MID($Q129,500,1)=" ",IF(MID($Q129,749,1)=" ",MID($Q129,748,250),IF(MID($Q129,750,1)=" ",MID($Q129,749,250),MID($Q129,750,250))),IF(MID($Q129,751,1)=" ",MID($Q129,750,250),IF(MID($Q129,750,1)=" ",MID($Q129,749,250),MID($Q129,751,250)))))))</f>
        <v/>
      </c>
      <c r="BZ129" s="10" t="str">
        <f t="shared" ref="BZ129:BZ152" si="114">IF(MID($T129,251,1)=" ",MID($T129,1,249),IF(MID($T129,250,1)=" ",MID($T129,1,248),MID($T129,1,250)))</f>
        <v>Ingrédients : thé vert*, arômes naturels de (poire*, fleur de sureau*) 7%, extrait de vanille*, pétales de tournesol*. *Issu de l'agriculture biologique.</v>
      </c>
      <c r="CA129" s="10" t="str">
        <f t="shared" ref="CA129:CA152" si="115">IF(MID($T129,251,1)=" ",IF(MID($T129,500,1)=" ",MID($T129,250,249),IF(MID($T129,499,1)=" ",MID($T129,250,248),MID($T129,250,250))),IF(MID($T129,250,1)=" ",IF(MID($T129,499,1)=" ",MID($T129,249,249),IF(MID($T129,498,1)=" ",MID($T129,249,248),MID($T129,249,250))),IF(MID($T129,501,1)=" ",MID($T129,251,249),IF(MID($T129,500,1)=" ",MID($T129,251,248),MID($T129,251,250)))))</f>
        <v/>
      </c>
      <c r="CB129" s="10" t="str">
        <f t="shared" ref="CB129:CB152" si="116">IF(MID($T129,251,1)=" ",IF(MID($T129,500,1)=" ",IF(MID($T129,749,1)=" ",MID($T129,499,249),IF(MID($T129,748,1)=" ",MID($T129,499,248),MID($T129,499,250))),IF(MID($T129,499,1)=" ",IF(MID($T129,748,1)=" ",MID($T129,498,249),IF(MID($T129,747,1)=" ",MID($T129,498,248),MID($T129,498,250))),IF(MID($T129,750,1)=" ",MID($T129,500,249),IF(MID($T129,749,1)=" ",MID($T129,500,248),MID($T129,500,250))))),IF(MID($T129,250,1)=" ",IF(MID($T129,499,1)=" ",IF(MID($T129,746,1)=" ",MID($T129,498,247),IF(MID($T129,745,1)=" ",MID($T129,498,246),MID($T129,498,248))),IF(MID($T129,498,1)=" ",IF(MID($T129,745,1)=" ",MID($T129,497,247),IF(MID($T129,744,1)=" ",MID($T129,497,246),MID($T129,497,248))),IF(MID($T129,749,1)=" ",MID($T129,499,249),IF(MID($T129,748,1)=" ",MID($T129,499,248),MID($T129,499,250))))),IF(MID($T129,501,1)=" ",IF(MID($T129,750,1)=" ",MID($T129,500,249),IF(MID($T129,749,1)=" ",MID($T129,500,248),MID($T129,500,250))),IF(MID($T129,500,1)=" ",IF(MID($T129,749,1)=" ",MID($T129,499,249),IF(MID($T129,750,1)=" ",MID($T129,499,249),MID($T129,499,250))),IF(MID($T129,751,1)=" ",MID($T129,501,249),IF(MID($T129,750,1)=" ",MID($T129,501,248),MID($T129,501,250)))))))</f>
        <v/>
      </c>
      <c r="CC129" s="10" t="str">
        <f t="shared" ref="CC129:CC152" si="117">IF(MID($T129,251,1)=" ",IF(MID($T129,500,1)=" ",IF(MID($T129,749,1)=" ",MID($T129,748,250),IF(MID($T129,748,1)=" ",MID($T129,747,250),MID($T129,749,250))),IF(MID($T129,499,1)=" ",IF(MID($T129,748,1)=" ",MID($T129,747,250),IF(MID($T129,747,1)=" ",MID($T129,746,250),MID($T129,748,250))),IF(MID($T129,750,1)=" ",MID($T129,749,250),IF(MID($T129,749,1)=" ",MID($T129,748,250),MID($T129,750,250))))),IF(MID($T129,250,1)=" ",IF(MID($T129,499,1)=" ",IF(MID($T129,746,1)=" ",MID($T129,745,250),IF(MID($T129,745,1)=" ",MID($T129,744,250),MID($T129,746,250))),IF(MID($T129,498,1)=" ",IF(MID($T129,745,1)=" ",MID($T129,744,250),IF(MID($T129,744,1)=" ",MID($T129,743,250),MID($T129,745,250))),IF(MID($T129,749,1)=" ",MID($T129,748,250),IF(MID($T129,748,1)=" ",MID($T129,747,250),MID($T129,749,250))))),IF(MID($T129,501,1)=" ",IF(MID($T129,750,1)=" ",MID($T129,749,250),IF(MID($T129,749,1)=" ",MID($T129,748,250),MID($T129,750,250))),IF(MID($T129,500,1)=" ",IF(MID($T129,749,1)=" ",MID($T129,748,250),IF(MID($T129,750,1)=" ",MID($T129,749,250),MID($T129,750,250))),IF(MID($T129,751,1)=" ",MID($T129,750,250),IF(MID($T129,750,1)=" ",MID($T129,749,250),MID($T129,751,250)))))))</f>
        <v/>
      </c>
      <c r="CD129" s="10" t="str">
        <f t="shared" ref="CD129:CD152" si="118">IF(MID($V129,251,1)=" ",MID($V129,1,249),IF(MID($V129,250,1)=" ",MID($V129,1,248),MID($V129,1,250)))</f>
        <v>/</v>
      </c>
      <c r="CE129" s="10" t="str">
        <f t="shared" ref="CE129:CE152" si="119">IF(MID($V129,251,1)=" ",IF(MID($V129,500,1)=" ",MID($V129,250,249),IF(MID($V129,499,1)=" ",MID($V129,250,248),MID($V129,250,250))),IF(MID($V129,250,1)=" ",IF(MID($V129,499,1)=" ",MID($V129,249,249),IF(MID($V129,498,1)=" ",MID($V129,249,248),MID($V129,249,250))),IF(MID($V129,501,1)=" ",MID($V129,251,249),IF(MID($V129,500,1)=" ",MID($V129,251,248),MID($V129,251,250)))))</f>
        <v/>
      </c>
      <c r="CF129" s="10" t="str">
        <f t="shared" ref="CF129:CF152" si="120">IF(MID($V129,251,1)=" ",IF(MID($V129,500,1)=" ",IF(MID($V129,749,1)=" ",MID($V129,499,249),IF(MID($V129,748,1)=" ",MID($V129,499,248),MID($V129,499,250))),IF(MID($V129,499,1)=" ",IF(MID($V129,748,1)=" ",MID($V129,498,249),IF(MID($V129,747,1)=" ",MID($V129,498,248),MID($V129,498,250))),IF(MID($V129,750,1)=" ",MID($V129,500,249),IF(MID($V129,749,1)=" ",MID($V129,500,248),MID($V129,500,250))))),IF(MID($V129,250,1)=" ",IF(MID($V129,499,1)=" ",IF(MID($V129,746,1)=" ",MID($V129,498,247),IF(MID($V129,745,1)=" ",MID($V129,498,246),MID($V129,498,248))),IF(MID($V129,498,1)=" ",IF(MID($V129,745,1)=" ",MID($V129,497,247),IF(MID($V129,744,1)=" ",MID($V129,497,246),MID($V129,497,248))),IF(MID($V129,749,1)=" ",MID($V129,499,249),IF(MID($V129,748,1)=" ",MID($V129,499,248),MID($V129,499,250))))),IF(MID($V129,501,1)=" ",IF(MID($V129,750,1)=" ",MID($V129,500,249),IF(MID($V129,749,1)=" ",MID($V129,500,248),MID($V129,500,250))),IF(MID($V129,500,1)=" ",IF(MID($V129,749,1)=" ",MID($V129,499,249),IF(MID($V129,750,1)=" ",MID($V129,499,249),MID($V129,499,250))),IF(MID($V129,751,1)=" ",MID($V129,501,249),IF(MID($V129,750,1)=" ",MID($V129,501,248),MID($V129,501,250)))))))</f>
        <v/>
      </c>
      <c r="CG129" s="10" t="str">
        <f t="shared" ref="CG129:CG152" si="121">IF(MID($V129,251,1)=" ",IF(MID($V129,500,1)=" ",IF(MID($V129,749,1)=" ",MID($V129,748,250),IF(MID($V129,748,1)=" ",MID($V129,747,250),MID($V129,749,250))),IF(MID($V129,499,1)=" ",IF(MID($V129,748,1)=" ",MID($V129,747,250),IF(MID($V129,747,1)=" ",MID($V129,746,250),MID($V129,748,250))),IF(MID($V129,750,1)=" ",MID($V129,749,250),IF(MID($V129,749,1)=" ",MID($V129,748,250),MID($V129,750,250))))),IF(MID($V129,250,1)=" ",IF(MID($V129,499,1)=" ",IF(MID($V129,746,1)=" ",MID($V129,745,250),IF(MID($V129,745,1)=" ",MID($V129,744,250),MID($V129,746,250))),IF(MID($V129,498,1)=" ",IF(MID($V129,745,1)=" ",MID($V129,744,250),IF(MID($V129,744,1)=" ",MID($V129,743,250),MID($V129,745,250))),IF(MID($V129,749,1)=" ",MID($V129,748,250),IF(MID($V129,748,1)=" ",MID($V129,747,250),MID($V129,749,250))))),IF(MID($V129,501,1)=" ",IF(MID($V129,750,1)=" ",MID($V129,749,250),IF(MID($V129,749,1)=" ",MID($V129,748,250),MID($V129,750,250))),IF(MID($V129,500,1)=" ",IF(MID($V129,749,1)=" ",MID($V129,748,250),IF(MID($V129,750,1)=" ",MID($V129,749,250),MID($V129,750,250))),IF(MID($V129,751,1)=" ",MID($V129,750,250),IF(MID($V129,750,1)=" ",MID($V129,749,250),MID($V129,751,250)))))))</f>
        <v/>
      </c>
      <c r="CH129" s="10" t="str">
        <f t="shared" ref="CH129:CH152" si="122">IF(MID($W129,251,1)=" ",MID($W129,1,249),IF(MID($W129,250,1)=" ",MID($W129,1,248),MID($W129,1,250)))</f>
        <v>Membre certifié World Fair Trade Organization, Les Jardins de Gaïa s’engagent pour un commerce plus juste et répondent aux exigences du commerce équitable. Pour en savoir plus : www.wfto.com.</v>
      </c>
      <c r="CI129" s="10" t="str">
        <f t="shared" ref="CI129:CI152" si="123">IF(MID($W129,251,1)=" ",IF(MID($W129,500,1)=" ",MID($W129,250,249),IF(MID($W129,499,1)=" ",MID($W129,250,248),MID($W129,250,250))),IF(MID($W129,250,1)=" ",IF(MID($W129,499,1)=" ",MID($W129,249,249),IF(MID($W129,498,1)=" ",MID($W129,249,248),MID($W129,249,250))),IF(MID($W129,501,1)=" ",MID($W129,251,249),IF(MID($W129,500,1)=" ",MID($W129,251,248),MID($W129,251,250)))))</f>
        <v/>
      </c>
      <c r="CJ129" s="10" t="str">
        <f t="shared" ref="CJ129:CJ152" si="124">IF(MID($W129,251,1)=" ",IF(MID($W129,500,1)=" ",IF(MID($W129,749,1)=" ",MID($W129,499,249),IF(MID($W129,748,1)=" ",MID($W129,499,248),MID($W129,499,250))),IF(MID($W129,499,1)=" ",IF(MID($W129,748,1)=" ",MID($W129,498,249),IF(MID($W129,747,1)=" ",MID($W129,498,248),MID($W129,498,250))),IF(MID($W129,750,1)=" ",MID($W129,500,249),IF(MID($W129,749,1)=" ",MID($W129,500,248),MID($W129,500,250))))),IF(MID($W129,250,1)=" ",IF(MID($W129,499,1)=" ",IF(MID($W129,746,1)=" ",MID($W129,498,247),IF(MID($W129,745,1)=" ",MID($W129,498,246),MID($W129,498,248))),IF(MID($W129,498,1)=" ",IF(MID($W129,745,1)=" ",MID($W129,497,247),IF(MID($W129,744,1)=" ",MID($W129,497,246),MID($W129,497,248))),IF(MID($W129,749,1)=" ",MID($W129,499,249),IF(MID($W129,748,1)=" ",MID($W129,499,248),MID($W129,499,250))))),IF(MID($W129,501,1)=" ",IF(MID($W129,750,1)=" ",MID($W129,500,249),IF(MID($W129,749,1)=" ",MID($W129,500,248),MID($W129,500,250))),IF(MID($W129,500,1)=" ",IF(MID($W129,749,1)=" ",MID($W129,499,249),IF(MID($W129,750,1)=" ",MID($W129,499,249),MID($W129,499,250))),IF(MID($W129,751,1)=" ",MID($W129,501,249),IF(MID($W129,750,1)=" ",MID($W129,501,248),MID($W129,501,250)))))))</f>
        <v/>
      </c>
      <c r="CK129" s="10" t="str">
        <f t="shared" ref="CK129:CK152" si="125">IF(MID($W129,251,1)=" ",IF(MID($W129,500,1)=" ",IF(MID($W129,749,1)=" ",MID($W129,748,250),IF(MID($W129,748,1)=" ",MID($W129,747,250),MID($W129,749,250))),IF(MID($W129,499,1)=" ",IF(MID($W129,748,1)=" ",MID($W129,747,250),IF(MID($W129,747,1)=" ",MID($W129,746,250),MID($W129,748,250))),IF(MID($W129,750,1)=" ",MID($W129,749,250),IF(MID($W129,749,1)=" ",MID($W129,748,250),MID($W129,750,250))))),IF(MID($W129,250,1)=" ",IF(MID($W129,499,1)=" ",IF(MID($W129,746,1)=" ",MID($W129,745,250),IF(MID($W129,745,1)=" ",MID($W129,744,250),MID($W129,746,250))),IF(MID($W129,498,1)=" ",IF(MID($W129,745,1)=" ",MID($W129,744,250),IF(MID($W129,744,1)=" ",MID($W129,743,250),MID($W129,745,250))),IF(MID($W129,749,1)=" ",MID($W129,748,250),IF(MID($W129,748,1)=" ",MID($W129,747,250),MID($W129,749,250))))),IF(MID($W129,501,1)=" ",IF(MID($W129,750,1)=" ",MID($W129,749,250),IF(MID($W129,749,1)=" ",MID($W129,748,250),MID($W129,750,250))),IF(MID($W129,500,1)=" ",IF(MID($W129,749,1)=" ",MID($W129,748,250),IF(MID($W129,750,1)=" ",MID($W129,749,250),MID($W129,750,250))),IF(MID($W129,751,1)=" ",MID($W129,750,250),IF(MID($W129,750,1)=" ",MID($W129,749,250),MID($W129,751,250)))))))</f>
        <v/>
      </c>
      <c r="CL129" s="10" t="str">
        <f t="shared" ref="CL129:CL152" si="126">IF(MID($AU129,251,1)=" ",MID($AU129,1,249),IF(MID($AU129,250,1)=" ",MID($AU129,1,248),MID($AU129,1,250)))</f>
        <v>This green tea with sweet flavours of elderflower and pear and sprinkled with sunflower petals supports the protection of the Eurasian curlew, the emblematic bird of the Alsatian Ried, whose curved beak is reminiscent of the moon. May its magical son</v>
      </c>
      <c r="CM129" s="10" t="str">
        <f t="shared" ref="CM129:CM152" si="127">IF(MID($AU129,251,1)=" ",IF(MID($AU129,500,1)=" ",MID($AU129,250,249),IF(MID($AU129,499,1)=" ",MID($AU129,250,248),MID($AU129,250,250))),IF(MID($AU129,250,1)=" ",IF(MID($AU129,499,1)=" ",MID($AU129,249,249),IF(MID($AU129,498,1)=" ",MID($AU129,249,248),MID($AU129,249,250))),IF(MID($AU129,501,1)=" ",MID($AU129,251,249),IF(MID($AU129,500,1)=" ",MID($AU129,251,248),MID($AU129,251,250)))))</f>
        <v>g accompany our tastings for many years to come!</v>
      </c>
      <c r="CN129" s="10" t="str">
        <f t="shared" ref="CN129:CN152" si="128">IF(MID($AU129,251,1)=" ",IF(MID($AU129,500,1)=" ",IF(MID($AU129,749,1)=" ",MID($AU129,499,249),IF(MID($AU129,748,1)=" ",MID($AU129,499,248),MID($AU129,499,250))),IF(MID($AU129,499,1)=" ",IF(MID($AU129,748,1)=" ",MID($AU129,498,249),IF(MID($AU129,747,1)=" ",MID($AU129,498,248),MID($AU129,498,250))),IF(MID($AU129,750,1)=" ",MID($AU129,500,249),IF(MID($AU129,749,1)=" ",MID($AU129,500,248),MID($AU129,500,250))))),IF(MID($AU129,250,1)=" ",IF(MID($AU129,499,1)=" ",IF(MID($AU129,746,1)=" ",MID($AU129,498,247),IF(MID($AU129,745,1)=" ",MID($AU129,498,246),MID($AU129,498,248))),IF(MID($AU129,498,1)=" ",IF(MID($AU129,745,1)=" ",MID($AU129,497,247),IF(MID($AU129,744,1)=" ",MID($AU129,497,246),MID($AU129,497,248))),IF(MID($AU129,749,1)=" ",MID($AU129,499,249),IF(MID($AU129,748,1)=" ",MID($AU129,499,248),MID($AU129,499,250))))),IF(MID($AU129,501,1)=" ",IF(MID($AU129,750,1)=" ",MID($AU129,500,249),IF(MID($AU129,749,1)=" ",MID($AU129,500,248),MID($AU129,500,250))),IF(MID($AU129,500,1)=" ",IF(MID($AU129,749,1)=" ",MID($AU129,499,249),IF(MID($AU129,750,1)=" ",MID($AU129,499,249),MID($AU129,499,250))),IF(MID($AU129,751,1)=" ",MID($AU129,501,249),IF(MID($AU129,750,1)=" ",MID($AU129,501,248),MID($AU129,501,250)))))))</f>
        <v/>
      </c>
      <c r="CO129" s="10" t="str">
        <f t="shared" ref="CO129:CO152" si="129">IF(MID($AU129,251,1)=" ",IF(MID($AU129,500,1)=" ",IF(MID($AU129,749,1)=" ",MID($AU129,748,250),IF(MID($AU129,748,1)=" ",MID($AU129,747,250),MID($AU129,749,250))),IF(MID($AU129,499,1)=" ",IF(MID($AU129,748,1)=" ",MID($AU129,747,250),IF(MID($AU129,747,1)=" ",MID($AU129,746,250),MID($AU129,748,250))),IF(MID($AU129,750,1)=" ",MID($AU129,749,250),IF(MID($AU129,749,1)=" ",MID($AU129,748,250),MID($AU129,750,250))))),IF(MID($AU129,250,1)=" ",IF(MID($AU129,499,1)=" ",IF(MID($AU129,746,1)=" ",MID($AU129,745,250),IF(MID($AU129,745,1)=" ",MID($AU129,744,250),MID($AU129,746,250))),IF(MID($AU129,498,1)=" ",IF(MID($AU129,745,1)=" ",MID($AU129,744,250),IF(MID($AU129,744,1)=" ",MID($AU129,743,250),MID($AU129,745,250))),IF(MID($AU129,749,1)=" ",MID($AU129,748,250),IF(MID($AU129,748,1)=" ",MID($AU129,747,250),MID($AU129,749,250))))),IF(MID($AU129,501,1)=" ",IF(MID($AU129,750,1)=" ",MID($AU129,749,250),IF(MID($AU129,749,1)=" ",MID($AU129,748,250),MID($AU129,750,250))),IF(MID($AU129,500,1)=" ",IF(MID($AU129,749,1)=" ",MID($AU129,748,250),IF(MID($AU129,750,1)=" ",MID($AU129,749,250),MID($AU129,750,250))),IF(MID($AU129,751,1)=" ",MID($AU129,750,250),IF(MID($AU129,750,1)=" ",MID($AU129,749,250),MID($AU129,751,250)))))))</f>
        <v/>
      </c>
      <c r="CP129" s="10" t="str">
        <f t="shared" ref="CP129:CP152" si="130">IF(MID($AV129,251,1)=" ",MID($AV129,1,249),IF(MID($AV129,250,1)=" ",MID($AV129,1,248),MID($AV129,1,250)))</f>
        <v>Ingredients: green tea*, natural (pear*, elderflower*) flavourings 7%, vanilla extract*, sunflower petals*. *From organic farming.</v>
      </c>
      <c r="CQ129" s="10" t="str">
        <f t="shared" ref="CQ129:CQ152" si="131">IF(MID($AV129,251,1)=" ",IF(MID($AV129,500,1)=" ",MID($AV129,250,249),IF(MID($AV129,499,1)=" ",MID($AV129,250,248),MID($AV129,250,250))),IF(MID($AV129,250,1)=" ",IF(MID($AV129,499,1)=" ",MID($AV129,249,249),IF(MID($AV129,498,1)=" ",MID($AV129,249,248),MID($AV129,249,250))),IF(MID($AV129,501,1)=" ",MID($AV129,251,249),IF(MID($AV129,500,1)=" ",MID($AV129,251,248),MID($AV129,251,250)))))</f>
        <v/>
      </c>
      <c r="CR129" s="10" t="str">
        <f t="shared" ref="CR129:CR152" si="132">IF(MID($AV129,251,1)=" ",IF(MID($AV129,500,1)=" ",IF(MID($AV129,749,1)=" ",MID($AV129,499,249),IF(MID($AV129,748,1)=" ",MID($AV129,499,248),MID($AV129,499,250))),IF(MID($AV129,499,1)=" ",IF(MID($AV129,748,1)=" ",MID($AV129,498,249),IF(MID($AV129,747,1)=" ",MID($AV129,498,248),MID($AV129,498,250))),IF(MID($AV129,750,1)=" ",MID($AV129,500,249),IF(MID($AV129,749,1)=" ",MID($AV129,500,248),MID($AV129,500,250))))),IF(MID($AV129,250,1)=" ",IF(MID($AV129,499,1)=" ",IF(MID($AV129,746,1)=" ",MID($AV129,498,247),IF(MID($AV129,745,1)=" ",MID($AV129,498,246),MID($AV129,498,248))),IF(MID($AV129,498,1)=" ",IF(MID($AV129,745,1)=" ",MID($AV129,497,247),IF(MID($AV129,744,1)=" ",MID($AV129,497,246),MID($AV129,497,248))),IF(MID($AV129,749,1)=" ",MID($AV129,499,249),IF(MID($AV129,748,1)=" ",MID($AV129,499,248),MID($AV129,499,250))))),IF(MID($AV129,501,1)=" ",IF(MID($AV129,750,1)=" ",MID($AV129,500,249),IF(MID($AV129,749,1)=" ",MID($AV129,500,248),MID($AV129,500,250))),IF(MID($AV129,500,1)=" ",IF(MID($AV129,749,1)=" ",MID($AV129,499,249),IF(MID($AV129,750,1)=" ",MID($AV129,499,249),MID($AV129,499,250))),IF(MID($AV129,751,1)=" ",MID($AV129,501,249),IF(MID($AV129,750,1)=" ",MID($AV129,501,248),MID($AV129,501,250)))))))</f>
        <v/>
      </c>
      <c r="CS129" s="10" t="str">
        <f t="shared" ref="CS129:CS152" si="133">IF(MID($AV129,251,1)=" ",IF(MID($AV129,500,1)=" ",IF(MID($AV129,749,1)=" ",MID($AV129,748,250),IF(MID($AV129,748,1)=" ",MID($AV129,747,250),MID($AV129,749,250))),IF(MID($AV129,499,1)=" ",IF(MID($AV129,748,1)=" ",MID($AV129,747,250),IF(MID($AV129,747,1)=" ",MID($AV129,746,250),MID($AV129,748,250))),IF(MID($AV129,750,1)=" ",MID($AV129,749,250),IF(MID($AV129,749,1)=" ",MID($AV129,748,250),MID($AV129,750,250))))),IF(MID($AV129,250,1)=" ",IF(MID($AV129,499,1)=" ",IF(MID($AV129,746,1)=" ",MID($AV129,745,250),IF(MID($AV129,745,1)=" ",MID($AV129,744,250),MID($AV129,746,250))),IF(MID($AV129,498,1)=" ",IF(MID($AV129,745,1)=" ",MID($AV129,744,250),IF(MID($AV129,744,1)=" ",MID($AV129,743,250),MID($AV129,745,250))),IF(MID($AV129,749,1)=" ",MID($AV129,748,250),IF(MID($AV129,748,1)=" ",MID($AV129,747,250),MID($AV129,749,250))))),IF(MID($AV129,501,1)=" ",IF(MID($AV129,750,1)=" ",MID($AV129,749,250),IF(MID($AV129,749,1)=" ",MID($AV129,748,250),MID($AV129,750,250))),IF(MID($AV129,500,1)=" ",IF(MID($AV129,749,1)=" ",MID($AV129,748,250),IF(MID($AV129,750,1)=" ",MID($AV129,749,250),MID($AV129,750,250))),IF(MID($AV129,751,1)=" ",MID($AV129,750,250),IF(MID($AV129,750,1)=" ",MID($AV129,749,250),MID($AV129,751,250)))))))</f>
        <v/>
      </c>
      <c r="CT129" s="10" t="str">
        <f t="shared" ref="CT129:CT152" si="134">IF(MID($AX129,251,1)=" ",MID($AX129,1,249),IF(MID($AX129,250,1)=" ",MID($AX129,1,248),MID($AX129,1,250)))</f>
        <v>/</v>
      </c>
      <c r="CU129" s="10" t="str">
        <f t="shared" ref="CU129:CU152" si="135">IF(MID($AX129,251,1)=" ",IF(MID($AX129,500,1)=" ",MID($AX129,250,249),IF(MID($AX129,499,1)=" ",MID($AX129,250,248),MID($AX129,250,250))),IF(MID($AX129,250,1)=" ",IF(MID($AX129,499,1)=" ",MID($AX129,249,249),IF(MID($AX129,498,1)=" ",MID($AX129,249,248),MID($AX129,249,250))),IF(MID($AX129,501,1)=" ",MID($AX129,251,249),IF(MID($AX129,500,1)=" ",MID($AX129,251,248),MID($AX129,251,250)))))</f>
        <v/>
      </c>
      <c r="CV129" s="10" t="str">
        <f t="shared" ref="CV129:CV152" si="136">IF(MID($AX129,251,1)=" ",IF(MID($AX129,500,1)=" ",IF(MID($AX129,749,1)=" ",MID($AX129,499,249),IF(MID($AX129,748,1)=" ",MID($AX129,499,248),MID($AX129,499,250))),IF(MID($AX129,499,1)=" ",IF(MID($AX129,748,1)=" ",MID($AX129,498,249),IF(MID($AX129,747,1)=" ",MID($AX129,498,248),MID($AX129,498,250))),IF(MID($AX129,750,1)=" ",MID($AX129,500,249),IF(MID($AX129,749,1)=" ",MID($AX129,500,248),MID($AX129,500,250))))),IF(MID($AX129,250,1)=" ",IF(MID($AX129,499,1)=" ",IF(MID($AX129,746,1)=" ",MID($AX129,498,247),IF(MID($AX129,745,1)=" ",MID($AX129,498,246),MID($AX129,498,248))),IF(MID($AX129,498,1)=" ",IF(MID($AX129,745,1)=" ",MID($AX129,497,247),IF(MID($AX129,744,1)=" ",MID($AX129,497,246),MID($AX129,497,248))),IF(MID($AX129,749,1)=" ",MID($AX129,499,249),IF(MID($AX129,748,1)=" ",MID($AX129,499,248),MID($AX129,499,250))))),IF(MID($AX129,501,1)=" ",IF(MID($AX129,750,1)=" ",MID($AX129,500,249),IF(MID($AX129,749,1)=" ",MID($AX129,500,248),MID($AX129,500,250))),IF(MID($AX129,500,1)=" ",IF(MID($AX129,749,1)=" ",MID($AX129,499,249),IF(MID($AX129,750,1)=" ",MID($AX129,499,249),MID($AX129,499,250))),IF(MID($AX129,751,1)=" ",MID($AX129,501,249),IF(MID($AX129,750,1)=" ",MID($AX129,501,248),MID($AX129,501,250)))))))</f>
        <v/>
      </c>
      <c r="CW129" s="10" t="str">
        <f t="shared" ref="CW129:CW152" si="137">IF(MID($AX129,251,1)=" ",IF(MID($AX129,500,1)=" ",IF(MID($AX129,749,1)=" ",MID($AX129,748,250),IF(MID($AX129,748,1)=" ",MID($AX129,747,250),MID($AX129,749,250))),IF(MID($AX129,499,1)=" ",IF(MID($AX129,748,1)=" ",MID($AX129,747,250),IF(MID($AX129,747,1)=" ",MID($AX129,746,250),MID($AX129,748,250))),IF(MID($AX129,750,1)=" ",MID($AX129,749,250),IF(MID($AX129,749,1)=" ",MID($AX129,748,250),MID($AX129,750,250))))),IF(MID($AX129,250,1)=" ",IF(MID($AX129,499,1)=" ",IF(MID($AX129,746,1)=" ",MID($AX129,745,250),IF(MID($AX129,745,1)=" ",MID($AX129,744,250),MID($AX129,746,250))),IF(MID($AX129,498,1)=" ",IF(MID($AX129,745,1)=" ",MID($AX129,744,250),IF(MID($AX129,744,1)=" ",MID($AX129,743,250),MID($AX129,745,250))),IF(MID($AX129,749,1)=" ",MID($AX129,748,250),IF(MID($AX129,748,1)=" ",MID($AX129,747,250),MID($AX129,749,250))))),IF(MID($AX129,501,1)=" ",IF(MID($AX129,750,1)=" ",MID($AX129,749,250),IF(MID($AX129,749,1)=" ",MID($AX129,748,250),MID($AX129,750,250))),IF(MID($AX129,500,1)=" ",IF(MID($AX129,749,1)=" ",MID($AX129,748,250),IF(MID($AX129,750,1)=" ",MID($AX129,749,250),MID($AX129,750,250))),IF(MID($AX129,751,1)=" ",MID($AX129,750,250),IF(MID($AX129,750,1)=" ",MID($AX129,749,250),MID($AX129,751,250)))))))</f>
        <v/>
      </c>
    </row>
    <row r="130" spans="1:101" ht="93.6">
      <c r="A130" s="129" t="s">
        <v>661</v>
      </c>
      <c r="B130" s="9" t="s">
        <v>26</v>
      </c>
      <c r="C130" s="9"/>
      <c r="D130" s="8" t="s">
        <v>658</v>
      </c>
      <c r="E130" s="9" t="s">
        <v>659</v>
      </c>
      <c r="F130" s="9" t="s">
        <v>784</v>
      </c>
      <c r="G130" s="9" t="s">
        <v>106</v>
      </c>
      <c r="H130" s="10" t="s">
        <v>5</v>
      </c>
      <c r="I130" s="10" t="s">
        <v>29</v>
      </c>
      <c r="J130" s="10" t="s">
        <v>29</v>
      </c>
      <c r="K130" s="10" t="s">
        <v>29</v>
      </c>
      <c r="L130" s="10" t="s">
        <v>29</v>
      </c>
      <c r="M130" s="10" t="s">
        <v>29</v>
      </c>
      <c r="N130" s="10" t="s">
        <v>47</v>
      </c>
      <c r="O130" s="9"/>
      <c r="P130" s="9" t="s">
        <v>660</v>
      </c>
      <c r="Q130" s="9" t="s">
        <v>1159</v>
      </c>
      <c r="R130" s="9"/>
      <c r="S130" s="9"/>
      <c r="T130" s="9" t="s">
        <v>785</v>
      </c>
      <c r="U130"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30" s="9" t="s">
        <v>29</v>
      </c>
      <c r="W130" s="9" t="s">
        <v>29</v>
      </c>
      <c r="X130" s="10">
        <v>80</v>
      </c>
      <c r="Y130" s="11" t="s">
        <v>72</v>
      </c>
      <c r="Z130" s="19">
        <v>95</v>
      </c>
      <c r="AA130" s="10">
        <v>2</v>
      </c>
      <c r="AB130" s="10">
        <v>40</v>
      </c>
      <c r="AC130" s="12">
        <v>3582810741726</v>
      </c>
      <c r="AD130" s="10" t="s">
        <v>29</v>
      </c>
      <c r="AE130" s="10" t="s">
        <v>1160</v>
      </c>
      <c r="AF130" s="10" t="s">
        <v>1160</v>
      </c>
      <c r="AG130" s="10" t="s">
        <v>1161</v>
      </c>
      <c r="AH130" s="13" t="s">
        <v>107</v>
      </c>
      <c r="AI130" s="54" t="s">
        <v>776</v>
      </c>
      <c r="AJ130" s="54" t="s">
        <v>776</v>
      </c>
      <c r="AK130" s="55">
        <v>45758</v>
      </c>
      <c r="AL130" s="10"/>
      <c r="AM130" s="10"/>
      <c r="AN130" s="10"/>
      <c r="AO130" s="10"/>
      <c r="AP130" s="10"/>
      <c r="AQ130" s="51" t="s">
        <v>658</v>
      </c>
      <c r="AR130" s="51" t="s">
        <v>659</v>
      </c>
      <c r="AS130" s="82" t="s">
        <v>1654</v>
      </c>
      <c r="AT130" s="82" t="s">
        <v>1499</v>
      </c>
      <c r="AU130" s="140" t="s">
        <v>1739</v>
      </c>
      <c r="AV130" s="82" t="s">
        <v>1615</v>
      </c>
      <c r="AW130" s="52"/>
      <c r="AX130" s="51"/>
      <c r="AY130" s="51"/>
      <c r="AZ130" s="51"/>
      <c r="BA130" s="51"/>
      <c r="BB130" s="51"/>
      <c r="BC130" s="51"/>
      <c r="BD130" s="51"/>
      <c r="BE130" s="51"/>
      <c r="BF130" s="92"/>
      <c r="BG130" s="92"/>
      <c r="BH130" s="92"/>
      <c r="BI130" s="92"/>
      <c r="BJ130" s="92"/>
      <c r="BK130" s="92"/>
      <c r="BL130" s="92"/>
      <c r="BN130" s="7" t="str">
        <f>IF(IFERROR(FIND("romatis",TableauJDG[[#This Row],[TYPE DE THÉ FR]]),0)=0,"","aromatisé")</f>
        <v/>
      </c>
      <c r="BV130" s="10" t="str">
        <f t="shared" ref="BV130:BV152" si="138">IF(MID($Q130,251,1)=" ",MID($Q130,1,249),IF(MID($Q130,250,1)=" ",MID($Q130,1,248),MID($Q130,1,250)))</f>
        <v>Les nombreuses nuances des feuilles torsadées de l’Oriental Beauty donnent à ce célèbre thé wulong à l’oxydation prononcée, sa rare élégance. Très aromatique, il offre en bouche une liqueur souple aux saveurs miellées, fruitées accompagnées d’une pet</v>
      </c>
      <c r="BW130" s="10" t="str">
        <f t="shared" ref="BW130:BW152" si="139">IF(MID($Q130,251,1)=" ",IF(MID($Q130,500,1)=" ",MID($Q130,250,249),IF(MID($Q130,499,1)=" ",MID($Q130,250,248),MID($Q130,250,250))),IF(MID($Q130,250,1)=" ",IF(MID($Q130,499,1)=" ",MID($Q130,249,249),IF(MID($Q130,498,1)=" ",MID($Q130,249,248),MID($Q130,249,250))),IF(MID($Q130,501,1)=" ",MID($Q130,251,249),IF(MID($Q130,500,1)=" ",MID($Q130,251,248),MID($Q130,251,250)))))</f>
        <v>ite touche cacaotée. Un thé de toute beauté !</v>
      </c>
      <c r="BX130" s="10" t="str">
        <f t="shared" si="112"/>
        <v/>
      </c>
      <c r="BY130" s="10" t="str">
        <f t="shared" si="113"/>
        <v/>
      </c>
      <c r="BZ130" s="10" t="str">
        <f t="shared" si="114"/>
        <v>Ingrédient : thé wulong*. *Issu de l'agriculture biologique.</v>
      </c>
      <c r="CA130" s="10" t="str">
        <f t="shared" si="115"/>
        <v/>
      </c>
      <c r="CB130" s="10" t="str">
        <f t="shared" si="116"/>
        <v/>
      </c>
      <c r="CC130" s="10" t="str">
        <f t="shared" si="117"/>
        <v/>
      </c>
      <c r="CD130" s="10" t="str">
        <f t="shared" si="118"/>
        <v>/</v>
      </c>
      <c r="CE130" s="10" t="str">
        <f t="shared" si="119"/>
        <v/>
      </c>
      <c r="CF130" s="10" t="str">
        <f t="shared" si="120"/>
        <v/>
      </c>
      <c r="CG130" s="10" t="str">
        <f t="shared" si="121"/>
        <v/>
      </c>
      <c r="CH130" s="10" t="str">
        <f t="shared" si="122"/>
        <v>/</v>
      </c>
      <c r="CI130" s="10" t="str">
        <f t="shared" si="123"/>
        <v/>
      </c>
      <c r="CJ130" s="10" t="str">
        <f t="shared" si="124"/>
        <v/>
      </c>
      <c r="CK130" s="10" t="str">
        <f t="shared" si="125"/>
        <v/>
      </c>
      <c r="CL130" s="10" t="str">
        <f t="shared" si="126"/>
        <v>The many nuances of Oriental Beauty's twisted leaves give this famous wulong tea, with its pronounced oxidation, its rare elegance. Highly aromatic, it offers a supple liquor with honeyed, fruity flavours and a hint of cocoa. A beautiful tea!</v>
      </c>
      <c r="CM130" s="10" t="str">
        <f t="shared" si="127"/>
        <v/>
      </c>
      <c r="CN130" s="10" t="str">
        <f t="shared" si="128"/>
        <v/>
      </c>
      <c r="CO130" s="10" t="str">
        <f t="shared" si="129"/>
        <v/>
      </c>
      <c r="CP130" s="10" t="str">
        <f t="shared" si="130"/>
        <v>Ingredient: wulong tea*. *From organic farming.</v>
      </c>
      <c r="CQ130" s="10" t="str">
        <f t="shared" si="131"/>
        <v/>
      </c>
      <c r="CR130" s="10" t="str">
        <f t="shared" si="132"/>
        <v/>
      </c>
      <c r="CS130" s="10" t="str">
        <f t="shared" si="133"/>
        <v/>
      </c>
      <c r="CT130" s="10" t="str">
        <f t="shared" si="134"/>
        <v/>
      </c>
      <c r="CU130" s="10" t="str">
        <f t="shared" si="135"/>
        <v/>
      </c>
      <c r="CV130" s="10" t="str">
        <f t="shared" si="136"/>
        <v/>
      </c>
      <c r="CW130" s="10" t="str">
        <f t="shared" si="137"/>
        <v/>
      </c>
    </row>
    <row r="131" spans="1:101" ht="100.8">
      <c r="A131" s="129" t="s">
        <v>666</v>
      </c>
      <c r="B131" s="9" t="s">
        <v>777</v>
      </c>
      <c r="C131" s="9" t="s">
        <v>39</v>
      </c>
      <c r="D131" s="8" t="s">
        <v>662</v>
      </c>
      <c r="E131" s="9" t="s">
        <v>663</v>
      </c>
      <c r="F131" s="9" t="s">
        <v>86</v>
      </c>
      <c r="G131" s="10" t="s">
        <v>120</v>
      </c>
      <c r="H131" s="10" t="s">
        <v>5</v>
      </c>
      <c r="I131" s="10" t="s">
        <v>29</v>
      </c>
      <c r="J131" s="10" t="s">
        <v>29</v>
      </c>
      <c r="K131" s="10" t="s">
        <v>29</v>
      </c>
      <c r="L131" s="10" t="s">
        <v>29</v>
      </c>
      <c r="M131" s="10" t="s">
        <v>29</v>
      </c>
      <c r="N131" s="10" t="s">
        <v>85</v>
      </c>
      <c r="O131" s="9"/>
      <c r="P131" s="9" t="s">
        <v>664</v>
      </c>
      <c r="Q131" s="9" t="s">
        <v>1162</v>
      </c>
      <c r="R131" s="9"/>
      <c r="S131" s="9"/>
      <c r="T131" s="9" t="s">
        <v>665</v>
      </c>
      <c r="U131"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31" s="9" t="s">
        <v>41</v>
      </c>
      <c r="W131" s="9" t="s">
        <v>29</v>
      </c>
      <c r="X131" s="10">
        <v>90</v>
      </c>
      <c r="Y131" s="11" t="s">
        <v>42</v>
      </c>
      <c r="Z131" s="19">
        <v>95</v>
      </c>
      <c r="AA131" s="10">
        <v>2</v>
      </c>
      <c r="AB131" s="10">
        <v>45</v>
      </c>
      <c r="AC131" s="12">
        <v>3582811018728</v>
      </c>
      <c r="AD131" s="10" t="s">
        <v>29</v>
      </c>
      <c r="AE131" s="10" t="s">
        <v>1163</v>
      </c>
      <c r="AF131" s="10" t="s">
        <v>1163</v>
      </c>
      <c r="AG131" s="10" t="s">
        <v>29</v>
      </c>
      <c r="AH131" s="20"/>
      <c r="AI131" s="54" t="s">
        <v>776</v>
      </c>
      <c r="AJ131" s="54" t="s">
        <v>776</v>
      </c>
      <c r="AK131" s="55">
        <v>45693</v>
      </c>
      <c r="AL131" s="10"/>
      <c r="AM131" s="10">
        <v>25028</v>
      </c>
      <c r="AN131" s="10"/>
      <c r="AO131" s="10"/>
      <c r="AP131" s="10"/>
      <c r="AQ131" s="51" t="s">
        <v>1408</v>
      </c>
      <c r="AR131" s="51" t="s">
        <v>1409</v>
      </c>
      <c r="AS131" s="84" t="s">
        <v>1552</v>
      </c>
      <c r="AT131" s="9" t="s">
        <v>120</v>
      </c>
      <c r="AU131" s="96" t="s">
        <v>1660</v>
      </c>
      <c r="AV131" s="143" t="s">
        <v>1661</v>
      </c>
      <c r="AW131" s="52"/>
      <c r="AX131" s="74" t="s">
        <v>1820</v>
      </c>
      <c r="AY131" s="51"/>
      <c r="AZ131" s="51"/>
      <c r="BA131" s="51"/>
      <c r="BB131" s="51"/>
      <c r="BC131" s="51"/>
      <c r="BD131" s="51"/>
      <c r="BE131" s="51"/>
      <c r="BF131" s="92"/>
      <c r="BG131" s="92"/>
      <c r="BH131" s="92"/>
      <c r="BI131" s="92"/>
      <c r="BJ131" s="92"/>
      <c r="BK131" s="92"/>
      <c r="BL131" s="92"/>
      <c r="BN131" s="7" t="str">
        <f>IF(IFERROR(FIND("romatis",TableauJDG[[#This Row],[TYPE DE THÉ FR]]),0)=0,"","aromatisé")</f>
        <v/>
      </c>
      <c r="BV131" s="10" t="str">
        <f t="shared" si="138"/>
        <v>Parfois mal aimée pour son caractère un peu “piquant”, l’ortie délivre une infusion très agréable dont on apprécie l’onctuosité et les jolies notes lactées, sucrées et herbacées. Ses qualités drainantes en font une alliée précieuse pour soutenir le</v>
      </c>
      <c r="BW131" s="10" t="str">
        <f t="shared" si="139"/>
        <v>s fonctions rénales. Une plante à redécouvrir…</v>
      </c>
      <c r="BX131" s="10" t="str">
        <f t="shared" si="112"/>
        <v/>
      </c>
      <c r="BY131" s="10" t="str">
        <f t="shared" si="113"/>
        <v/>
      </c>
      <c r="BZ131" s="10" t="str">
        <f t="shared" si="114"/>
        <v>Ingrédient : ortie piquante* (Urtica dioica L.). *Issu de l'agriculture biologique.</v>
      </c>
      <c r="CA131" s="10" t="str">
        <f t="shared" si="115"/>
        <v/>
      </c>
      <c r="CB131" s="10" t="str">
        <f t="shared" si="116"/>
        <v/>
      </c>
      <c r="CC131" s="10" t="str">
        <f t="shared" si="117"/>
        <v/>
      </c>
      <c r="CD131" s="10" t="str">
        <f t="shared" si="118"/>
        <v>Consommation journalière conseillée : 3 tasses de 25 cl.
Il est recommandé d'adopter un mode de vie sain et une alimentation variée et équilibrée pour profiter pleinement des vertus de cette infusion. Informations nutritionnelles moyennes pour 100 m</v>
      </c>
      <c r="CE131" s="10" t="str">
        <f t="shared" si="119"/>
        <v>l : Énergie 3 kJ/1 kcal. Cette infusion contient des quantités négligeables de matières grasses dont acides gras saturés, de glucides dont sucres, de protéines et de sel.</v>
      </c>
      <c r="CF131" s="10" t="str">
        <f t="shared" si="120"/>
        <v/>
      </c>
      <c r="CG131" s="10" t="str">
        <f t="shared" si="121"/>
        <v/>
      </c>
      <c r="CH131" s="10" t="str">
        <f t="shared" si="122"/>
        <v>/</v>
      </c>
      <c r="CI131" s="10" t="str">
        <f t="shared" si="123"/>
        <v/>
      </c>
      <c r="CJ131" s="10" t="str">
        <f t="shared" si="124"/>
        <v/>
      </c>
      <c r="CK131" s="10" t="str">
        <f t="shared" si="125"/>
        <v/>
      </c>
      <c r="CL131" s="10" t="str">
        <f t="shared" si="126"/>
        <v>Sometimes disliked for its slightly "pungent" character, nettle makes a very pleasant infusion, with its smoothness and lovely milky, sweet and herbaceous notes. Its cleansing qualities make it a precious ally for supporting kidney functions. A plan</v>
      </c>
      <c r="CM131" s="10" t="str">
        <f t="shared" si="127"/>
        <v>t to rediscover...</v>
      </c>
      <c r="CN131" s="10" t="str">
        <f t="shared" si="128"/>
        <v/>
      </c>
      <c r="CO131" s="10" t="str">
        <f t="shared" si="129"/>
        <v/>
      </c>
      <c r="CP131" s="10" t="str">
        <f t="shared" si="130"/>
        <v>Ingredient: common nettle* (Urtica dioica L.). *From organic farming.</v>
      </c>
      <c r="CQ131" s="10" t="str">
        <f t="shared" si="131"/>
        <v/>
      </c>
      <c r="CR131" s="10" t="str">
        <f t="shared" si="132"/>
        <v/>
      </c>
      <c r="CS131" s="10" t="str">
        <f t="shared" si="133"/>
        <v/>
      </c>
      <c r="CT131" s="10" t="str">
        <f t="shared" si="134"/>
        <v>Recommended daily consumption: 3 cups of 25 cl. 
A healthy lifestyle and a varied, balanced diet are recommended to fully benefit from the properties of this infusion. Average nutritional information per 100 ml: Energy 3 kJ/1 kcal. This herbal tea co</v>
      </c>
      <c r="CU131" s="10" t="str">
        <f t="shared" si="135"/>
        <v>ntains negligible amounts of fats (including saturated fats), carbohydrates (including sugars), proteins and salt.</v>
      </c>
      <c r="CV131" s="10" t="str">
        <f t="shared" si="136"/>
        <v/>
      </c>
      <c r="CW131" s="10" t="str">
        <f t="shared" si="137"/>
        <v/>
      </c>
    </row>
    <row r="132" spans="1:101" ht="86.4">
      <c r="A132" s="131" t="s">
        <v>1899</v>
      </c>
      <c r="B132" s="9" t="s">
        <v>787</v>
      </c>
      <c r="C132" s="9" t="s">
        <v>795</v>
      </c>
      <c r="D132" s="126" t="s">
        <v>1890</v>
      </c>
      <c r="E132" s="9" t="s">
        <v>1976</v>
      </c>
      <c r="F132" s="9" t="s">
        <v>62</v>
      </c>
      <c r="G132" s="9"/>
      <c r="H132" s="10" t="s">
        <v>5</v>
      </c>
      <c r="I132" s="10" t="s">
        <v>6</v>
      </c>
      <c r="J132" s="10" t="s">
        <v>29</v>
      </c>
      <c r="K132" s="10" t="s">
        <v>29</v>
      </c>
      <c r="L132" s="10" t="s">
        <v>29</v>
      </c>
      <c r="M132" s="10" t="s">
        <v>29</v>
      </c>
      <c r="N132" s="10" t="s">
        <v>37</v>
      </c>
      <c r="O132" s="9"/>
      <c r="P132" s="29"/>
      <c r="Q132" s="17" t="s">
        <v>1897</v>
      </c>
      <c r="R132" s="17"/>
      <c r="S132" s="17" t="s">
        <v>1898</v>
      </c>
      <c r="T132" s="17" t="s">
        <v>1891</v>
      </c>
      <c r="U132" s="17"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32" s="8" t="s">
        <v>29</v>
      </c>
      <c r="W132" s="9" t="s">
        <v>31</v>
      </c>
      <c r="X132" s="10">
        <v>50</v>
      </c>
      <c r="Y132" s="11" t="s">
        <v>59</v>
      </c>
      <c r="Z132" s="19">
        <v>85</v>
      </c>
      <c r="AA132" s="10">
        <v>2</v>
      </c>
      <c r="AB132" s="10">
        <v>25</v>
      </c>
      <c r="AC132" s="22">
        <v>3582810651063</v>
      </c>
      <c r="AD132" s="10" t="s">
        <v>29</v>
      </c>
      <c r="AE132" s="10"/>
      <c r="AF132" s="20" t="s">
        <v>1900</v>
      </c>
      <c r="AG132" s="20" t="s">
        <v>1901</v>
      </c>
      <c r="AH132" s="20" t="s">
        <v>38</v>
      </c>
      <c r="AI132" s="54"/>
      <c r="AJ132" s="54"/>
      <c r="AK132" s="55"/>
      <c r="AL132" s="10"/>
      <c r="AM132" s="10"/>
      <c r="AN132" s="10"/>
      <c r="AO132" s="10"/>
      <c r="AP132" s="10"/>
      <c r="AQ132" s="64" t="s">
        <v>1926</v>
      </c>
      <c r="AR132" s="16" t="s">
        <v>1927</v>
      </c>
      <c r="AS132" s="51" t="s">
        <v>1558</v>
      </c>
      <c r="AT132" s="20"/>
      <c r="AU132" s="145" t="s">
        <v>1973</v>
      </c>
      <c r="AV132" s="94" t="s">
        <v>1962</v>
      </c>
      <c r="AW132" s="125"/>
      <c r="AX132" s="125"/>
      <c r="AY132" s="125"/>
      <c r="AZ132" s="125"/>
      <c r="BA132" s="145" t="s">
        <v>1975</v>
      </c>
      <c r="BB132" s="20"/>
      <c r="BC132" s="20"/>
      <c r="BD132" s="20"/>
      <c r="BE132" s="20"/>
      <c r="BF132" s="92"/>
      <c r="BG132" s="92"/>
      <c r="BH132" s="92"/>
      <c r="BI132" s="92"/>
      <c r="BJ132" s="92"/>
      <c r="BK132" s="92"/>
      <c r="BL132" s="92"/>
      <c r="BN132" s="7" t="str">
        <f>IF(IFERROR(FIND("romatis",TableauJDG[[#This Row],[TYPE DE THÉ FR]]),0)=0,"","aromatisé")</f>
        <v>aromatisé</v>
      </c>
      <c r="BV132" s="10" t="str">
        <f t="shared" si="138"/>
        <v>Sur sa base de thé blanc tout en légèreté et fraîcheur, cette recette invite à papillonner de saveur en saveur… Dès les premières gorgées, ses notes de poire sur un fond caramélisé aux surprenants accents épicés et floraux séduisent le palais. Pour d</v>
      </c>
      <c r="BW132" s="10" t="str">
        <f t="shared" si="139"/>
        <v xml:space="preserve">es moments intenses et gourmands…
</v>
      </c>
      <c r="BX132" s="10" t="str">
        <f t="shared" si="112"/>
        <v/>
      </c>
      <c r="BY132" s="10" t="str">
        <f t="shared" si="113"/>
        <v/>
      </c>
      <c r="BZ132" s="10" t="str">
        <f t="shared" si="114"/>
        <v>Ingrédients : thé blanc*, morceaux de pomme* 11%, poivre vert* 11%, feuilles de murier*, lavande*, arômes naturels de (pomme* 5,5%, poire* 5,5%, vanille*). *Issu de l'agriculture biologique.</v>
      </c>
      <c r="CA132" s="10" t="str">
        <f t="shared" si="115"/>
        <v/>
      </c>
      <c r="CB132" s="10" t="str">
        <f t="shared" si="116"/>
        <v/>
      </c>
      <c r="CC132" s="10" t="str">
        <f t="shared" si="117"/>
        <v/>
      </c>
      <c r="CD132" s="10" t="str">
        <f t="shared" si="118"/>
        <v>/</v>
      </c>
      <c r="CE132" s="10" t="str">
        <f t="shared" si="119"/>
        <v/>
      </c>
      <c r="CF132" s="10" t="str">
        <f t="shared" si="120"/>
        <v/>
      </c>
      <c r="CG132" s="10" t="str">
        <f t="shared" si="121"/>
        <v/>
      </c>
      <c r="CH132" s="10" t="str">
        <f t="shared" si="122"/>
        <v>Membre certifié World Fair Trade Organization, Les Jardins de Gaïa s’engagent pour un commerce plus juste et répondent aux exigences du commerce équitable. Pour en savoir plus : www.wfto.com.</v>
      </c>
      <c r="CI132" s="10" t="str">
        <f t="shared" si="123"/>
        <v/>
      </c>
      <c r="CJ132" s="10" t="str">
        <f t="shared" si="124"/>
        <v/>
      </c>
      <c r="CK132" s="10" t="str">
        <f t="shared" si="125"/>
        <v/>
      </c>
      <c r="CL132" s="10" t="str">
        <f t="shared" si="126"/>
        <v>With its light and fresh white tea base, this recipe invites you to flit from flavour to flavour... From the very first sip, its pear notes on a caramelised base with surprising spicy and floral accents delight the palate. For intense, indulgent mome</v>
      </c>
      <c r="CM132" s="10" t="str">
        <f t="shared" si="127"/>
        <v>nts...</v>
      </c>
      <c r="CN132" s="10" t="str">
        <f t="shared" si="128"/>
        <v/>
      </c>
      <c r="CO132" s="10" t="str">
        <f t="shared" si="129"/>
        <v/>
      </c>
      <c r="CP132" s="10" t="str">
        <f t="shared" si="130"/>
        <v>Ingredients: white tea*, apple pieces* 11%, green pepper* 11%, mulberry leaves*, lavender*, natural (apple* 5.5%, pear* 5.5%, vanilla*) flavourings. *From organic farming.</v>
      </c>
      <c r="CQ132" s="10" t="str">
        <f t="shared" si="131"/>
        <v/>
      </c>
      <c r="CR132" s="10" t="str">
        <f t="shared" si="132"/>
        <v/>
      </c>
      <c r="CS132" s="10" t="str">
        <f t="shared" si="133"/>
        <v/>
      </c>
      <c r="CT132" s="10" t="str">
        <f t="shared" si="134"/>
        <v/>
      </c>
      <c r="CU132" s="10" t="str">
        <f t="shared" si="135"/>
        <v/>
      </c>
      <c r="CV132" s="10" t="str">
        <f t="shared" si="136"/>
        <v/>
      </c>
      <c r="CW132" s="10" t="str">
        <f t="shared" si="137"/>
        <v/>
      </c>
    </row>
    <row r="133" spans="1:101" ht="100.8">
      <c r="A133" s="130" t="s">
        <v>671</v>
      </c>
      <c r="B133" s="9" t="s">
        <v>777</v>
      </c>
      <c r="C133" s="9" t="s">
        <v>39</v>
      </c>
      <c r="D133" s="18" t="s">
        <v>667</v>
      </c>
      <c r="E133" s="9" t="s">
        <v>668</v>
      </c>
      <c r="F133" s="9" t="s">
        <v>40</v>
      </c>
      <c r="G133" s="56" t="s">
        <v>29</v>
      </c>
      <c r="H133" s="10" t="s">
        <v>5</v>
      </c>
      <c r="I133" s="10" t="s">
        <v>29</v>
      </c>
      <c r="J133" s="10" t="s">
        <v>29</v>
      </c>
      <c r="K133" s="10" t="s">
        <v>29</v>
      </c>
      <c r="L133" s="10" t="s">
        <v>29</v>
      </c>
      <c r="M133" s="10" t="s">
        <v>29</v>
      </c>
      <c r="N133" s="35" t="s">
        <v>37</v>
      </c>
      <c r="O133" s="9"/>
      <c r="P133" s="9" t="s">
        <v>669</v>
      </c>
      <c r="Q133" s="9" t="s">
        <v>1164</v>
      </c>
      <c r="R133" s="9"/>
      <c r="S133" s="9"/>
      <c r="T133" s="9" t="s">
        <v>670</v>
      </c>
      <c r="U133"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33" s="9" t="s">
        <v>121</v>
      </c>
      <c r="W133" s="9" t="s">
        <v>29</v>
      </c>
      <c r="X133" s="10">
        <v>50</v>
      </c>
      <c r="Y133" s="11" t="s">
        <v>42</v>
      </c>
      <c r="Z133" s="19">
        <v>95</v>
      </c>
      <c r="AA133" s="10">
        <v>2</v>
      </c>
      <c r="AB133" s="10">
        <v>25</v>
      </c>
      <c r="AC133" s="12">
        <v>3582811005407</v>
      </c>
      <c r="AD133" s="10" t="s">
        <v>29</v>
      </c>
      <c r="AE133" s="10" t="s">
        <v>1803</v>
      </c>
      <c r="AF133" s="10" t="s">
        <v>1762</v>
      </c>
      <c r="AG133" s="10" t="s">
        <v>29</v>
      </c>
      <c r="AH133" s="20"/>
      <c r="AI133" s="54" t="s">
        <v>776</v>
      </c>
      <c r="AJ133" s="54" t="s">
        <v>776</v>
      </c>
      <c r="AK133" s="55">
        <v>45771</v>
      </c>
      <c r="AL133" s="10" t="s">
        <v>774</v>
      </c>
      <c r="AM133" s="10"/>
      <c r="AN133" s="10"/>
      <c r="AO133" s="10"/>
      <c r="AP133" s="10"/>
      <c r="AQ133" s="51" t="s">
        <v>1438</v>
      </c>
      <c r="AR133" s="51" t="s">
        <v>1439</v>
      </c>
      <c r="AS133" s="84" t="s">
        <v>1552</v>
      </c>
      <c r="AT133" s="9" t="s">
        <v>29</v>
      </c>
      <c r="AU133" s="142" t="s">
        <v>1440</v>
      </c>
      <c r="AV133" s="9" t="s">
        <v>1756</v>
      </c>
      <c r="AW133" s="52"/>
      <c r="AX133" s="74" t="s">
        <v>1823</v>
      </c>
      <c r="AY133" s="51"/>
      <c r="AZ133" s="51"/>
      <c r="BA133" s="51"/>
      <c r="BB133" s="51"/>
      <c r="BC133" s="51"/>
      <c r="BD133" s="51"/>
      <c r="BE133" s="51"/>
      <c r="BF133" s="92"/>
      <c r="BG133" s="92"/>
      <c r="BH133" s="92"/>
      <c r="BI133" s="92"/>
      <c r="BJ133" s="92"/>
      <c r="BK133" s="92"/>
      <c r="BL133" s="92"/>
      <c r="BN133" s="7" t="str">
        <f>IF(IFERROR(FIND("romatis",TableauJDG[[#This Row],[TYPE DE THÉ FR]]),0)=0,"","aromatisé")</f>
        <v/>
      </c>
      <c r="BO133" s="10" t="s">
        <v>1811</v>
      </c>
      <c r="BV133" s="10" t="str">
        <f t="shared" si="138"/>
        <v>Par tous les temps vous pouvez compter sur cette tisane aux vertus fortifiantes. Son infusion légèrement épicée aux notes de menthe, de fenouil et de lavande facilite les fins de repas, permet un moment de détente récupérateur et de vivre les changem</v>
      </c>
      <c r="BW133" s="10" t="str">
        <f t="shared" si="139"/>
        <v>ents quotidiens plus sereinement.</v>
      </c>
      <c r="BX133" s="10" t="str">
        <f t="shared" si="112"/>
        <v/>
      </c>
      <c r="BY133" s="10" t="str">
        <f t="shared" si="113"/>
        <v/>
      </c>
      <c r="BZ133" s="10" t="str">
        <f t="shared" si="114"/>
        <v>Ingrédients : menthe poivrée* 40% (Mentha piperita), feuilles de framboisier* (Rubus idaeus), origan* (Origanum vulgare), feuilles de noisetier* (Corylus avellana), fenouil* 10% (Foeniculum vulgare), lavande* 5% (Lavandula angustifolia). *Issu de l'a</v>
      </c>
      <c r="CA133" s="10" t="str">
        <f t="shared" si="115"/>
        <v>griculture biologique.</v>
      </c>
      <c r="CB133" s="10" t="str">
        <f t="shared" si="116"/>
        <v/>
      </c>
      <c r="CC133" s="10" t="str">
        <f t="shared" si="117"/>
        <v/>
      </c>
      <c r="CD133" s="10" t="str">
        <f t="shared" si="118"/>
        <v>Consommation journalière conseillée : 5 tasses de 25 cl.
Il est recommandé d'adopter un mode de vie sain et une alimentation variée et équilibrée pour profiter pleinement des vertus de cette infusion. Informations nutritionnelles moyennes pour 100 m</v>
      </c>
      <c r="CE133" s="10" t="str">
        <f t="shared" si="119"/>
        <v>l : Énergie 3 kJ/1 kcal. Cette infusion contient des quantités négligeables de matières grasses dont acides gras saturés, de glucides dont sucres, de protéines et de sel.</v>
      </c>
      <c r="CF133" s="10" t="str">
        <f t="shared" si="120"/>
        <v/>
      </c>
      <c r="CG133" s="10" t="str">
        <f t="shared" si="121"/>
        <v/>
      </c>
      <c r="CH133" s="10" t="str">
        <f t="shared" si="122"/>
        <v>/</v>
      </c>
      <c r="CI133" s="10" t="str">
        <f t="shared" si="123"/>
        <v/>
      </c>
      <c r="CJ133" s="10" t="str">
        <f t="shared" si="124"/>
        <v/>
      </c>
      <c r="CK133" s="10" t="str">
        <f t="shared" si="125"/>
        <v/>
      </c>
      <c r="CL133" s="10" t="str">
        <f t="shared" si="126"/>
        <v>Whatever the weather, you can count on this fortifying herbal tea. Its lightly spiced infusion, with notes of mint, fennel and lavender, makes the end of meals easier, allowing you to relax and recuperate, and to cope with daily changes more serenely</v>
      </c>
      <c r="CM133" s="10" t="str">
        <f t="shared" si="127"/>
        <v>.</v>
      </c>
      <c r="CN133" s="10" t="str">
        <f t="shared" si="128"/>
        <v/>
      </c>
      <c r="CO133" s="10" t="str">
        <f t="shared" si="129"/>
        <v/>
      </c>
      <c r="CP133" s="10" t="str">
        <f t="shared" si="130"/>
        <v>Ingredients: peppermint* 40% (Mentha piperita), raspberry leaves* (Rubus idaeus), oregano* (Origanum vulgare), hazel tree leaves* (Corylus avellana), fennel* 10% (Foeniculum vulgare), lavender* 5% (Lavandula angustifolia). *From organic farming.</v>
      </c>
      <c r="CQ133" s="10" t="str">
        <f t="shared" si="131"/>
        <v/>
      </c>
      <c r="CR133" s="10" t="str">
        <f t="shared" si="132"/>
        <v/>
      </c>
      <c r="CS133" s="10" t="str">
        <f t="shared" si="133"/>
        <v/>
      </c>
      <c r="CT133" s="10" t="str">
        <f t="shared" si="134"/>
        <v>Recommended daily consumption: 5 cups of 25 cl. 
A healthy lifestyle and a varied, balanced diet are recommended to fully benefit from the properties of this infusion. Average nutritional information per 100 ml: Energy 3 kJ/1 kcal. This herbal tea co</v>
      </c>
      <c r="CU133" s="10" t="str">
        <f t="shared" si="135"/>
        <v>ntains negligible amounts of fats (including saturated fats), carbohydrates (including sugars), proteins and salt.</v>
      </c>
      <c r="CV133" s="10" t="str">
        <f t="shared" si="136"/>
        <v/>
      </c>
      <c r="CW133" s="10" t="str">
        <f t="shared" si="137"/>
        <v/>
      </c>
    </row>
    <row r="134" spans="1:101" ht="115.2">
      <c r="A134" s="129" t="s">
        <v>676</v>
      </c>
      <c r="B134" s="9" t="s">
        <v>26</v>
      </c>
      <c r="C134" s="9" t="s">
        <v>39</v>
      </c>
      <c r="D134" s="8" t="s">
        <v>672</v>
      </c>
      <c r="E134" s="9" t="s">
        <v>673</v>
      </c>
      <c r="F134" s="9" t="s">
        <v>644</v>
      </c>
      <c r="G134" s="20"/>
      <c r="H134" s="10" t="s">
        <v>5</v>
      </c>
      <c r="I134" s="10" t="s">
        <v>29</v>
      </c>
      <c r="J134" s="10" t="s">
        <v>29</v>
      </c>
      <c r="K134" s="10" t="s">
        <v>29</v>
      </c>
      <c r="L134" s="10" t="s">
        <v>29</v>
      </c>
      <c r="M134" s="10" t="s">
        <v>29</v>
      </c>
      <c r="N134" s="10" t="s">
        <v>37</v>
      </c>
      <c r="O134" s="9"/>
      <c r="P134" s="9" t="s">
        <v>674</v>
      </c>
      <c r="Q134" s="9" t="s">
        <v>1165</v>
      </c>
      <c r="R134" s="9"/>
      <c r="S134" s="9"/>
      <c r="T134" s="9" t="s">
        <v>1166</v>
      </c>
      <c r="U134"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34" s="8" t="s">
        <v>29</v>
      </c>
      <c r="W134" s="9" t="s">
        <v>29</v>
      </c>
      <c r="X134" s="10">
        <v>100</v>
      </c>
      <c r="Y134" s="11" t="s">
        <v>675</v>
      </c>
      <c r="Z134" s="19">
        <v>95</v>
      </c>
      <c r="AA134" s="10">
        <v>2</v>
      </c>
      <c r="AB134" s="10">
        <v>50</v>
      </c>
      <c r="AC134" s="12">
        <v>3582811201823</v>
      </c>
      <c r="AD134" s="10" t="s">
        <v>29</v>
      </c>
      <c r="AE134" s="10" t="s">
        <v>1167</v>
      </c>
      <c r="AF134" s="10" t="s">
        <v>1687</v>
      </c>
      <c r="AG134" s="10" t="s">
        <v>1688</v>
      </c>
      <c r="AH134" s="13" t="s">
        <v>38</v>
      </c>
      <c r="AI134" s="54" t="s">
        <v>776</v>
      </c>
      <c r="AJ134" s="54" t="s">
        <v>776</v>
      </c>
      <c r="AK134" s="55">
        <v>45674</v>
      </c>
      <c r="AL134" s="10"/>
      <c r="AM134" s="10">
        <v>25013</v>
      </c>
      <c r="AN134" s="10"/>
      <c r="AO134" s="10"/>
      <c r="AP134" s="10"/>
      <c r="AQ134" s="51" t="s">
        <v>1466</v>
      </c>
      <c r="AR134" s="51" t="s">
        <v>1467</v>
      </c>
      <c r="AS134" s="51" t="s">
        <v>1552</v>
      </c>
      <c r="AT134" s="51"/>
      <c r="AU134" s="138" t="s">
        <v>1468</v>
      </c>
      <c r="AV134" s="82" t="s">
        <v>1752</v>
      </c>
      <c r="AW134" s="52"/>
      <c r="AX134" s="51"/>
      <c r="AY134" s="51"/>
      <c r="AZ134" s="51"/>
      <c r="BA134" s="51"/>
      <c r="BB134" s="51"/>
      <c r="BC134" s="51"/>
      <c r="BD134" s="51"/>
      <c r="BE134" s="51"/>
      <c r="BF134" s="92"/>
      <c r="BG134" s="92"/>
      <c r="BH134" s="92"/>
      <c r="BI134" s="92"/>
      <c r="BJ134" s="92"/>
      <c r="BK134" s="92"/>
      <c r="BL134" s="92"/>
      <c r="BN134" s="7" t="str">
        <f>IF(IFERROR(FIND("romatis",TableauJDG[[#This Row],[TYPE DE THÉ FR]]),0)=0,"","aromatisé")</f>
        <v/>
      </c>
      <c r="BV134" s="10" t="str">
        <f t="shared" si="138"/>
        <v>L’onctuosité et la chaleur du cacao mêlée à la richesse aromatique des épices font merveille dans cette infusion. Une recette originale et si gourmande qu'elle procure une délicieuse sensation d'euphorie dès les premières gorgées.</v>
      </c>
      <c r="BW134" s="10" t="str">
        <f t="shared" si="139"/>
        <v/>
      </c>
      <c r="BX134" s="10" t="str">
        <f t="shared" si="112"/>
        <v/>
      </c>
      <c r="BY134" s="10" t="str">
        <f t="shared" si="113"/>
        <v/>
      </c>
      <c r="BZ134" s="10" t="str">
        <f t="shared" si="114"/>
        <v>Ingrédients : écorces de cacao* 72% (Theobroma cacao), fenouil* (Foeniculum vulgare), réglisse* (Glycyrrhizza glabra), fèves tonka* (Dipterix odorata), pétales de souci* (Calendula officinalis). *Issu de l’agriculture biologique. Contient de la régli</v>
      </c>
      <c r="CA134" s="10" t="str">
        <f t="shared" si="115"/>
        <v>sse : les personnes souffrant d'hypertension doivent éviter toute consommation excessive.</v>
      </c>
      <c r="CB134" s="10" t="str">
        <f t="shared" si="116"/>
        <v/>
      </c>
      <c r="CC134" s="10" t="str">
        <f t="shared" si="117"/>
        <v/>
      </c>
      <c r="CD134" s="10" t="str">
        <f t="shared" si="118"/>
        <v>/</v>
      </c>
      <c r="CE134" s="10" t="str">
        <f t="shared" si="119"/>
        <v/>
      </c>
      <c r="CF134" s="10" t="str">
        <f t="shared" si="120"/>
        <v/>
      </c>
      <c r="CG134" s="10" t="str">
        <f t="shared" si="121"/>
        <v/>
      </c>
      <c r="CH134" s="10" t="str">
        <f t="shared" si="122"/>
        <v>/</v>
      </c>
      <c r="CI134" s="10" t="str">
        <f t="shared" si="123"/>
        <v/>
      </c>
      <c r="CJ134" s="10" t="str">
        <f t="shared" si="124"/>
        <v/>
      </c>
      <c r="CK134" s="10" t="str">
        <f t="shared" si="125"/>
        <v/>
      </c>
      <c r="CL134" s="10" t="str">
        <f t="shared" si="126"/>
        <v>The creaminess and warmth of cocoa combined with the aromatic richness of spices work wonders in this infusion. An original recipe that's so mouth-watering it gives you a delicious sensation of euphoria from the very first sip.</v>
      </c>
      <c r="CM134" s="10" t="str">
        <f t="shared" si="127"/>
        <v/>
      </c>
      <c r="CN134" s="10" t="str">
        <f t="shared" si="128"/>
        <v/>
      </c>
      <c r="CO134" s="10" t="str">
        <f t="shared" si="129"/>
        <v/>
      </c>
      <c r="CP134" s="10" t="str">
        <f t="shared" si="130"/>
        <v>Ingredients: cocoa barks (72%)*(Theobroma cacao), fennel* (Foeniculum vulgare), liquorice* (Glycyrrhizza glabra),  tonka beans*  (Dipterix odorata), marigold petals* (Calendula officinalis). *From organic farming. Contains liquorice: people sufferin</v>
      </c>
      <c r="CQ134" s="10" t="str">
        <f t="shared" si="131"/>
        <v>g from hypertension should avoid excessive consumption.</v>
      </c>
      <c r="CR134" s="10" t="str">
        <f t="shared" si="132"/>
        <v/>
      </c>
      <c r="CS134" s="10" t="str">
        <f t="shared" si="133"/>
        <v/>
      </c>
      <c r="CT134" s="10" t="str">
        <f t="shared" si="134"/>
        <v/>
      </c>
      <c r="CU134" s="10" t="str">
        <f t="shared" si="135"/>
        <v/>
      </c>
      <c r="CV134" s="10" t="str">
        <f t="shared" si="136"/>
        <v/>
      </c>
      <c r="CW134" s="10" t="str">
        <f t="shared" si="137"/>
        <v/>
      </c>
    </row>
    <row r="135" spans="1:101" ht="93.6">
      <c r="A135" s="129" t="s">
        <v>681</v>
      </c>
      <c r="B135" s="9" t="s">
        <v>26</v>
      </c>
      <c r="C135" s="9"/>
      <c r="D135" s="8" t="s">
        <v>677</v>
      </c>
      <c r="E135" s="9" t="s">
        <v>678</v>
      </c>
      <c r="F135" s="9" t="s">
        <v>57</v>
      </c>
      <c r="G135" s="9" t="s">
        <v>93</v>
      </c>
      <c r="H135" s="10" t="s">
        <v>5</v>
      </c>
      <c r="I135" s="10" t="s">
        <v>6</v>
      </c>
      <c r="J135" s="10" t="s">
        <v>29</v>
      </c>
      <c r="K135" s="10" t="s">
        <v>29</v>
      </c>
      <c r="L135" s="10" t="s">
        <v>29</v>
      </c>
      <c r="M135" s="10" t="s">
        <v>29</v>
      </c>
      <c r="N135" s="10" t="s">
        <v>37</v>
      </c>
      <c r="O135" s="9"/>
      <c r="P135" s="9" t="s">
        <v>679</v>
      </c>
      <c r="Q135" s="9" t="s">
        <v>1168</v>
      </c>
      <c r="R135" s="9"/>
      <c r="S135" s="9"/>
      <c r="T135" s="9" t="s">
        <v>680</v>
      </c>
      <c r="U135"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35" s="9" t="s">
        <v>29</v>
      </c>
      <c r="W135" s="9" t="s">
        <v>31</v>
      </c>
      <c r="X135" s="10">
        <v>100</v>
      </c>
      <c r="Y135" s="19" t="s">
        <v>59</v>
      </c>
      <c r="Z135" s="19">
        <v>75</v>
      </c>
      <c r="AA135" s="10">
        <v>2</v>
      </c>
      <c r="AB135" s="10">
        <v>50</v>
      </c>
      <c r="AC135" s="12">
        <v>3582813568825</v>
      </c>
      <c r="AD135" s="10" t="s">
        <v>29</v>
      </c>
      <c r="AE135" s="10" t="s">
        <v>1169</v>
      </c>
      <c r="AF135" s="10" t="s">
        <v>1169</v>
      </c>
      <c r="AG135" s="10" t="s">
        <v>1170</v>
      </c>
      <c r="AH135" s="13" t="s">
        <v>38</v>
      </c>
      <c r="AI135" s="54" t="s">
        <v>776</v>
      </c>
      <c r="AJ135" s="54" t="s">
        <v>776</v>
      </c>
      <c r="AK135" s="55">
        <v>45708</v>
      </c>
      <c r="AL135" s="10"/>
      <c r="AM135" s="10">
        <v>25050</v>
      </c>
      <c r="AN135" s="10"/>
      <c r="AO135" s="10"/>
      <c r="AP135" s="10"/>
      <c r="AQ135" s="51" t="s">
        <v>1361</v>
      </c>
      <c r="AR135" s="51" t="s">
        <v>1362</v>
      </c>
      <c r="AS135" s="82" t="s">
        <v>1555</v>
      </c>
      <c r="AT135" s="9" t="s">
        <v>1338</v>
      </c>
      <c r="AU135" s="140" t="s">
        <v>1683</v>
      </c>
      <c r="AV135" s="82" t="s">
        <v>1363</v>
      </c>
      <c r="AW135" s="52"/>
      <c r="AX135" s="51"/>
      <c r="AY135" s="51"/>
      <c r="AZ135" s="51"/>
      <c r="BA135" s="51"/>
      <c r="BB135" s="51"/>
      <c r="BC135" s="51"/>
      <c r="BD135" s="51"/>
      <c r="BE135" s="51"/>
      <c r="BF135" s="92"/>
      <c r="BG135" s="92"/>
      <c r="BH135" s="92"/>
      <c r="BI135" s="92"/>
      <c r="BJ135" s="92"/>
      <c r="BK135" s="92"/>
      <c r="BL135" s="92"/>
      <c r="BN135" s="7" t="str">
        <f>IF(IFERROR(FIND("romatis",TableauJDG[[#This Row],[TYPE DE THÉ FR]]),0)=0,"","aromatisé")</f>
        <v>aromatisé</v>
      </c>
      <c r="BV135" s="10" t="str">
        <f t="shared" si="138"/>
        <v>Ce mariage de la fraîcheur du thé vert avec le velouté de la vanille et l’arôme délicat et sucré de la mandarine a comme un avant-goût de paradis. Fermez les yeux et laisser vous transporter vers des contrées gourmandes où tout n’est que saveurs, lux</v>
      </c>
      <c r="BW135" s="10" t="str">
        <f t="shared" si="139"/>
        <v>e, calme et volupté…</v>
      </c>
      <c r="BX135" s="10" t="str">
        <f t="shared" si="112"/>
        <v/>
      </c>
      <c r="BY135" s="10" t="str">
        <f t="shared" si="113"/>
        <v/>
      </c>
      <c r="BZ135" s="10" t="str">
        <f t="shared" si="114"/>
        <v>Ingrédients : thé vert*, extrait de vanille* 3%, écorces de mandarine* 2%, huile essentielle de mandarine* 2%, pétales de tournesol*. *Issu de l'agriculture biologique.</v>
      </c>
      <c r="CA135" s="10" t="str">
        <f t="shared" si="115"/>
        <v/>
      </c>
      <c r="CB135" s="10" t="str">
        <f t="shared" si="116"/>
        <v/>
      </c>
      <c r="CC135" s="10" t="str">
        <f t="shared" si="117"/>
        <v/>
      </c>
      <c r="CD135" s="10" t="str">
        <f t="shared" si="118"/>
        <v>/</v>
      </c>
      <c r="CE135" s="10" t="str">
        <f t="shared" si="119"/>
        <v/>
      </c>
      <c r="CF135" s="10" t="str">
        <f t="shared" si="120"/>
        <v/>
      </c>
      <c r="CG135" s="10" t="str">
        <f t="shared" si="121"/>
        <v/>
      </c>
      <c r="CH135" s="10" t="str">
        <f t="shared" si="122"/>
        <v>Membre certifié World Fair Trade Organization, Les Jardins de Gaïa s’engagent pour un commerce plus juste et répondent aux exigences du commerce équitable. Pour en savoir plus : www.wfto.com.</v>
      </c>
      <c r="CI135" s="10" t="str">
        <f t="shared" si="123"/>
        <v/>
      </c>
      <c r="CJ135" s="10" t="str">
        <f t="shared" si="124"/>
        <v/>
      </c>
      <c r="CK135" s="10" t="str">
        <f t="shared" si="125"/>
        <v/>
      </c>
      <c r="CL135" s="10" t="str">
        <f t="shared" si="126"/>
        <v>This marriage of fresh green tea with velvety vanilla and the delicate, sweet aroma of mandarin has a foretaste of paradise. Close your eyes and let yourself be transported to heavenly lands where all is flavour, luxury, calm and pleasure…</v>
      </c>
      <c r="CM135" s="10" t="str">
        <f t="shared" si="127"/>
        <v/>
      </c>
      <c r="CN135" s="10" t="str">
        <f t="shared" si="128"/>
        <v/>
      </c>
      <c r="CO135" s="10" t="str">
        <f t="shared" si="129"/>
        <v/>
      </c>
      <c r="CP135" s="10" t="str">
        <f t="shared" si="130"/>
        <v xml:space="preserve">Ingredients: green tea*, vanilla extract* 3%, mandarin peels* 2%, mandarin essential oil* 2%, sunflower petals*. *From organic farming. </v>
      </c>
      <c r="CQ135" s="10" t="str">
        <f t="shared" si="131"/>
        <v/>
      </c>
      <c r="CR135" s="10" t="str">
        <f t="shared" si="132"/>
        <v/>
      </c>
      <c r="CS135" s="10" t="str">
        <f t="shared" si="133"/>
        <v/>
      </c>
      <c r="CT135" s="10" t="str">
        <f t="shared" si="134"/>
        <v/>
      </c>
      <c r="CU135" s="10" t="str">
        <f t="shared" si="135"/>
        <v/>
      </c>
      <c r="CV135" s="10" t="str">
        <f t="shared" si="136"/>
        <v/>
      </c>
      <c r="CW135" s="10" t="str">
        <f t="shared" si="137"/>
        <v/>
      </c>
    </row>
    <row r="136" spans="1:101" ht="115.2">
      <c r="A136" s="129" t="s">
        <v>685</v>
      </c>
      <c r="B136" s="9" t="s">
        <v>26</v>
      </c>
      <c r="C136" s="9"/>
      <c r="D136" s="8" t="s">
        <v>682</v>
      </c>
      <c r="E136" s="9" t="s">
        <v>122</v>
      </c>
      <c r="F136" s="9" t="s">
        <v>81</v>
      </c>
      <c r="G136" s="9" t="s">
        <v>58</v>
      </c>
      <c r="H136" s="10" t="s">
        <v>5</v>
      </c>
      <c r="I136" s="10" t="s">
        <v>6</v>
      </c>
      <c r="J136" s="10" t="s">
        <v>29</v>
      </c>
      <c r="K136" s="10" t="s">
        <v>29</v>
      </c>
      <c r="L136" s="10" t="s">
        <v>29</v>
      </c>
      <c r="M136" s="10" t="s">
        <v>29</v>
      </c>
      <c r="N136" s="10" t="s">
        <v>46</v>
      </c>
      <c r="O136" s="9"/>
      <c r="P136" s="9" t="s">
        <v>683</v>
      </c>
      <c r="Q136" s="57" t="s">
        <v>1171</v>
      </c>
      <c r="R136" s="57"/>
      <c r="S136" s="9"/>
      <c r="T136" s="9" t="s">
        <v>684</v>
      </c>
      <c r="U136"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36" s="9" t="s">
        <v>29</v>
      </c>
      <c r="W136" s="9" t="s">
        <v>31</v>
      </c>
      <c r="X136" s="10">
        <v>100</v>
      </c>
      <c r="Y136" s="19" t="s">
        <v>59</v>
      </c>
      <c r="Z136" s="19">
        <v>75</v>
      </c>
      <c r="AA136" s="10">
        <v>2</v>
      </c>
      <c r="AB136" s="10">
        <v>50</v>
      </c>
      <c r="AC136" s="12">
        <v>3582811769323</v>
      </c>
      <c r="AD136" s="10" t="s">
        <v>29</v>
      </c>
      <c r="AE136" s="10" t="s">
        <v>1745</v>
      </c>
      <c r="AF136" s="10" t="s">
        <v>1172</v>
      </c>
      <c r="AG136" s="10" t="s">
        <v>1173</v>
      </c>
      <c r="AH136" s="13" t="s">
        <v>790</v>
      </c>
      <c r="AI136" s="54" t="s">
        <v>776</v>
      </c>
      <c r="AJ136" s="54" t="s">
        <v>776</v>
      </c>
      <c r="AK136" s="55">
        <v>45665</v>
      </c>
      <c r="AL136" s="10"/>
      <c r="AM136" s="10">
        <v>25010</v>
      </c>
      <c r="AN136" s="101"/>
      <c r="AO136" s="50" t="s">
        <v>774</v>
      </c>
      <c r="AP136" s="50" t="s">
        <v>1600</v>
      </c>
      <c r="AQ136" s="51" t="s">
        <v>1473</v>
      </c>
      <c r="AR136" s="51" t="s">
        <v>751</v>
      </c>
      <c r="AS136" s="87" t="s">
        <v>1559</v>
      </c>
      <c r="AT136" s="87" t="e">
        <f>VLOOKUP(A136,TRADS,14,0)</f>
        <v>#REF!</v>
      </c>
      <c r="AU136" s="141" t="s">
        <v>1474</v>
      </c>
      <c r="AV136" s="87" t="s">
        <v>1475</v>
      </c>
      <c r="AW136" s="87"/>
      <c r="AX136" s="87" t="s">
        <v>29</v>
      </c>
      <c r="AY136" s="51" t="s">
        <v>1255</v>
      </c>
      <c r="AZ136" s="51" t="s">
        <v>1256</v>
      </c>
      <c r="BA136" s="51">
        <v>0</v>
      </c>
      <c r="BB136" s="51" t="s">
        <v>1642</v>
      </c>
      <c r="BC136" s="51" t="s">
        <v>1572</v>
      </c>
      <c r="BD136" s="51" t="s">
        <v>1287</v>
      </c>
      <c r="BE136" s="51"/>
      <c r="BF136" s="92"/>
      <c r="BG136" s="92"/>
      <c r="BH136" s="92"/>
      <c r="BI136" s="92"/>
      <c r="BJ136" s="92"/>
      <c r="BK136" s="92"/>
      <c r="BL136" s="92"/>
      <c r="BN136" s="7" t="str">
        <f>IF(IFERROR(FIND("romatis",TableauJDG[[#This Row],[TYPE DE THÉ FR]]),0)=0,"","aromatisé")</f>
        <v/>
      </c>
      <c r="BV136" s="10" t="str">
        <f t="shared" si="138"/>
        <v>Ce thé vert à la menthe est idéal pour partager un instant de convivialité. Retrouvez l’ambiance unique des médinas en savourant les charmes de la boisson typique d’Afrique du Nord.</v>
      </c>
      <c r="BW136" s="10" t="str">
        <f t="shared" si="139"/>
        <v/>
      </c>
      <c r="BX136" s="10" t="str">
        <f t="shared" si="112"/>
        <v/>
      </c>
      <c r="BY136" s="10" t="str">
        <f t="shared" si="113"/>
        <v/>
      </c>
      <c r="BZ136" s="10" t="str">
        <f t="shared" si="114"/>
        <v>Ingrédients : thé vert*, menthe douce* 30%. *Issu de l'agriculture biologique.</v>
      </c>
      <c r="CA136" s="10" t="str">
        <f t="shared" si="115"/>
        <v/>
      </c>
      <c r="CB136" s="10" t="str">
        <f t="shared" si="116"/>
        <v/>
      </c>
      <c r="CC136" s="10" t="str">
        <f t="shared" si="117"/>
        <v/>
      </c>
      <c r="CD136" s="10" t="str">
        <f t="shared" si="118"/>
        <v>/</v>
      </c>
      <c r="CE136" s="10" t="str">
        <f t="shared" si="119"/>
        <v/>
      </c>
      <c r="CF136" s="10" t="str">
        <f t="shared" si="120"/>
        <v/>
      </c>
      <c r="CG136" s="10" t="str">
        <f t="shared" si="121"/>
        <v/>
      </c>
      <c r="CH136" s="10" t="str">
        <f t="shared" si="122"/>
        <v>Membre certifié World Fair Trade Organization, Les Jardins de Gaïa s’engagent pour un commerce plus juste et répondent aux exigences du commerce équitable. Pour en savoir plus : www.wfto.com.</v>
      </c>
      <c r="CI136" s="10" t="str">
        <f t="shared" si="123"/>
        <v/>
      </c>
      <c r="CJ136" s="10" t="str">
        <f t="shared" si="124"/>
        <v/>
      </c>
      <c r="CK136" s="10" t="str">
        <f t="shared" si="125"/>
        <v/>
      </c>
      <c r="CL136" s="10" t="str">
        <f t="shared" si="126"/>
        <v>This mint green tea is ideal for sharing a moment of conviviality. Rediscover the unique atmosphere of the medinas as you savour the charms of this typical North African beverage.</v>
      </c>
      <c r="CM136" s="10" t="str">
        <f t="shared" si="127"/>
        <v/>
      </c>
      <c r="CN136" s="10" t="str">
        <f t="shared" si="128"/>
        <v/>
      </c>
      <c r="CO136" s="10" t="str">
        <f t="shared" si="129"/>
        <v/>
      </c>
      <c r="CP136" s="10" t="str">
        <f t="shared" si="130"/>
        <v xml:space="preserve">Ingredients: green tea*, spearmint* 30%. *From organic farming. </v>
      </c>
      <c r="CQ136" s="10" t="str">
        <f t="shared" si="131"/>
        <v/>
      </c>
      <c r="CR136" s="10" t="str">
        <f t="shared" si="132"/>
        <v/>
      </c>
      <c r="CS136" s="10" t="str">
        <f t="shared" si="133"/>
        <v/>
      </c>
      <c r="CT136" s="10" t="str">
        <f t="shared" si="134"/>
        <v>/</v>
      </c>
      <c r="CU136" s="10" t="str">
        <f t="shared" si="135"/>
        <v/>
      </c>
      <c r="CV136" s="10" t="str">
        <f t="shared" si="136"/>
        <v/>
      </c>
      <c r="CW136" s="10" t="str">
        <f t="shared" si="137"/>
        <v/>
      </c>
    </row>
    <row r="137" spans="1:101" ht="109.2">
      <c r="A137" s="130" t="s">
        <v>688</v>
      </c>
      <c r="B137" s="9" t="s">
        <v>787</v>
      </c>
      <c r="C137" s="9" t="s">
        <v>788</v>
      </c>
      <c r="D137" s="8" t="s">
        <v>686</v>
      </c>
      <c r="E137" s="9" t="s">
        <v>1174</v>
      </c>
      <c r="F137" s="9" t="s">
        <v>35</v>
      </c>
      <c r="G137" s="10" t="s">
        <v>61</v>
      </c>
      <c r="H137" s="10" t="s">
        <v>5</v>
      </c>
      <c r="I137" s="10" t="s">
        <v>6</v>
      </c>
      <c r="J137" s="10" t="s">
        <v>29</v>
      </c>
      <c r="K137" s="10" t="s">
        <v>8</v>
      </c>
      <c r="L137" s="10" t="s">
        <v>29</v>
      </c>
      <c r="M137" s="10" t="s">
        <v>29</v>
      </c>
      <c r="N137" s="10" t="s">
        <v>37</v>
      </c>
      <c r="O137" s="9"/>
      <c r="P137" s="9" t="s">
        <v>687</v>
      </c>
      <c r="Q137" s="9" t="s">
        <v>1175</v>
      </c>
      <c r="R137" s="9"/>
      <c r="S137" s="9" t="s">
        <v>965</v>
      </c>
      <c r="T137" s="9" t="s">
        <v>1721</v>
      </c>
      <c r="U137"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37" s="8" t="s">
        <v>29</v>
      </c>
      <c r="W137" s="9" t="s">
        <v>31</v>
      </c>
      <c r="X137" s="10">
        <v>100</v>
      </c>
      <c r="Y137" s="11" t="s">
        <v>32</v>
      </c>
      <c r="Z137" s="19">
        <v>95</v>
      </c>
      <c r="AA137" s="10">
        <v>2</v>
      </c>
      <c r="AB137" s="12">
        <v>50</v>
      </c>
      <c r="AC137" s="12">
        <v>3582810274125</v>
      </c>
      <c r="AD137" s="10" t="s">
        <v>29</v>
      </c>
      <c r="AE137" s="10" t="s">
        <v>689</v>
      </c>
      <c r="AF137" s="10" t="s">
        <v>1176</v>
      </c>
      <c r="AG137" s="10" t="s">
        <v>1177</v>
      </c>
      <c r="AH137" s="13" t="s">
        <v>38</v>
      </c>
      <c r="AI137" s="54" t="s">
        <v>776</v>
      </c>
      <c r="AJ137" s="54" t="s">
        <v>776</v>
      </c>
      <c r="AK137" s="55">
        <v>45722</v>
      </c>
      <c r="AL137" s="10"/>
      <c r="AM137" s="10">
        <v>25056</v>
      </c>
      <c r="AN137" s="10"/>
      <c r="AO137" s="10"/>
      <c r="AP137" s="10"/>
      <c r="AQ137" s="51" t="s">
        <v>1394</v>
      </c>
      <c r="AR137" s="51" t="s">
        <v>1753</v>
      </c>
      <c r="AS137" s="82" t="s">
        <v>1549</v>
      </c>
      <c r="AT137" s="9" t="s">
        <v>61</v>
      </c>
      <c r="AU137" s="96" t="s">
        <v>1754</v>
      </c>
      <c r="AV137" s="82" t="s">
        <v>1755</v>
      </c>
      <c r="AW137" s="52"/>
      <c r="AX137" s="51"/>
      <c r="AY137" s="51"/>
      <c r="AZ137" s="51"/>
      <c r="BA137" s="51" t="s">
        <v>1569</v>
      </c>
      <c r="BB137" s="51"/>
      <c r="BC137" s="51"/>
      <c r="BD137" s="51"/>
      <c r="BE137" s="51"/>
      <c r="BF137" s="92"/>
      <c r="BG137" s="92"/>
      <c r="BH137" s="92"/>
      <c r="BI137" s="92"/>
      <c r="BJ137" s="92"/>
      <c r="BK137" s="92"/>
      <c r="BL137" s="92"/>
      <c r="BN137" s="7" t="str">
        <f>IF(IFERROR(FIND("romatis",TableauJDG[[#This Row],[TYPE DE THÉ FR]]),0)=0,"","aromatisé")</f>
        <v>aromatisé</v>
      </c>
      <c r="BV137" s="10" t="str">
        <f t="shared" si="138"/>
        <v>Il y a comme un parfum de résistance dans cette farandole de saveurs qui entourent ce thé noir issu de théiers anciens. Cacao, réglisse et orange, cette boisson est autant une fête pour les papilles qu’une source d’inspiration et de motivation pour t</v>
      </c>
      <c r="BW137" s="10" t="str">
        <f t="shared" si="139"/>
        <v>oujours agir en respectant la vie qui nous entoure.</v>
      </c>
      <c r="BX137" s="10" t="str">
        <f t="shared" si="112"/>
        <v/>
      </c>
      <c r="BY137" s="10" t="str">
        <f t="shared" si="113"/>
        <v/>
      </c>
      <c r="BZ137" s="10" t="str">
        <f t="shared" si="114"/>
        <v>Ingrédients : thé noir*, réglisse* 13%, écorces de cacao* 9%, huile essentielle d'orange* 3%, chips de carottes*. *Issu de l'agriculture biologique. Contient de la réglisse, les personnes souffrant d'hypertension doivent éviter toute consommation exc</v>
      </c>
      <c r="CA137" s="10" t="str">
        <f t="shared" si="115"/>
        <v>essive.</v>
      </c>
      <c r="CB137" s="10" t="str">
        <f t="shared" si="116"/>
        <v/>
      </c>
      <c r="CC137" s="10" t="str">
        <f t="shared" si="117"/>
        <v/>
      </c>
      <c r="CD137" s="10" t="str">
        <f t="shared" si="118"/>
        <v>/</v>
      </c>
      <c r="CE137" s="10" t="str">
        <f t="shared" si="119"/>
        <v/>
      </c>
      <c r="CF137" s="10" t="str">
        <f t="shared" si="120"/>
        <v/>
      </c>
      <c r="CG137" s="10" t="str">
        <f t="shared" si="121"/>
        <v/>
      </c>
      <c r="CH137" s="10" t="str">
        <f t="shared" si="122"/>
        <v>Membre certifié World Fair Trade Organization, Les Jardins de Gaïa s’engagent pour un commerce plus juste et répondent aux exigences du commerce équitable. Pour en savoir plus : www.wfto.com.</v>
      </c>
      <c r="CI137" s="10" t="str">
        <f t="shared" si="123"/>
        <v/>
      </c>
      <c r="CJ137" s="10" t="str">
        <f t="shared" si="124"/>
        <v/>
      </c>
      <c r="CK137" s="10" t="str">
        <f t="shared" si="125"/>
        <v/>
      </c>
      <c r="CL137" s="10" t="str">
        <f t="shared" si="126"/>
        <v>There's something of the perfume of resistance in the farandole of flavours that surround this black tea from ancient tea bushes. Cocoa, liquorice and orange, this drink is as much a feast for the taste buds as it is a source of inspiration and motiv</v>
      </c>
      <c r="CM137" s="10" t="str">
        <f t="shared" si="127"/>
        <v>ation to always act with respect for the life around us.</v>
      </c>
      <c r="CN137" s="10" t="str">
        <f t="shared" si="128"/>
        <v/>
      </c>
      <c r="CO137" s="10" t="str">
        <f t="shared" si="129"/>
        <v/>
      </c>
      <c r="CP137" s="10" t="str">
        <f t="shared" si="130"/>
        <v>Ingredients: black tea*, liquorice* 13%, cocoa* 9%, orange essential oil* 3%, carrot chips*. *From organic farming. Contains liquorice, people suffering from hypertension should avoid excessive consumption.</v>
      </c>
      <c r="CQ137" s="10" t="str">
        <f t="shared" si="131"/>
        <v/>
      </c>
      <c r="CR137" s="10" t="str">
        <f t="shared" si="132"/>
        <v/>
      </c>
      <c r="CS137" s="10" t="str">
        <f t="shared" si="133"/>
        <v/>
      </c>
      <c r="CT137" s="10" t="str">
        <f t="shared" si="134"/>
        <v/>
      </c>
      <c r="CU137" s="10" t="str">
        <f t="shared" si="135"/>
        <v/>
      </c>
      <c r="CV137" s="10" t="str">
        <f t="shared" si="136"/>
        <v/>
      </c>
      <c r="CW137" s="10" t="str">
        <f t="shared" si="137"/>
        <v/>
      </c>
    </row>
    <row r="138" spans="1:101" s="106" customFormat="1" ht="62.4">
      <c r="A138" s="129" t="s">
        <v>693</v>
      </c>
      <c r="B138" s="9" t="s">
        <v>26</v>
      </c>
      <c r="C138" s="9"/>
      <c r="D138" s="8" t="s">
        <v>690</v>
      </c>
      <c r="E138" s="9" t="s">
        <v>691</v>
      </c>
      <c r="F138" s="9" t="s">
        <v>44</v>
      </c>
      <c r="G138" s="9" t="s">
        <v>45</v>
      </c>
      <c r="H138" s="10" t="s">
        <v>5</v>
      </c>
      <c r="I138" s="10" t="s">
        <v>6</v>
      </c>
      <c r="J138" s="10" t="s">
        <v>29</v>
      </c>
      <c r="K138" s="10" t="s">
        <v>29</v>
      </c>
      <c r="L138" s="10" t="s">
        <v>29</v>
      </c>
      <c r="M138" s="10" t="s">
        <v>29</v>
      </c>
      <c r="N138" s="20" t="s">
        <v>37</v>
      </c>
      <c r="O138" s="9"/>
      <c r="P138" s="9" t="s">
        <v>692</v>
      </c>
      <c r="Q138" s="69" t="s">
        <v>1178</v>
      </c>
      <c r="R138" s="69"/>
      <c r="S138" s="9"/>
      <c r="T138" s="24" t="s">
        <v>1179</v>
      </c>
      <c r="U138" s="24"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38" s="9" t="s">
        <v>29</v>
      </c>
      <c r="W138" s="9" t="s">
        <v>31</v>
      </c>
      <c r="X138" s="10">
        <v>100</v>
      </c>
      <c r="Y138" s="11" t="s">
        <v>42</v>
      </c>
      <c r="Z138" s="19">
        <v>95</v>
      </c>
      <c r="AA138" s="10">
        <v>2</v>
      </c>
      <c r="AB138" s="10">
        <v>50</v>
      </c>
      <c r="AC138" s="12">
        <v>3582810921029</v>
      </c>
      <c r="AD138" s="10" t="s">
        <v>29</v>
      </c>
      <c r="AE138" s="10" t="s">
        <v>1180</v>
      </c>
      <c r="AF138" s="10" t="s">
        <v>1180</v>
      </c>
      <c r="AG138" s="10" t="s">
        <v>1181</v>
      </c>
      <c r="AH138" s="13" t="s">
        <v>778</v>
      </c>
      <c r="AI138" s="54" t="s">
        <v>776</v>
      </c>
      <c r="AJ138" s="54" t="s">
        <v>776</v>
      </c>
      <c r="AK138" s="55">
        <v>45646</v>
      </c>
      <c r="AL138" s="10"/>
      <c r="AM138" s="54" t="s">
        <v>1611</v>
      </c>
      <c r="AN138" s="101"/>
      <c r="AO138" s="10"/>
      <c r="AP138" s="10"/>
      <c r="AQ138" s="51" t="s">
        <v>1520</v>
      </c>
      <c r="AR138" s="51" t="s">
        <v>1521</v>
      </c>
      <c r="AS138" s="16" t="s">
        <v>1556</v>
      </c>
      <c r="AT138" s="87" t="e">
        <f>VLOOKUP(A138,TRADS,14,0)</f>
        <v>#REF!</v>
      </c>
      <c r="AU138" s="63" t="s">
        <v>1522</v>
      </c>
      <c r="AV138" s="52" t="s">
        <v>1612</v>
      </c>
      <c r="AW138" s="52"/>
      <c r="AX138" s="68" t="s">
        <v>29</v>
      </c>
      <c r="AY138" s="51"/>
      <c r="AZ138" s="51"/>
      <c r="BA138" s="51"/>
      <c r="BB138" s="51"/>
      <c r="BC138" s="51"/>
      <c r="BD138" s="51"/>
      <c r="BE138" s="51"/>
      <c r="BF138" s="92"/>
      <c r="BG138" s="92"/>
      <c r="BH138" s="92"/>
      <c r="BI138" s="92"/>
      <c r="BJ138" s="92"/>
      <c r="BK138" s="92"/>
      <c r="BL138" s="92"/>
      <c r="BM138" s="7"/>
      <c r="BN138" s="7" t="str">
        <f>IF(IFERROR(FIND("romatis",TableauJDG[[#This Row],[TYPE DE THÉ FR]]),0)=0,"","aromatisé")</f>
        <v>aromatisé</v>
      </c>
      <c r="BO138" s="10"/>
      <c r="BP138" s="7"/>
      <c r="BQ138" s="7"/>
      <c r="BR138" s="7"/>
      <c r="BS138" s="7"/>
      <c r="BT138" s="7"/>
      <c r="BU138" s="7"/>
      <c r="BV138" s="10" t="str">
        <f t="shared" si="138"/>
        <v xml:space="preserve">Comme un parfum de soleil, ce rooibos associe la chaleur de ses origines au velouté de la pêche et aux notes acidulées de l’abricot. Pour une pause fruitée qui évoque à chaque gorgée la douceur des beaux jours. </v>
      </c>
      <c r="BW138" s="10" t="str">
        <f t="shared" si="139"/>
        <v/>
      </c>
      <c r="BX138" s="10" t="str">
        <f t="shared" si="112"/>
        <v/>
      </c>
      <c r="BY138" s="10" t="str">
        <f t="shared" si="113"/>
        <v/>
      </c>
      <c r="BZ138" s="10" t="str">
        <f t="shared" si="114"/>
        <v xml:space="preserve">Ingrédients : rooibos*, arômes naturels de (pêche*, abricot*) 8%, morceaux de fruits (abricot*, pêche*) 1%, pétales de souci*. *Issu de l'agriculture biologique. </v>
      </c>
      <c r="CA138" s="10" t="str">
        <f t="shared" si="115"/>
        <v/>
      </c>
      <c r="CB138" s="10" t="str">
        <f t="shared" si="116"/>
        <v/>
      </c>
      <c r="CC138" s="10" t="str">
        <f t="shared" si="117"/>
        <v/>
      </c>
      <c r="CD138" s="10" t="str">
        <f t="shared" si="118"/>
        <v>/</v>
      </c>
      <c r="CE138" s="10" t="str">
        <f t="shared" si="119"/>
        <v/>
      </c>
      <c r="CF138" s="10" t="str">
        <f t="shared" si="120"/>
        <v/>
      </c>
      <c r="CG138" s="10" t="str">
        <f t="shared" si="121"/>
        <v/>
      </c>
      <c r="CH138" s="10" t="str">
        <f t="shared" si="122"/>
        <v>Membre certifié World Fair Trade Organization, Les Jardins de Gaïa s’engagent pour un commerce plus juste et répondent aux exigences du commerce équitable. Pour en savoir plus : www.wfto.com.</v>
      </c>
      <c r="CI138" s="10" t="str">
        <f t="shared" si="123"/>
        <v/>
      </c>
      <c r="CJ138" s="10" t="str">
        <f t="shared" si="124"/>
        <v/>
      </c>
      <c r="CK138" s="10" t="str">
        <f t="shared" si="125"/>
        <v/>
      </c>
      <c r="CL138" s="10" t="str">
        <f t="shared" si="126"/>
        <v xml:space="preserve">Like a scent of sunshine, this rooibos combines the warmth of its origins with the smoothness of peach and the tangy notes of apricot. For a fruity break that evokes the sweetness of fine weather with every sip. </v>
      </c>
      <c r="CM138" s="10" t="str">
        <f t="shared" si="127"/>
        <v/>
      </c>
      <c r="CN138" s="10" t="str">
        <f t="shared" si="128"/>
        <v/>
      </c>
      <c r="CO138" s="10" t="str">
        <f t="shared" si="129"/>
        <v/>
      </c>
      <c r="CP138" s="10" t="str">
        <f t="shared" si="130"/>
        <v>Ingredients: rooibos*, natural (peach*, apricot*) flavourings 8%, fruit pieces (apricot*, peach*) 1%, marigold petals*. *From organic farming.</v>
      </c>
      <c r="CQ138" s="10" t="str">
        <f t="shared" si="131"/>
        <v/>
      </c>
      <c r="CR138" s="10" t="str">
        <f t="shared" si="132"/>
        <v/>
      </c>
      <c r="CS138" s="10" t="str">
        <f t="shared" si="133"/>
        <v/>
      </c>
      <c r="CT138" s="10" t="str">
        <f t="shared" si="134"/>
        <v>/</v>
      </c>
      <c r="CU138" s="10" t="str">
        <f t="shared" si="135"/>
        <v/>
      </c>
      <c r="CV138" s="10" t="str">
        <f t="shared" si="136"/>
        <v/>
      </c>
      <c r="CW138" s="10" t="str">
        <f t="shared" si="137"/>
        <v/>
      </c>
    </row>
    <row r="139" spans="1:101" ht="93.6">
      <c r="A139" s="129" t="s">
        <v>697</v>
      </c>
      <c r="B139" s="9" t="s">
        <v>26</v>
      </c>
      <c r="C139" s="9"/>
      <c r="D139" s="8" t="s">
        <v>694</v>
      </c>
      <c r="E139" s="9" t="s">
        <v>73</v>
      </c>
      <c r="F139" s="9" t="s">
        <v>44</v>
      </c>
      <c r="G139" s="9" t="s">
        <v>45</v>
      </c>
      <c r="H139" s="10" t="s">
        <v>5</v>
      </c>
      <c r="I139" s="10" t="s">
        <v>6</v>
      </c>
      <c r="J139" s="10" t="s">
        <v>29</v>
      </c>
      <c r="K139" s="10" t="s">
        <v>29</v>
      </c>
      <c r="L139" s="10" t="s">
        <v>29</v>
      </c>
      <c r="M139" s="10" t="s">
        <v>29</v>
      </c>
      <c r="N139" s="10" t="s">
        <v>37</v>
      </c>
      <c r="O139" s="9"/>
      <c r="P139" s="9" t="s">
        <v>695</v>
      </c>
      <c r="Q139" s="57" t="s">
        <v>1182</v>
      </c>
      <c r="R139" s="57"/>
      <c r="S139" s="9"/>
      <c r="T139" s="9" t="s">
        <v>696</v>
      </c>
      <c r="U139"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39" s="9" t="s">
        <v>29</v>
      </c>
      <c r="W139" s="9" t="s">
        <v>31</v>
      </c>
      <c r="X139" s="10">
        <v>100</v>
      </c>
      <c r="Y139" s="11" t="s">
        <v>42</v>
      </c>
      <c r="Z139" s="19">
        <v>95</v>
      </c>
      <c r="AA139" s="10">
        <v>2</v>
      </c>
      <c r="AB139" s="10">
        <v>50</v>
      </c>
      <c r="AC139" s="12">
        <v>3582810920329</v>
      </c>
      <c r="AD139" s="10" t="s">
        <v>29</v>
      </c>
      <c r="AE139" s="10" t="s">
        <v>1183</v>
      </c>
      <c r="AF139" s="10" t="s">
        <v>1183</v>
      </c>
      <c r="AG139" s="10" t="s">
        <v>1184</v>
      </c>
      <c r="AH139" s="13" t="s">
        <v>778</v>
      </c>
      <c r="AI139" s="54" t="s">
        <v>776</v>
      </c>
      <c r="AJ139" s="54" t="s">
        <v>776</v>
      </c>
      <c r="AK139" s="55">
        <v>45758</v>
      </c>
      <c r="AL139" s="10"/>
      <c r="AM139" s="10"/>
      <c r="AN139" s="10"/>
      <c r="AO139" s="10"/>
      <c r="AP139" s="10"/>
      <c r="AQ139" s="51" t="s">
        <v>1510</v>
      </c>
      <c r="AR139" s="51" t="s">
        <v>1226</v>
      </c>
      <c r="AS139" s="82" t="s">
        <v>1556</v>
      </c>
      <c r="AT139" s="82" t="s">
        <v>1297</v>
      </c>
      <c r="AU139" s="140" t="s">
        <v>1511</v>
      </c>
      <c r="AV139" s="82" t="s">
        <v>1512</v>
      </c>
      <c r="AW139" s="52"/>
      <c r="AX139" s="51"/>
      <c r="AY139" s="51"/>
      <c r="AZ139" s="51"/>
      <c r="BA139" s="51"/>
      <c r="BB139" s="51"/>
      <c r="BC139" s="51"/>
      <c r="BD139" s="51"/>
      <c r="BE139" s="51"/>
      <c r="BF139" s="92"/>
      <c r="BG139" s="92"/>
      <c r="BH139" s="92"/>
      <c r="BI139" s="92"/>
      <c r="BJ139" s="92"/>
      <c r="BK139" s="92"/>
      <c r="BL139" s="92"/>
      <c r="BN139" s="7" t="str">
        <f>IF(IFERROR(FIND("romatis",TableauJDG[[#This Row],[TYPE DE THÉ FR]]),0)=0,"","aromatisé")</f>
        <v>aromatisé</v>
      </c>
      <c r="BV139" s="10" t="str">
        <f t="shared" si="138"/>
        <v>Ce mariage chaleureux et gourmand de rooibos et de vanille est une invitation à prendre le large et rêver d’îles lointaines et de moments suaves et ensoleillés… Sans théine, il se partage en famille. À déguster idéalement sur un air de ukulélé !</v>
      </c>
      <c r="BW139" s="10" t="str">
        <f t="shared" si="139"/>
        <v/>
      </c>
      <c r="BX139" s="10" t="str">
        <f t="shared" si="112"/>
        <v/>
      </c>
      <c r="BY139" s="10" t="str">
        <f t="shared" si="113"/>
        <v/>
      </c>
      <c r="BZ139" s="10" t="str">
        <f t="shared" si="114"/>
        <v>Ingrédients : rooibos*, extrait de vanille* 4%, morceaux de vanille* 2%, pétales de souci*. *Issu de l'agriculture biologique.</v>
      </c>
      <c r="CA139" s="10" t="str">
        <f t="shared" si="115"/>
        <v/>
      </c>
      <c r="CB139" s="10" t="str">
        <f t="shared" si="116"/>
        <v/>
      </c>
      <c r="CC139" s="10" t="str">
        <f t="shared" si="117"/>
        <v/>
      </c>
      <c r="CD139" s="10" t="str">
        <f t="shared" si="118"/>
        <v>/</v>
      </c>
      <c r="CE139" s="10" t="str">
        <f t="shared" si="119"/>
        <v/>
      </c>
      <c r="CF139" s="10" t="str">
        <f t="shared" si="120"/>
        <v/>
      </c>
      <c r="CG139" s="10" t="str">
        <f t="shared" si="121"/>
        <v/>
      </c>
      <c r="CH139" s="10" t="str">
        <f t="shared" si="122"/>
        <v>Membre certifié World Fair Trade Organization, Les Jardins de Gaïa s’engagent pour un commerce plus juste et répondent aux exigences du commerce équitable. Pour en savoir plus : www.wfto.com.</v>
      </c>
      <c r="CI139" s="10" t="str">
        <f t="shared" si="123"/>
        <v/>
      </c>
      <c r="CJ139" s="10" t="str">
        <f t="shared" si="124"/>
        <v/>
      </c>
      <c r="CK139" s="10" t="str">
        <f t="shared" si="125"/>
        <v/>
      </c>
      <c r="CL139" s="10" t="str">
        <f t="shared" si="126"/>
        <v>This warm, indulgent blend of rooibos and vanilla is an invitation to set sail and dream of faraway islands and sweet, sunny moments... With no caffeine, it's perfect for sharing with the whole family. Ideally enjoyed to the tune of a ukulele!</v>
      </c>
      <c r="CM139" s="10" t="str">
        <f t="shared" si="127"/>
        <v/>
      </c>
      <c r="CN139" s="10" t="str">
        <f t="shared" si="128"/>
        <v/>
      </c>
      <c r="CO139" s="10" t="str">
        <f t="shared" si="129"/>
        <v/>
      </c>
      <c r="CP139" s="10" t="str">
        <f t="shared" si="130"/>
        <v xml:space="preserve">Ingredients: rooibos*, vanilla extract* 4%, vanilla pieces* 2%, marigold petals*. *From organic farming. </v>
      </c>
      <c r="CQ139" s="10" t="str">
        <f t="shared" si="131"/>
        <v/>
      </c>
      <c r="CR139" s="10" t="str">
        <f t="shared" si="132"/>
        <v/>
      </c>
      <c r="CS139" s="10" t="str">
        <f t="shared" si="133"/>
        <v/>
      </c>
      <c r="CT139" s="10" t="str">
        <f t="shared" si="134"/>
        <v/>
      </c>
      <c r="CU139" s="10" t="str">
        <f t="shared" si="135"/>
        <v/>
      </c>
      <c r="CV139" s="10" t="str">
        <f t="shared" si="136"/>
        <v/>
      </c>
      <c r="CW139" s="10" t="str">
        <f t="shared" si="137"/>
        <v/>
      </c>
    </row>
    <row r="140" spans="1:101" ht="115.2">
      <c r="A140" s="129" t="s">
        <v>698</v>
      </c>
      <c r="B140" s="9" t="s">
        <v>782</v>
      </c>
      <c r="C140" s="9"/>
      <c r="D140" s="8" t="s">
        <v>699</v>
      </c>
      <c r="E140" s="9" t="s">
        <v>700</v>
      </c>
      <c r="F140" s="9" t="s">
        <v>786</v>
      </c>
      <c r="G140" s="9" t="s">
        <v>65</v>
      </c>
      <c r="H140" s="10" t="s">
        <v>5</v>
      </c>
      <c r="I140" s="10" t="s">
        <v>6</v>
      </c>
      <c r="J140" s="10" t="s">
        <v>29</v>
      </c>
      <c r="K140" s="10" t="s">
        <v>8</v>
      </c>
      <c r="L140" s="10" t="s">
        <v>29</v>
      </c>
      <c r="M140" s="10" t="s">
        <v>29</v>
      </c>
      <c r="N140" s="10" t="s">
        <v>47</v>
      </c>
      <c r="O140" s="15" t="s">
        <v>1910</v>
      </c>
      <c r="P140" s="9" t="s">
        <v>701</v>
      </c>
      <c r="Q140" s="9" t="s">
        <v>1185</v>
      </c>
      <c r="R140" s="9"/>
      <c r="S140" s="9"/>
      <c r="T140" s="9" t="s">
        <v>702</v>
      </c>
      <c r="U140"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40" s="9" t="s">
        <v>29</v>
      </c>
      <c r="W140" s="9" t="s">
        <v>31</v>
      </c>
      <c r="X140" s="10">
        <v>125</v>
      </c>
      <c r="Y140" s="19" t="s">
        <v>78</v>
      </c>
      <c r="Z140" s="19">
        <v>90</v>
      </c>
      <c r="AA140" s="10">
        <v>2</v>
      </c>
      <c r="AB140" s="10">
        <v>63</v>
      </c>
      <c r="AC140" s="12">
        <v>3582810300251</v>
      </c>
      <c r="AD140" s="10" t="s">
        <v>50</v>
      </c>
      <c r="AE140" s="38" t="s">
        <v>703</v>
      </c>
      <c r="AF140" s="10" t="s">
        <v>1186</v>
      </c>
      <c r="AG140" s="10" t="s">
        <v>704</v>
      </c>
      <c r="AH140" s="13" t="s">
        <v>589</v>
      </c>
      <c r="AI140" s="10"/>
      <c r="AJ140" s="10"/>
      <c r="AK140" s="10"/>
      <c r="AL140" s="10"/>
      <c r="AM140" s="10"/>
      <c r="AN140" s="10"/>
      <c r="AO140" s="10"/>
      <c r="AP140" s="10"/>
      <c r="AQ140" s="51"/>
      <c r="AR140" s="51"/>
      <c r="AS140" s="51"/>
      <c r="AT140" s="51"/>
      <c r="AU140" s="51"/>
      <c r="AV140" s="52"/>
      <c r="AW140" s="52"/>
      <c r="AX140" s="51"/>
      <c r="AY140" s="51"/>
      <c r="AZ140" s="51"/>
      <c r="BA140" s="51"/>
      <c r="BB140" s="51"/>
      <c r="BC140" s="51"/>
      <c r="BD140" s="51"/>
      <c r="BE140" s="51"/>
      <c r="BF140" s="92"/>
      <c r="BG140" s="92"/>
      <c r="BH140" s="92"/>
      <c r="BI140" s="92"/>
      <c r="BJ140" s="92"/>
      <c r="BK140" s="92"/>
      <c r="BL140" s="92"/>
      <c r="BN140" s="7" t="str">
        <f>IF(IFERROR(FIND("romatis",TableauJDG[[#This Row],[TYPE DE THÉ FR]]),0)=0,"","aromatisé")</f>
        <v/>
      </c>
      <c r="BV140" s="10" t="str">
        <f t="shared" si="138"/>
        <v>Cette galette de pu’er cru a été confectionnée pour fêter nos 25 ans à partir d’une sélection spéciale de feuilles printanières récoltées en 2018, sur des théiers anciens de Lincang. Ses notes jeunes et fruitées évolueront lentement vers les arômes t</v>
      </c>
      <c r="BW140" s="10" t="str">
        <f t="shared" si="139"/>
        <v>ertiaires typiques des vieux pu’er. Un collector !</v>
      </c>
      <c r="BX140" s="10" t="str">
        <f t="shared" si="112"/>
        <v/>
      </c>
      <c r="BY140" s="10" t="str">
        <f t="shared" si="113"/>
        <v/>
      </c>
      <c r="BZ140" s="10" t="str">
        <f t="shared" si="114"/>
        <v xml:space="preserve">Ingrédient : thé pu’er sheng compressé en galette*. *Issu de l’agriculture biologique. </v>
      </c>
      <c r="CA140" s="10" t="str">
        <f t="shared" si="115"/>
        <v/>
      </c>
      <c r="CB140" s="10" t="str">
        <f t="shared" si="116"/>
        <v/>
      </c>
      <c r="CC140" s="10" t="str">
        <f t="shared" si="117"/>
        <v/>
      </c>
      <c r="CD140" s="10" t="str">
        <f t="shared" si="118"/>
        <v>/</v>
      </c>
      <c r="CE140" s="10" t="str">
        <f t="shared" si="119"/>
        <v/>
      </c>
      <c r="CF140" s="10" t="str">
        <f t="shared" si="120"/>
        <v/>
      </c>
      <c r="CG140" s="10" t="str">
        <f t="shared" si="121"/>
        <v/>
      </c>
      <c r="CH140" s="10" t="str">
        <f t="shared" si="122"/>
        <v>Membre certifié World Fair Trade Organization, Les Jardins de Gaïa s’engagent pour un commerce plus juste et répondent aux exigences du commerce équitable. Pour en savoir plus : www.wfto.com.</v>
      </c>
      <c r="CI140" s="10" t="str">
        <f t="shared" si="123"/>
        <v/>
      </c>
      <c r="CJ140" s="10" t="str">
        <f t="shared" si="124"/>
        <v/>
      </c>
      <c r="CK140" s="10" t="str">
        <f t="shared" si="125"/>
        <v/>
      </c>
      <c r="CL140" s="10" t="str">
        <f t="shared" si="126"/>
        <v/>
      </c>
      <c r="CM140" s="10" t="str">
        <f t="shared" si="127"/>
        <v/>
      </c>
      <c r="CN140" s="10" t="str">
        <f t="shared" si="128"/>
        <v/>
      </c>
      <c r="CO140" s="10" t="str">
        <f t="shared" si="129"/>
        <v/>
      </c>
      <c r="CP140" s="10" t="str">
        <f t="shared" si="130"/>
        <v/>
      </c>
      <c r="CQ140" s="10" t="str">
        <f t="shared" si="131"/>
        <v/>
      </c>
      <c r="CR140" s="10" t="str">
        <f t="shared" si="132"/>
        <v/>
      </c>
      <c r="CS140" s="10" t="str">
        <f t="shared" si="133"/>
        <v/>
      </c>
      <c r="CT140" s="10" t="str">
        <f t="shared" si="134"/>
        <v/>
      </c>
      <c r="CU140" s="10" t="str">
        <f t="shared" si="135"/>
        <v/>
      </c>
      <c r="CV140" s="10" t="str">
        <f t="shared" si="136"/>
        <v/>
      </c>
      <c r="CW140" s="10" t="str">
        <f t="shared" si="137"/>
        <v/>
      </c>
    </row>
    <row r="141" spans="1:101" ht="172.8">
      <c r="A141" s="129" t="s">
        <v>708</v>
      </c>
      <c r="B141" s="9" t="s">
        <v>26</v>
      </c>
      <c r="C141" s="9"/>
      <c r="D141" s="8" t="s">
        <v>705</v>
      </c>
      <c r="E141" s="9" t="s">
        <v>709</v>
      </c>
      <c r="F141" s="9" t="s">
        <v>35</v>
      </c>
      <c r="G141" s="17"/>
      <c r="H141" s="10" t="s">
        <v>5</v>
      </c>
      <c r="I141" s="10" t="s">
        <v>6</v>
      </c>
      <c r="J141" s="10" t="s">
        <v>29</v>
      </c>
      <c r="K141" s="10" t="s">
        <v>29</v>
      </c>
      <c r="L141" s="10" t="s">
        <v>29</v>
      </c>
      <c r="M141" s="10" t="s">
        <v>29</v>
      </c>
      <c r="N141" s="10" t="s">
        <v>37</v>
      </c>
      <c r="O141" s="9"/>
      <c r="P141" s="17" t="s">
        <v>706</v>
      </c>
      <c r="Q141" s="17" t="s">
        <v>1187</v>
      </c>
      <c r="R141" s="17"/>
      <c r="S141" s="17"/>
      <c r="T141" s="9" t="s">
        <v>707</v>
      </c>
      <c r="U141"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41" s="9" t="s">
        <v>29</v>
      </c>
      <c r="W141" s="9" t="s">
        <v>31</v>
      </c>
      <c r="X141" s="10">
        <v>100</v>
      </c>
      <c r="Y141" s="11" t="s">
        <v>32</v>
      </c>
      <c r="Z141" s="19">
        <v>90</v>
      </c>
      <c r="AA141" s="10">
        <v>2</v>
      </c>
      <c r="AB141" s="10">
        <v>50</v>
      </c>
      <c r="AC141" s="12">
        <v>3582810470626</v>
      </c>
      <c r="AD141" s="10" t="s">
        <v>29</v>
      </c>
      <c r="AE141" s="10" t="s">
        <v>1188</v>
      </c>
      <c r="AF141" s="10" t="s">
        <v>1188</v>
      </c>
      <c r="AG141" s="10" t="s">
        <v>1189</v>
      </c>
      <c r="AH141" s="13" t="s">
        <v>38</v>
      </c>
      <c r="AI141" s="54" t="s">
        <v>776</v>
      </c>
      <c r="AJ141" s="54" t="s">
        <v>776</v>
      </c>
      <c r="AK141" s="55">
        <v>45740</v>
      </c>
      <c r="AL141" s="10"/>
      <c r="AM141" s="10" t="s">
        <v>1704</v>
      </c>
      <c r="AN141" s="10"/>
      <c r="AO141" s="10"/>
      <c r="AP141" s="10"/>
      <c r="AQ141" s="51" t="s">
        <v>1380</v>
      </c>
      <c r="AR141" s="51" t="s">
        <v>709</v>
      </c>
      <c r="AS141" s="82" t="s">
        <v>1549</v>
      </c>
      <c r="AT141" s="51"/>
      <c r="AU141" s="96" t="s">
        <v>1381</v>
      </c>
      <c r="AV141" s="82" t="s">
        <v>1382</v>
      </c>
      <c r="AW141" s="52"/>
      <c r="AX141" s="51"/>
      <c r="AY141" s="51"/>
      <c r="AZ141" s="51"/>
      <c r="BA141" s="51"/>
      <c r="BB141" s="51"/>
      <c r="BC141" s="51"/>
      <c r="BD141" s="51"/>
      <c r="BE141" s="51"/>
      <c r="BF141" s="92"/>
      <c r="BG141" s="92"/>
      <c r="BH141" s="92"/>
      <c r="BI141" s="92"/>
      <c r="BJ141" s="92"/>
      <c r="BK141" s="92"/>
      <c r="BL141" s="92"/>
      <c r="BN141" s="7" t="str">
        <f>IF(IFERROR(FIND("romatis",TableauJDG[[#This Row],[TYPE DE THÉ FR]]),0)=0,"","aromatisé")</f>
        <v>aromatisé</v>
      </c>
      <c r="BV141" s="10" t="str">
        <f t="shared" si="138"/>
        <v>Laissez-vous tenter par ce péché gourmand né de la rencontre des saveurs rondes et fruitées d’un thé noir indien avec les notes onctueuses et sucrées du caramel. Une irrésistible tentation à déguster et partager sans culpabilité tout au long de la jo</v>
      </c>
      <c r="BW141" s="10" t="str">
        <f t="shared" si="139"/>
        <v>urnée…</v>
      </c>
      <c r="BX141" s="10" t="str">
        <f t="shared" si="112"/>
        <v/>
      </c>
      <c r="BY141" s="10" t="str">
        <f t="shared" si="113"/>
        <v/>
      </c>
      <c r="BZ141" s="10" t="str">
        <f t="shared" si="114"/>
        <v>Ingrédients : thé noir*, arômes naturels de (caramel* 7%, vanille*), morceaux de caramel* 5 % (sucre de canne*, sirop de glucose*, beurre de cacao*, poudre de lait de coco*, protéine de pois*, dextrose*, fleur de sel, arôme naturel de vanille bourbon</v>
      </c>
      <c r="CA141" s="10" t="str">
        <f t="shared" si="115"/>
        <v>*, lécithine de tournesol*).*Issu de l'agriculture biologique.
Informations nutritionnelles moyennes pour 100 ml : Energie 3 kJ/1 kcal. Contient des quantités négligeables de matières grasses dont acides gras saturés, de glucides dont sucres, de prot</v>
      </c>
      <c r="CB141" s="10" t="str">
        <f t="shared" si="116"/>
        <v>éines et de sel.</v>
      </c>
      <c r="CC141" s="10" t="str">
        <f t="shared" si="117"/>
        <v/>
      </c>
      <c r="CD141" s="10" t="str">
        <f t="shared" si="118"/>
        <v>/</v>
      </c>
      <c r="CE141" s="10" t="str">
        <f t="shared" si="119"/>
        <v/>
      </c>
      <c r="CF141" s="10" t="str">
        <f t="shared" si="120"/>
        <v/>
      </c>
      <c r="CG141" s="10" t="str">
        <f t="shared" si="121"/>
        <v/>
      </c>
      <c r="CH141" s="10" t="str">
        <f t="shared" si="122"/>
        <v>Membre certifié World Fair Trade Organization, Les Jardins de Gaïa s’engagent pour un commerce plus juste et répondent aux exigences du commerce équitable. Pour en savoir plus : www.wfto.com.</v>
      </c>
      <c r="CI141" s="10" t="str">
        <f t="shared" si="123"/>
        <v/>
      </c>
      <c r="CJ141" s="10" t="str">
        <f t="shared" si="124"/>
        <v/>
      </c>
      <c r="CK141" s="10" t="str">
        <f t="shared" si="125"/>
        <v/>
      </c>
      <c r="CL141" s="10" t="str">
        <f t="shared" si="126"/>
        <v>Let yourself be tempted by this Caramel break born of the meeting of the round, fruity flavours of Indian black tea with the smooth, sweet notes of caramel. An irresistible temptation to enjoy and share guilt-free throughout the day…</v>
      </c>
      <c r="CM141" s="10" t="str">
        <f t="shared" si="127"/>
        <v/>
      </c>
      <c r="CN141" s="10" t="str">
        <f t="shared" si="128"/>
        <v/>
      </c>
      <c r="CO141" s="10" t="str">
        <f t="shared" si="129"/>
        <v/>
      </c>
      <c r="CP141" s="10" t="str">
        <f t="shared" si="130"/>
        <v>Ingredients: black tea*, natural (caramel* 7%, vanilla*) flavourings, caramel pieces* 5 % (cane sugar*, glucose syrup*, cocoa butter*, coconut milk powder*, pea protein*, dextrose*, salt (fleur de sel), natural Bourbon vanilla flavouring*, sunflowe</v>
      </c>
      <c r="CQ141" s="10" t="str">
        <f t="shared" si="131"/>
        <v>r lecithins powder*). *From organic farming.
Nutritional information per 100 ml: energy 3kJ/1kcal. This infusion contains negligible amounts of fat such as saturated fat, and of carbohydrates including sugars, proteins and salt.</v>
      </c>
      <c r="CR141" s="10" t="str">
        <f t="shared" si="132"/>
        <v/>
      </c>
      <c r="CS141" s="10" t="str">
        <f t="shared" si="133"/>
        <v/>
      </c>
      <c r="CT141" s="10" t="str">
        <f t="shared" si="134"/>
        <v/>
      </c>
      <c r="CU141" s="10" t="str">
        <f t="shared" si="135"/>
        <v/>
      </c>
      <c r="CV141" s="10" t="str">
        <f t="shared" si="136"/>
        <v/>
      </c>
      <c r="CW141" s="10" t="str">
        <f t="shared" si="137"/>
        <v/>
      </c>
    </row>
    <row r="142" spans="1:101" ht="78">
      <c r="A142" s="129" t="s">
        <v>713</v>
      </c>
      <c r="B142" s="9" t="s">
        <v>26</v>
      </c>
      <c r="C142" s="9"/>
      <c r="D142" s="8" t="s">
        <v>710</v>
      </c>
      <c r="E142" s="9" t="s">
        <v>711</v>
      </c>
      <c r="F142" s="9" t="s">
        <v>57</v>
      </c>
      <c r="G142" s="9" t="s">
        <v>58</v>
      </c>
      <c r="H142" s="10" t="s">
        <v>5</v>
      </c>
      <c r="I142" s="10" t="s">
        <v>6</v>
      </c>
      <c r="J142" s="10" t="s">
        <v>29</v>
      </c>
      <c r="K142" s="10" t="s">
        <v>29</v>
      </c>
      <c r="L142" s="10" t="s">
        <v>29</v>
      </c>
      <c r="M142" s="10" t="s">
        <v>29</v>
      </c>
      <c r="N142" s="10" t="s">
        <v>37</v>
      </c>
      <c r="O142" s="9"/>
      <c r="P142" s="9" t="s">
        <v>712</v>
      </c>
      <c r="Q142" s="57" t="s">
        <v>1190</v>
      </c>
      <c r="R142" s="57"/>
      <c r="S142" s="9"/>
      <c r="T142" s="24" t="s">
        <v>1191</v>
      </c>
      <c r="U142" s="24"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42" s="9" t="s">
        <v>29</v>
      </c>
      <c r="W142" s="9" t="s">
        <v>31</v>
      </c>
      <c r="X142" s="10">
        <v>100</v>
      </c>
      <c r="Y142" s="19" t="s">
        <v>59</v>
      </c>
      <c r="Z142" s="19">
        <v>75</v>
      </c>
      <c r="AA142" s="10">
        <v>2</v>
      </c>
      <c r="AB142" s="10">
        <v>50</v>
      </c>
      <c r="AC142" s="12">
        <v>3582810868720</v>
      </c>
      <c r="AD142" s="10" t="s">
        <v>29</v>
      </c>
      <c r="AE142" s="10" t="s">
        <v>1192</v>
      </c>
      <c r="AF142" s="10" t="s">
        <v>1192</v>
      </c>
      <c r="AG142" s="10" t="s">
        <v>1193</v>
      </c>
      <c r="AH142" s="13" t="s">
        <v>790</v>
      </c>
      <c r="AI142" s="54" t="s">
        <v>776</v>
      </c>
      <c r="AJ142" s="54" t="s">
        <v>776</v>
      </c>
      <c r="AK142" s="55">
        <v>45665</v>
      </c>
      <c r="AL142" s="10"/>
      <c r="AM142" s="10" t="s">
        <v>1619</v>
      </c>
      <c r="AN142" s="10"/>
      <c r="AO142" s="10"/>
      <c r="AP142" s="10"/>
      <c r="AQ142" s="51" t="s">
        <v>1357</v>
      </c>
      <c r="AR142" s="51" t="s">
        <v>1358</v>
      </c>
      <c r="AS142" s="51" t="s">
        <v>1555</v>
      </c>
      <c r="AT142" s="51"/>
      <c r="AU142" s="63" t="s">
        <v>1359</v>
      </c>
      <c r="AV142" s="52" t="s">
        <v>1360</v>
      </c>
      <c r="AW142" s="52"/>
      <c r="AX142" s="51"/>
      <c r="AY142" s="51"/>
      <c r="AZ142" s="51"/>
      <c r="BA142" s="51"/>
      <c r="BB142" s="51"/>
      <c r="BC142" s="51"/>
      <c r="BD142" s="51"/>
      <c r="BE142" s="51"/>
      <c r="BF142" s="92"/>
      <c r="BG142" s="92"/>
      <c r="BH142" s="92"/>
      <c r="BI142" s="92"/>
      <c r="BJ142" s="92"/>
      <c r="BK142" s="92"/>
      <c r="BL142" s="92"/>
      <c r="BN142" s="7" t="str">
        <f>IF(IFERROR(FIND("romatis",TableauJDG[[#This Row],[TYPE DE THÉ FR]]),0)=0,"","aromatisé")</f>
        <v>aromatisé</v>
      </c>
      <c r="BV142" s="10" t="str">
        <f t="shared" si="138"/>
        <v>Ce clin d’œil gourmand au célèbre dessert associe la fraîcheur du thé vert, le velouté de la pêche, les notes acidulées de la framboise et la douceur de la vanille. Une recette à la saveur intense et longue en bouche, à déguster chaude ou glacée. Irr</v>
      </c>
      <c r="BW142" s="10" t="str">
        <f t="shared" si="139"/>
        <v>ésistible !</v>
      </c>
      <c r="BX142" s="10" t="str">
        <f t="shared" si="112"/>
        <v/>
      </c>
      <c r="BY142" s="10" t="str">
        <f t="shared" si="113"/>
        <v/>
      </c>
      <c r="BZ142" s="10" t="str">
        <f t="shared" si="114"/>
        <v>Ingrédients : thé vert*, arômes naturels de (pêche* 4%, framboise* 2%, fraise*), morceaux de fruits (pêche*, framboise*) 3%, extrait de vanille* 2%. *Issu de l’agriculture biologique.</v>
      </c>
      <c r="CA142" s="10" t="str">
        <f t="shared" si="115"/>
        <v/>
      </c>
      <c r="CB142" s="10" t="str">
        <f t="shared" si="116"/>
        <v/>
      </c>
      <c r="CC142" s="10" t="str">
        <f t="shared" si="117"/>
        <v/>
      </c>
      <c r="CD142" s="10" t="str">
        <f t="shared" si="118"/>
        <v>/</v>
      </c>
      <c r="CE142" s="10" t="str">
        <f t="shared" si="119"/>
        <v/>
      </c>
      <c r="CF142" s="10" t="str">
        <f t="shared" si="120"/>
        <v/>
      </c>
      <c r="CG142" s="10" t="str">
        <f t="shared" si="121"/>
        <v/>
      </c>
      <c r="CH142" s="10" t="str">
        <f t="shared" si="122"/>
        <v>Membre certifié World Fair Trade Organization, Les Jardins de Gaïa s’engagent pour un commerce plus juste et répondent aux exigences du commerce équitable. Pour en savoir plus : www.wfto.com.</v>
      </c>
      <c r="CI142" s="10" t="str">
        <f t="shared" si="123"/>
        <v/>
      </c>
      <c r="CJ142" s="10" t="str">
        <f t="shared" si="124"/>
        <v/>
      </c>
      <c r="CK142" s="10" t="str">
        <f t="shared" si="125"/>
        <v/>
      </c>
      <c r="CL142" s="10" t="str">
        <f t="shared" si="126"/>
        <v>This epicurean nod to the famous dessert combines the freshness of green tea, the velvety smoothness of peach, the tangy notes of raspberry and the sweetness of vanilla. A recipe with an intense, long-lasting flavour, to be enjoyed hot or iced. Irres</v>
      </c>
      <c r="CM142" s="10" t="str">
        <f t="shared" si="127"/>
        <v>istible!</v>
      </c>
      <c r="CN142" s="10" t="str">
        <f t="shared" si="128"/>
        <v/>
      </c>
      <c r="CO142" s="10" t="str">
        <f t="shared" si="129"/>
        <v/>
      </c>
      <c r="CP142" s="10" t="str">
        <f t="shared" si="130"/>
        <v>Ingredients: green tea*, natural (peach* 4%, raspberry* 2%, strawberry*) flavourings, fruit pieces (peach*, raspberry*) 3%, vanilla extract* 2%. *From organic farming.</v>
      </c>
      <c r="CQ142" s="10" t="str">
        <f t="shared" si="131"/>
        <v/>
      </c>
      <c r="CR142" s="10" t="str">
        <f t="shared" si="132"/>
        <v/>
      </c>
      <c r="CS142" s="10" t="str">
        <f t="shared" si="133"/>
        <v/>
      </c>
      <c r="CT142" s="10" t="str">
        <f t="shared" si="134"/>
        <v/>
      </c>
      <c r="CU142" s="10" t="str">
        <f t="shared" si="135"/>
        <v/>
      </c>
      <c r="CV142" s="10" t="str">
        <f t="shared" si="136"/>
        <v/>
      </c>
      <c r="CW142" s="10" t="str">
        <f t="shared" si="137"/>
        <v/>
      </c>
    </row>
    <row r="143" spans="1:101" ht="78">
      <c r="A143" s="129" t="s">
        <v>716</v>
      </c>
      <c r="B143" s="9" t="s">
        <v>26</v>
      </c>
      <c r="C143" s="9"/>
      <c r="D143" s="8" t="s">
        <v>714</v>
      </c>
      <c r="E143" s="9" t="s">
        <v>129</v>
      </c>
      <c r="F143" s="9" t="s">
        <v>57</v>
      </c>
      <c r="G143" s="9" t="s">
        <v>58</v>
      </c>
      <c r="H143" s="10" t="s">
        <v>5</v>
      </c>
      <c r="I143" s="10" t="s">
        <v>6</v>
      </c>
      <c r="J143" s="10" t="s">
        <v>29</v>
      </c>
      <c r="K143" s="10" t="s">
        <v>29</v>
      </c>
      <c r="L143" s="10" t="s">
        <v>29</v>
      </c>
      <c r="M143" s="10" t="s">
        <v>29</v>
      </c>
      <c r="N143" s="10" t="s">
        <v>37</v>
      </c>
      <c r="O143" s="9"/>
      <c r="P143" s="9" t="s">
        <v>715</v>
      </c>
      <c r="Q143" s="26" t="s">
        <v>1194</v>
      </c>
      <c r="R143" s="26"/>
      <c r="S143" s="9"/>
      <c r="T143" s="24" t="s">
        <v>1195</v>
      </c>
      <c r="U143" s="24"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43" s="9" t="s">
        <v>29</v>
      </c>
      <c r="W143" s="9" t="s">
        <v>31</v>
      </c>
      <c r="X143" s="10">
        <v>100</v>
      </c>
      <c r="Y143" s="19" t="s">
        <v>59</v>
      </c>
      <c r="Z143" s="19">
        <v>75</v>
      </c>
      <c r="AA143" s="10">
        <v>2</v>
      </c>
      <c r="AB143" s="10">
        <v>50</v>
      </c>
      <c r="AC143" s="12">
        <v>3582810868423</v>
      </c>
      <c r="AD143" s="10" t="s">
        <v>29</v>
      </c>
      <c r="AE143" s="10" t="s">
        <v>1736</v>
      </c>
      <c r="AF143" s="10" t="s">
        <v>1196</v>
      </c>
      <c r="AG143" s="10" t="s">
        <v>1197</v>
      </c>
      <c r="AH143" s="13" t="s">
        <v>790</v>
      </c>
      <c r="AI143" s="54" t="s">
        <v>776</v>
      </c>
      <c r="AJ143" s="54" t="s">
        <v>776</v>
      </c>
      <c r="AK143" s="55">
        <v>45645</v>
      </c>
      <c r="AL143" s="10"/>
      <c r="AM143" s="10" t="s">
        <v>1610</v>
      </c>
      <c r="AN143" s="10"/>
      <c r="AO143" s="10"/>
      <c r="AP143" s="10"/>
      <c r="AQ143" s="51" t="s">
        <v>1609</v>
      </c>
      <c r="AR143" s="51" t="s">
        <v>1354</v>
      </c>
      <c r="AS143" s="51" t="s">
        <v>1555</v>
      </c>
      <c r="AT143" s="87" t="e">
        <f>VLOOKUP(A143,TRADS,14,0)</f>
        <v>#REF!</v>
      </c>
      <c r="AU143" s="63" t="s">
        <v>1355</v>
      </c>
      <c r="AV143" s="52" t="s">
        <v>1356</v>
      </c>
      <c r="AW143" s="52"/>
      <c r="AX143" s="68" t="s">
        <v>29</v>
      </c>
      <c r="AY143" s="51"/>
      <c r="AZ143" s="51"/>
      <c r="BA143" s="51"/>
      <c r="BB143" s="51"/>
      <c r="BC143" s="51"/>
      <c r="BD143" s="51"/>
      <c r="BE143" s="51"/>
      <c r="BF143" s="92"/>
      <c r="BG143" s="92"/>
      <c r="BH143" s="92"/>
      <c r="BI143" s="92"/>
      <c r="BJ143" s="92"/>
      <c r="BK143" s="92"/>
      <c r="BL143" s="92"/>
      <c r="BN143" s="7" t="str">
        <f>IF(IFERROR(FIND("romatis",TableauJDG[[#This Row],[TYPE DE THÉ FR]]),0)=0,"","aromatisé")</f>
        <v>aromatisé</v>
      </c>
      <c r="BV143" s="10" t="str">
        <f t="shared" si="138"/>
        <v>Cette recette qui marie la fraîcheur du thé vert aux saveurs suaves et tendres de la pêche et de l’abricot a comme un avant-goût d’été. Elle évoque des moments délicieux, partagés autour d’une bonne salade de fruits par une belle journée ensoleillée.</v>
      </c>
      <c r="BW143" s="10" t="str">
        <f t="shared" si="139"/>
        <v>..</v>
      </c>
      <c r="BX143" s="10" t="str">
        <f t="shared" si="112"/>
        <v/>
      </c>
      <c r="BY143" s="10" t="str">
        <f t="shared" si="113"/>
        <v/>
      </c>
      <c r="BZ143" s="10" t="str">
        <f t="shared" si="114"/>
        <v>Ingrédients : thé vert*, arômes naturels de (pêche*, abricot*) 8%, morceaux de fruits (pêche*, abricot*) 2%, pétales de souci*. *Issu de l'agriculture biologique.</v>
      </c>
      <c r="CA143" s="10" t="str">
        <f t="shared" si="115"/>
        <v/>
      </c>
      <c r="CB143" s="10" t="str">
        <f t="shared" si="116"/>
        <v/>
      </c>
      <c r="CC143" s="10" t="str">
        <f t="shared" si="117"/>
        <v/>
      </c>
      <c r="CD143" s="10" t="str">
        <f t="shared" si="118"/>
        <v>/</v>
      </c>
      <c r="CE143" s="10" t="str">
        <f t="shared" si="119"/>
        <v/>
      </c>
      <c r="CF143" s="10" t="str">
        <f t="shared" si="120"/>
        <v/>
      </c>
      <c r="CG143" s="10" t="str">
        <f t="shared" si="121"/>
        <v/>
      </c>
      <c r="CH143" s="10" t="str">
        <f t="shared" si="122"/>
        <v>Membre certifié World Fair Trade Organization, Les Jardins de Gaïa s’engagent pour un commerce plus juste et répondent aux exigences du commerce équitable. Pour en savoir plus : www.wfto.com.</v>
      </c>
      <c r="CI143" s="10" t="str">
        <f t="shared" si="123"/>
        <v/>
      </c>
      <c r="CJ143" s="10" t="str">
        <f t="shared" si="124"/>
        <v/>
      </c>
      <c r="CK143" s="10" t="str">
        <f t="shared" si="125"/>
        <v/>
      </c>
      <c r="CL143" s="10" t="str">
        <f t="shared" si="126"/>
        <v>This recipe, which combines the freshness of green tea with the smooth, tender flavours of peach and apricot, has a taste of summer. It evokes delicious moments shared over a good fruit salad on a sunny day...</v>
      </c>
      <c r="CM143" s="10" t="str">
        <f t="shared" si="127"/>
        <v/>
      </c>
      <c r="CN143" s="10" t="str">
        <f t="shared" si="128"/>
        <v/>
      </c>
      <c r="CO143" s="10" t="str">
        <f t="shared" si="129"/>
        <v/>
      </c>
      <c r="CP143" s="10" t="str">
        <f t="shared" si="130"/>
        <v>Ingredients: green tea*, natural (peach*, apricot*) flavourings 8%, fruit pieces (peach*, apricot*) 2%, marigold petals*. *From organic farming.</v>
      </c>
      <c r="CQ143" s="10" t="str">
        <f t="shared" si="131"/>
        <v/>
      </c>
      <c r="CR143" s="10" t="str">
        <f t="shared" si="132"/>
        <v/>
      </c>
      <c r="CS143" s="10" t="str">
        <f t="shared" si="133"/>
        <v/>
      </c>
      <c r="CT143" s="10" t="str">
        <f t="shared" si="134"/>
        <v>/</v>
      </c>
      <c r="CU143" s="10" t="str">
        <f t="shared" si="135"/>
        <v/>
      </c>
      <c r="CV143" s="10" t="str">
        <f t="shared" si="136"/>
        <v/>
      </c>
      <c r="CW143" s="10" t="str">
        <f t="shared" si="137"/>
        <v/>
      </c>
    </row>
    <row r="144" spans="1:101" ht="100.8">
      <c r="A144" s="129" t="s">
        <v>718</v>
      </c>
      <c r="B144" s="9" t="s">
        <v>782</v>
      </c>
      <c r="C144" s="9"/>
      <c r="D144" s="8" t="s">
        <v>1198</v>
      </c>
      <c r="E144" s="9" t="s">
        <v>29</v>
      </c>
      <c r="F144" s="9" t="s">
        <v>27</v>
      </c>
      <c r="G144" s="9" t="s">
        <v>637</v>
      </c>
      <c r="H144" s="10" t="s">
        <v>5</v>
      </c>
      <c r="I144" s="10" t="s">
        <v>6</v>
      </c>
      <c r="J144" s="10" t="s">
        <v>29</v>
      </c>
      <c r="K144" s="10" t="s">
        <v>29</v>
      </c>
      <c r="L144" s="10" t="s">
        <v>29</v>
      </c>
      <c r="M144" s="10" t="s">
        <v>29</v>
      </c>
      <c r="N144" s="10" t="s">
        <v>638</v>
      </c>
      <c r="O144" s="9"/>
      <c r="P144" s="9" t="s">
        <v>717</v>
      </c>
      <c r="Q144" s="67" t="s">
        <v>1199</v>
      </c>
      <c r="R144" s="67" t="s">
        <v>1634</v>
      </c>
      <c r="S144" s="9"/>
      <c r="T144" s="9" t="s">
        <v>581</v>
      </c>
      <c r="U144"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44" s="9" t="s">
        <v>29</v>
      </c>
      <c r="W144" s="9" t="s">
        <v>31</v>
      </c>
      <c r="X144" s="10">
        <v>100</v>
      </c>
      <c r="Y144" s="11" t="s">
        <v>32</v>
      </c>
      <c r="Z144" s="19">
        <v>95</v>
      </c>
      <c r="AA144" s="10">
        <v>2</v>
      </c>
      <c r="AB144" s="10">
        <v>50</v>
      </c>
      <c r="AC144" s="12">
        <v>3582810254820</v>
      </c>
      <c r="AD144" s="10" t="s">
        <v>29</v>
      </c>
      <c r="AE144" s="10" t="s">
        <v>1200</v>
      </c>
      <c r="AF144" s="10" t="s">
        <v>1200</v>
      </c>
      <c r="AG144" s="10" t="s">
        <v>1201</v>
      </c>
      <c r="AH144" s="20"/>
      <c r="AI144" s="54" t="s">
        <v>776</v>
      </c>
      <c r="AJ144" s="54" t="s">
        <v>776</v>
      </c>
      <c r="AK144" s="55">
        <v>45663</v>
      </c>
      <c r="AL144" s="10"/>
      <c r="AM144" s="10"/>
      <c r="AN144" s="10"/>
      <c r="AO144" s="10"/>
      <c r="AP144" s="10"/>
      <c r="AQ144" s="51" t="s">
        <v>1504</v>
      </c>
      <c r="AR144" s="51"/>
      <c r="AS144" s="51" t="s">
        <v>1480</v>
      </c>
      <c r="AT144" s="51" t="s">
        <v>637</v>
      </c>
      <c r="AU144" s="132" t="s">
        <v>1505</v>
      </c>
      <c r="AV144" s="52" t="s">
        <v>741</v>
      </c>
      <c r="AW144" s="16" t="s">
        <v>1638</v>
      </c>
      <c r="AX144" s="51"/>
      <c r="AY144" s="51"/>
      <c r="AZ144" s="51"/>
      <c r="BA144" s="51"/>
      <c r="BB144" s="51"/>
      <c r="BC144" s="51"/>
      <c r="BD144" s="51"/>
      <c r="BE144" s="51"/>
      <c r="BF144" s="92"/>
      <c r="BG144" s="92"/>
      <c r="BH144" s="92"/>
      <c r="BI144" s="92"/>
      <c r="BJ144" s="92"/>
      <c r="BK144" s="92"/>
      <c r="BL144" s="92"/>
      <c r="BN144" s="7" t="str">
        <f>IF(IFERROR(FIND("romatis",TableauJDG[[#This Row],[TYPE DE THÉ FR]]),0)=0,"","aromatisé")</f>
        <v/>
      </c>
      <c r="BV144" s="10" t="str">
        <f t="shared" si="138"/>
        <v>Composé de nombreux bourgeons dorés joliment ourlés, ce thé noir du Laos aux parfums chocolatés est tout en gourmandise. Sa liqueur dense et cuivrée enveloppe délicieusement le palais avec ses notes de fruits cuits, de miel de fleurs sauvages, de can</v>
      </c>
      <c r="BW144" s="10" t="str">
        <f t="shared" si="139"/>
        <v>nelle, de crème brûlée vanillée… Enivrant !</v>
      </c>
      <c r="BX144" s="10" t="str">
        <f t="shared" si="112"/>
        <v/>
      </c>
      <c r="BY144" s="10" t="str">
        <f t="shared" si="113"/>
        <v/>
      </c>
      <c r="BZ144" s="10" t="str">
        <f t="shared" si="114"/>
        <v xml:space="preserve">Ingrédient : thé noir*. *Issu de l'agriculture biologique. </v>
      </c>
      <c r="CA144" s="10" t="str">
        <f t="shared" si="115"/>
        <v/>
      </c>
      <c r="CB144" s="10" t="str">
        <f t="shared" si="116"/>
        <v/>
      </c>
      <c r="CC144" s="10" t="str">
        <f t="shared" si="117"/>
        <v/>
      </c>
      <c r="CD144" s="10" t="str">
        <f t="shared" si="118"/>
        <v>/</v>
      </c>
      <c r="CE144" s="10" t="str">
        <f t="shared" si="119"/>
        <v/>
      </c>
      <c r="CF144" s="10" t="str">
        <f t="shared" si="120"/>
        <v/>
      </c>
      <c r="CG144" s="10" t="str">
        <f t="shared" si="121"/>
        <v/>
      </c>
      <c r="CH144" s="10" t="str">
        <f t="shared" si="122"/>
        <v>Membre certifié World Fair Trade Organization, Les Jardins de Gaïa s’engagent pour un commerce plus juste et répondent aux exigences du commerce équitable. Pour en savoir plus : www.wfto.com.</v>
      </c>
      <c r="CI144" s="10" t="str">
        <f t="shared" si="123"/>
        <v/>
      </c>
      <c r="CJ144" s="10" t="str">
        <f t="shared" si="124"/>
        <v/>
      </c>
      <c r="CK144" s="10" t="str">
        <f t="shared" si="125"/>
        <v/>
      </c>
      <c r="CL144" s="10" t="str">
        <f t="shared" si="126"/>
        <v>With its many beautifully hemmed golden buds, this chocolate-flavoured black tea from Laos is a real delicacy. Its dense, coppery liquor deliciously envelops the palate with notes of cooked fruit, wildflower honey, cinnamon and vanilla crème brûlée..</v>
      </c>
      <c r="CM144" s="10" t="str">
        <f t="shared" si="127"/>
        <v>. Intoxicating!</v>
      </c>
      <c r="CN144" s="10" t="str">
        <f t="shared" si="128"/>
        <v/>
      </c>
      <c r="CO144" s="10" t="str">
        <f t="shared" si="129"/>
        <v/>
      </c>
      <c r="CP144" s="10" t="str">
        <f t="shared" si="130"/>
        <v>Ingredient: black tea*. *From organic farming.</v>
      </c>
      <c r="CQ144" s="10" t="str">
        <f t="shared" si="131"/>
        <v/>
      </c>
      <c r="CR144" s="10" t="str">
        <f t="shared" si="132"/>
        <v/>
      </c>
      <c r="CS144" s="10" t="str">
        <f t="shared" si="133"/>
        <v/>
      </c>
      <c r="CT144" s="10" t="str">
        <f t="shared" si="134"/>
        <v/>
      </c>
      <c r="CU144" s="10" t="str">
        <f t="shared" si="135"/>
        <v/>
      </c>
      <c r="CV144" s="10" t="str">
        <f t="shared" si="136"/>
        <v/>
      </c>
      <c r="CW144" s="10" t="str">
        <f t="shared" si="137"/>
        <v/>
      </c>
    </row>
    <row r="145" spans="1:101" ht="93.6">
      <c r="A145" s="129" t="s">
        <v>722</v>
      </c>
      <c r="B145" s="9" t="s">
        <v>26</v>
      </c>
      <c r="C145" s="9"/>
      <c r="D145" s="8" t="s">
        <v>719</v>
      </c>
      <c r="E145" s="9" t="s">
        <v>720</v>
      </c>
      <c r="F145" s="9" t="s">
        <v>35</v>
      </c>
      <c r="G145" s="9" t="s">
        <v>94</v>
      </c>
      <c r="H145" s="10" t="s">
        <v>5</v>
      </c>
      <c r="I145" s="10" t="s">
        <v>6</v>
      </c>
      <c r="J145" s="10" t="s">
        <v>29</v>
      </c>
      <c r="K145" s="10" t="s">
        <v>29</v>
      </c>
      <c r="L145" s="10" t="s">
        <v>29</v>
      </c>
      <c r="M145" s="10" t="s">
        <v>29</v>
      </c>
      <c r="N145" s="10" t="s">
        <v>37</v>
      </c>
      <c r="O145" s="9"/>
      <c r="P145" s="9" t="s">
        <v>721</v>
      </c>
      <c r="Q145" s="9" t="s">
        <v>1202</v>
      </c>
      <c r="R145" s="9"/>
      <c r="S145" s="9"/>
      <c r="T145" s="24" t="s">
        <v>1640</v>
      </c>
      <c r="U145" s="24"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45" s="9" t="s">
        <v>29</v>
      </c>
      <c r="W145" s="9" t="s">
        <v>31</v>
      </c>
      <c r="X145" s="10">
        <v>100</v>
      </c>
      <c r="Y145" s="11" t="s">
        <v>32</v>
      </c>
      <c r="Z145" s="19">
        <v>90</v>
      </c>
      <c r="AA145" s="10">
        <v>2</v>
      </c>
      <c r="AB145" s="10">
        <v>50</v>
      </c>
      <c r="AC145" s="12">
        <v>3582810473221</v>
      </c>
      <c r="AD145" s="10" t="s">
        <v>29</v>
      </c>
      <c r="AE145" s="10" t="s">
        <v>1203</v>
      </c>
      <c r="AF145" s="10" t="s">
        <v>1203</v>
      </c>
      <c r="AG145" s="10" t="s">
        <v>1204</v>
      </c>
      <c r="AH145" s="13" t="s">
        <v>38</v>
      </c>
      <c r="AI145" s="54" t="s">
        <v>776</v>
      </c>
      <c r="AJ145" s="54" t="s">
        <v>776</v>
      </c>
      <c r="AK145" s="55">
        <v>45674</v>
      </c>
      <c r="AL145" s="10"/>
      <c r="AM145" s="10">
        <v>25014</v>
      </c>
      <c r="AN145" s="105">
        <v>45931</v>
      </c>
      <c r="AO145" s="10"/>
      <c r="AP145" s="10"/>
      <c r="AQ145" s="51" t="s">
        <v>719</v>
      </c>
      <c r="AR145" s="51" t="s">
        <v>1389</v>
      </c>
      <c r="AS145" s="51" t="s">
        <v>1549</v>
      </c>
      <c r="AT145" s="51" t="s">
        <v>1351</v>
      </c>
      <c r="AU145" s="96" t="s">
        <v>1390</v>
      </c>
      <c r="AV145" s="82" t="s">
        <v>1391</v>
      </c>
      <c r="AW145" s="52"/>
      <c r="AX145" s="51"/>
      <c r="AY145" s="51"/>
      <c r="AZ145" s="51"/>
      <c r="BA145" s="51"/>
      <c r="BB145" s="51"/>
      <c r="BC145" s="51"/>
      <c r="BD145" s="51"/>
      <c r="BE145" s="51"/>
      <c r="BF145" s="92"/>
      <c r="BG145" s="92"/>
      <c r="BH145" s="92"/>
      <c r="BI145" s="92"/>
      <c r="BJ145" s="92"/>
      <c r="BK145" s="92"/>
      <c r="BL145" s="92"/>
      <c r="BN145" s="7" t="str">
        <f>IF(IFERROR(FIND("romatis",TableauJDG[[#This Row],[TYPE DE THÉ FR]]),0)=0,"","aromatisé")</f>
        <v>aromatisé</v>
      </c>
      <c r="BV145" s="10" t="str">
        <f t="shared" si="138"/>
        <v>L’union des saveurs fruitées et ensoleillées de la bergamote et d'un thé noir fumé de manière subtile, sur un lit de pétales de roses, est une invitation au rêve, celui de la Perse éternelle des grands poètes. Un thé né pour célébrer l’amour et la be</v>
      </c>
      <c r="BW145" s="10" t="str">
        <f t="shared" si="139"/>
        <v>auté des mots pour le décrire.</v>
      </c>
      <c r="BX145" s="10" t="str">
        <f t="shared" si="112"/>
        <v/>
      </c>
      <c r="BY145" s="10" t="str">
        <f t="shared" si="113"/>
        <v/>
      </c>
      <c r="BZ145" s="10" t="str">
        <f t="shared" si="114"/>
        <v xml:space="preserve">Ingrédients : thé noir fumé*, pétales de rose*, lavande*, huile essentielle de bergamote* 2%. *Issu de l'agriculture biologique. </v>
      </c>
      <c r="CA145" s="10" t="str">
        <f t="shared" si="115"/>
        <v/>
      </c>
      <c r="CB145" s="10" t="str">
        <f t="shared" si="116"/>
        <v/>
      </c>
      <c r="CC145" s="10" t="str">
        <f t="shared" si="117"/>
        <v/>
      </c>
      <c r="CD145" s="10" t="str">
        <f t="shared" si="118"/>
        <v>/</v>
      </c>
      <c r="CE145" s="10" t="str">
        <f t="shared" si="119"/>
        <v/>
      </c>
      <c r="CF145" s="10" t="str">
        <f t="shared" si="120"/>
        <v/>
      </c>
      <c r="CG145" s="10" t="str">
        <f t="shared" si="121"/>
        <v/>
      </c>
      <c r="CH145" s="10" t="str">
        <f t="shared" si="122"/>
        <v>Membre certifié World Fair Trade Organization, Les Jardins de Gaïa s’engagent pour un commerce plus juste et répondent aux exigences du commerce équitable. Pour en savoir plus : www.wfto.com.</v>
      </c>
      <c r="CI145" s="10" t="str">
        <f t="shared" si="123"/>
        <v/>
      </c>
      <c r="CJ145" s="10" t="str">
        <f t="shared" si="124"/>
        <v/>
      </c>
      <c r="CK145" s="10" t="str">
        <f t="shared" si="125"/>
        <v/>
      </c>
      <c r="CL145" s="10" t="str">
        <f t="shared" si="126"/>
        <v>The union of the fruity, sunny flavours of bergamot and subtly smoked black tea, on a bed of rose petals, is an invitation to dream, of the eternal Persia of the great poets. A tea born to celebrate love and the beauty of words to describe it.</v>
      </c>
      <c r="CM145" s="10" t="str">
        <f t="shared" si="127"/>
        <v/>
      </c>
      <c r="CN145" s="10" t="str">
        <f t="shared" si="128"/>
        <v/>
      </c>
      <c r="CO145" s="10" t="str">
        <f t="shared" si="129"/>
        <v/>
      </c>
      <c r="CP145" s="10" t="str">
        <f t="shared" si="130"/>
        <v xml:space="preserve">Ingredients: smoked black tea*, rose petals*, lavender*, bergamot essential oil* 2%. *From organic farming. </v>
      </c>
      <c r="CQ145" s="10" t="str">
        <f t="shared" si="131"/>
        <v/>
      </c>
      <c r="CR145" s="10" t="str">
        <f t="shared" si="132"/>
        <v/>
      </c>
      <c r="CS145" s="10" t="str">
        <f t="shared" si="133"/>
        <v/>
      </c>
      <c r="CT145" s="10" t="str">
        <f t="shared" si="134"/>
        <v/>
      </c>
      <c r="CU145" s="10" t="str">
        <f t="shared" si="135"/>
        <v/>
      </c>
      <c r="CV145" s="10" t="str">
        <f t="shared" si="136"/>
        <v/>
      </c>
      <c r="CW145" s="10" t="str">
        <f t="shared" si="137"/>
        <v/>
      </c>
    </row>
    <row r="146" spans="1:101" ht="100.8">
      <c r="A146" s="129" t="s">
        <v>727</v>
      </c>
      <c r="B146" s="9" t="s">
        <v>26</v>
      </c>
      <c r="C146" s="9" t="s">
        <v>39</v>
      </c>
      <c r="D146" s="8" t="s">
        <v>725</v>
      </c>
      <c r="E146" s="9" t="s">
        <v>1205</v>
      </c>
      <c r="F146" s="9" t="s">
        <v>40</v>
      </c>
      <c r="G146" s="56" t="s">
        <v>29</v>
      </c>
      <c r="H146" s="10" t="s">
        <v>5</v>
      </c>
      <c r="I146" s="10" t="s">
        <v>29</v>
      </c>
      <c r="J146" s="10" t="s">
        <v>29</v>
      </c>
      <c r="K146" s="10" t="s">
        <v>29</v>
      </c>
      <c r="L146" s="10" t="s">
        <v>29</v>
      </c>
      <c r="M146" s="10" t="s">
        <v>29</v>
      </c>
      <c r="N146" s="10" t="s">
        <v>83</v>
      </c>
      <c r="O146" s="9"/>
      <c r="P146" s="9" t="s">
        <v>726</v>
      </c>
      <c r="Q146" s="26" t="s">
        <v>1206</v>
      </c>
      <c r="R146" s="26"/>
      <c r="S146" s="9"/>
      <c r="T146" s="9" t="s">
        <v>1207</v>
      </c>
      <c r="U146"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46" s="8" t="s">
        <v>29</v>
      </c>
      <c r="W146" s="9" t="s">
        <v>29</v>
      </c>
      <c r="X146" s="10">
        <v>50</v>
      </c>
      <c r="Y146" s="11" t="s">
        <v>42</v>
      </c>
      <c r="Z146" s="19">
        <v>95</v>
      </c>
      <c r="AA146" s="10">
        <v>2</v>
      </c>
      <c r="AB146" s="10">
        <v>25</v>
      </c>
      <c r="AC146" s="12">
        <v>3582811005018</v>
      </c>
      <c r="AD146" s="10" t="s">
        <v>29</v>
      </c>
      <c r="AE146" s="10" t="s">
        <v>1208</v>
      </c>
      <c r="AF146" s="10" t="s">
        <v>1208</v>
      </c>
      <c r="AG146" s="10" t="s">
        <v>29</v>
      </c>
      <c r="AH146" s="20"/>
      <c r="AI146" s="54" t="s">
        <v>776</v>
      </c>
      <c r="AJ146" s="54" t="s">
        <v>776</v>
      </c>
      <c r="AK146" s="55">
        <v>45646</v>
      </c>
      <c r="AL146" s="10" t="s">
        <v>774</v>
      </c>
      <c r="AM146" s="54">
        <v>24337</v>
      </c>
      <c r="AN146" s="101"/>
      <c r="AO146" s="10"/>
      <c r="AP146" s="10"/>
      <c r="AQ146" s="51" t="s">
        <v>755</v>
      </c>
      <c r="AR146" s="51" t="s">
        <v>1424</v>
      </c>
      <c r="AS146" s="51" t="s">
        <v>1608</v>
      </c>
      <c r="AT146" s="87" t="e">
        <f>VLOOKUP(A146,TRADS,14,0)</f>
        <v>#REF!</v>
      </c>
      <c r="AU146" s="138" t="s">
        <v>1425</v>
      </c>
      <c r="AV146" s="16" t="s">
        <v>1426</v>
      </c>
      <c r="AW146" s="16"/>
      <c r="AX146" s="68" t="s">
        <v>29</v>
      </c>
      <c r="AY146" s="51"/>
      <c r="AZ146" s="51"/>
      <c r="BA146" s="51"/>
      <c r="BB146" s="51"/>
      <c r="BC146" s="51"/>
      <c r="BD146" s="51"/>
      <c r="BE146" s="51"/>
      <c r="BF146" s="92"/>
      <c r="BG146" s="92"/>
      <c r="BH146" s="92"/>
      <c r="BI146" s="92"/>
      <c r="BJ146" s="92"/>
      <c r="BK146" s="92"/>
      <c r="BL146" s="92"/>
      <c r="BN146" s="7" t="str">
        <f>IF(IFERROR(FIND("romatis",TableauJDG[[#This Row],[TYPE DE THÉ FR]]),0)=0,"","aromatisé")</f>
        <v/>
      </c>
      <c r="BV146" s="10" t="str">
        <f t="shared" si="138"/>
        <v>Cette infusion est la compagne idéale d’un petit déjeuner sain et équilibré ! Tout en fraîcheur, ses notes légèrement mentholées sont la clé d’un réveil en douceur pour démarrer la journée du bon pied.</v>
      </c>
      <c r="BW146" s="10" t="str">
        <f t="shared" si="139"/>
        <v/>
      </c>
      <c r="BX146" s="10" t="str">
        <f t="shared" si="112"/>
        <v/>
      </c>
      <c r="BY146" s="10" t="str">
        <f t="shared" si="113"/>
        <v/>
      </c>
      <c r="BZ146" s="10" t="str">
        <f t="shared" si="114"/>
        <v>Ingrédients : feuilles de mûrier* (Rubus fruticosus) 30%, menthe poivrée* (Mentha piperita) 30%, feuilles de framboisier* (Rubus idaeus) 20%, feuilles de fraisier* (Fragaria vescae), pétales de souci* (Calendula officinalis), pétales de bleuet* (Cent</v>
      </c>
      <c r="CA146" s="10" t="str">
        <f t="shared" si="115"/>
        <v>aurea cyanus). *Issu de l'agriculture biologique.</v>
      </c>
      <c r="CB146" s="10" t="str">
        <f t="shared" si="116"/>
        <v/>
      </c>
      <c r="CC146" s="10" t="str">
        <f t="shared" si="117"/>
        <v/>
      </c>
      <c r="CD146" s="10" t="str">
        <f t="shared" si="118"/>
        <v>/</v>
      </c>
      <c r="CE146" s="10" t="str">
        <f t="shared" si="119"/>
        <v/>
      </c>
      <c r="CF146" s="10" t="str">
        <f t="shared" si="120"/>
        <v/>
      </c>
      <c r="CG146" s="10" t="str">
        <f t="shared" si="121"/>
        <v/>
      </c>
      <c r="CH146" s="10" t="str">
        <f t="shared" si="122"/>
        <v>/</v>
      </c>
      <c r="CI146" s="10" t="str">
        <f t="shared" si="123"/>
        <v/>
      </c>
      <c r="CJ146" s="10" t="str">
        <f t="shared" si="124"/>
        <v/>
      </c>
      <c r="CK146" s="10" t="str">
        <f t="shared" si="125"/>
        <v/>
      </c>
      <c r="CL146" s="10" t="str">
        <f t="shared" si="126"/>
        <v>This infusion is the ideal companion for a healthy, balanced breakfast! Its fresh, slightly mentholated notes are the key to waking up gently and starting the day on the right foot.</v>
      </c>
      <c r="CM146" s="10" t="str">
        <f t="shared" si="127"/>
        <v/>
      </c>
      <c r="CN146" s="10" t="str">
        <f t="shared" si="128"/>
        <v/>
      </c>
      <c r="CO146" s="10" t="str">
        <f t="shared" si="129"/>
        <v/>
      </c>
      <c r="CP146" s="10" t="str">
        <f t="shared" si="130"/>
        <v>Ingredients: blackberry leaves* 30% (Rubus fruticosus), peppermint* 30% (Mentha piperita), raspberry leaves* 20% (Rubus idaeus), strawberry leaves* (Fragaria vescae), marigold petals* (Calendula officinalis), cornflower petals* (Centaurea cyanus). *F</v>
      </c>
      <c r="CQ146" s="10" t="str">
        <f t="shared" si="131"/>
        <v>rom organic farming.</v>
      </c>
      <c r="CR146" s="10" t="str">
        <f t="shared" si="132"/>
        <v/>
      </c>
      <c r="CS146" s="10" t="str">
        <f t="shared" si="133"/>
        <v/>
      </c>
      <c r="CT146" s="10" t="str">
        <f t="shared" si="134"/>
        <v>/</v>
      </c>
      <c r="CU146" s="10" t="str">
        <f t="shared" si="135"/>
        <v/>
      </c>
      <c r="CV146" s="10" t="str">
        <f t="shared" si="136"/>
        <v/>
      </c>
      <c r="CW146" s="10" t="str">
        <f t="shared" si="137"/>
        <v/>
      </c>
    </row>
    <row r="147" spans="1:101" ht="109.2">
      <c r="A147" s="129" t="s">
        <v>731</v>
      </c>
      <c r="B147" s="9" t="s">
        <v>26</v>
      </c>
      <c r="C147" s="9"/>
      <c r="D147" s="8" t="s">
        <v>728</v>
      </c>
      <c r="E147" s="9" t="s">
        <v>29</v>
      </c>
      <c r="F147" s="9" t="s">
        <v>53</v>
      </c>
      <c r="G147" s="9" t="s">
        <v>67</v>
      </c>
      <c r="H147" s="10" t="s">
        <v>5</v>
      </c>
      <c r="I147" s="10" t="s">
        <v>6</v>
      </c>
      <c r="J147" s="10" t="s">
        <v>29</v>
      </c>
      <c r="K147" s="10" t="s">
        <v>8</v>
      </c>
      <c r="L147" s="10" t="s">
        <v>29</v>
      </c>
      <c r="M147" s="10" t="s">
        <v>29</v>
      </c>
      <c r="N147" s="10" t="s">
        <v>68</v>
      </c>
      <c r="O147" s="9"/>
      <c r="P147" s="9" t="s">
        <v>729</v>
      </c>
      <c r="Q147" s="98" t="s">
        <v>1209</v>
      </c>
      <c r="R147" s="26"/>
      <c r="S147" s="9"/>
      <c r="T147" s="9" t="s">
        <v>730</v>
      </c>
      <c r="U147"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47" s="9" t="s">
        <v>29</v>
      </c>
      <c r="W147" s="9" t="s">
        <v>31</v>
      </c>
      <c r="X147" s="10">
        <v>100</v>
      </c>
      <c r="Y147" s="19" t="s">
        <v>59</v>
      </c>
      <c r="Z147" s="19">
        <v>85</v>
      </c>
      <c r="AA147" s="10">
        <v>2</v>
      </c>
      <c r="AB147" s="10">
        <v>50</v>
      </c>
      <c r="AC147" s="12">
        <v>3582810343128</v>
      </c>
      <c r="AD147" s="10" t="s">
        <v>29</v>
      </c>
      <c r="AE147" s="10" t="s">
        <v>732</v>
      </c>
      <c r="AF147" s="10" t="s">
        <v>1210</v>
      </c>
      <c r="AG147" s="10" t="s">
        <v>1211</v>
      </c>
      <c r="AH147" s="13" t="s">
        <v>70</v>
      </c>
      <c r="AI147" s="54" t="s">
        <v>776</v>
      </c>
      <c r="AJ147" s="54" t="s">
        <v>776</v>
      </c>
      <c r="AK147" s="55">
        <v>45708</v>
      </c>
      <c r="AL147" s="10"/>
      <c r="AM147" s="10">
        <v>25038</v>
      </c>
      <c r="AN147" s="10"/>
      <c r="AO147" s="10"/>
      <c r="AP147" s="10"/>
      <c r="AQ147" s="51" t="s">
        <v>728</v>
      </c>
      <c r="AR147" s="51"/>
      <c r="AS147" s="82" t="s">
        <v>1563</v>
      </c>
      <c r="AT147" s="9" t="s">
        <v>67</v>
      </c>
      <c r="AU147" s="96" t="s">
        <v>1540</v>
      </c>
      <c r="AV147" s="82" t="s">
        <v>145</v>
      </c>
      <c r="AW147" s="52"/>
      <c r="AX147" s="51"/>
      <c r="AY147" s="51"/>
      <c r="AZ147" s="51"/>
      <c r="BA147" s="51"/>
      <c r="BB147" s="51"/>
      <c r="BC147" s="51"/>
      <c r="BD147" s="51"/>
      <c r="BE147" s="51"/>
      <c r="BF147" s="92"/>
      <c r="BG147" s="92"/>
      <c r="BH147" s="92"/>
      <c r="BI147" s="92"/>
      <c r="BJ147" s="92"/>
      <c r="BK147" s="92"/>
      <c r="BL147" s="92"/>
      <c r="BN147" s="7" t="str">
        <f>IF(IFERROR(FIND("romatis",TableauJDG[[#This Row],[TYPE DE THÉ FR]]),0)=0,"","aromatisé")</f>
        <v/>
      </c>
      <c r="BV147" s="10" t="str">
        <f t="shared" si="138"/>
        <v>C’est au cœur des montagnes du nord-est du Vietnam que ce thé vert issu de théiers anciens est né. Ses feuilles, aux nombreuses nuances vertes, libèrent une infusion couleur pêche aux notes végétales et florales. Doux et frais, ce thé laisse d’agréab</v>
      </c>
      <c r="BW147" s="10" t="str">
        <f t="shared" si="139"/>
        <v xml:space="preserve">les empreintes fruitées sur le palais. </v>
      </c>
      <c r="BX147" s="10" t="str">
        <f t="shared" si="112"/>
        <v/>
      </c>
      <c r="BY147" s="10" t="str">
        <f t="shared" si="113"/>
        <v/>
      </c>
      <c r="BZ147" s="10" t="str">
        <f t="shared" si="114"/>
        <v xml:space="preserve">Ingrédient : thé vert*. *Issu de l'agriculture biologique. </v>
      </c>
      <c r="CA147" s="10" t="str">
        <f t="shared" si="115"/>
        <v/>
      </c>
      <c r="CB147" s="10" t="str">
        <f t="shared" si="116"/>
        <v/>
      </c>
      <c r="CC147" s="10" t="str">
        <f t="shared" si="117"/>
        <v/>
      </c>
      <c r="CD147" s="10" t="str">
        <f t="shared" si="118"/>
        <v>/</v>
      </c>
      <c r="CE147" s="10" t="str">
        <f t="shared" si="119"/>
        <v/>
      </c>
      <c r="CF147" s="10" t="str">
        <f t="shared" si="120"/>
        <v/>
      </c>
      <c r="CG147" s="10" t="str">
        <f t="shared" si="121"/>
        <v/>
      </c>
      <c r="CH147" s="10" t="str">
        <f t="shared" si="122"/>
        <v>Membre certifié World Fair Trade Organization, Les Jardins de Gaïa s’engagent pour un commerce plus juste et répondent aux exigences du commerce équitable. Pour en savoir plus : www.wfto.com.</v>
      </c>
      <c r="CI147" s="10" t="str">
        <f t="shared" si="123"/>
        <v/>
      </c>
      <c r="CJ147" s="10" t="str">
        <f t="shared" si="124"/>
        <v/>
      </c>
      <c r="CK147" s="10" t="str">
        <f t="shared" si="125"/>
        <v/>
      </c>
      <c r="CL147" s="10" t="str">
        <f t="shared" si="126"/>
        <v>This green tea from ancient tea bushes was born in the heart of the mountains of northeast Vietnam. Its leaves, with their many shades of green, release a peach-coloured infusion with vegetal and floral notes. Smooth and fresh, this tea leaves a plea</v>
      </c>
      <c r="CM147" s="10" t="str">
        <f t="shared" si="127"/>
        <v xml:space="preserve">sant fruity imprint on the palate. </v>
      </c>
      <c r="CN147" s="10" t="str">
        <f t="shared" si="128"/>
        <v/>
      </c>
      <c r="CO147" s="10" t="str">
        <f t="shared" si="129"/>
        <v/>
      </c>
      <c r="CP147" s="10" t="str">
        <f t="shared" si="130"/>
        <v>Ingredient: green tea*. *From organic farming.</v>
      </c>
      <c r="CQ147" s="10" t="str">
        <f t="shared" si="131"/>
        <v/>
      </c>
      <c r="CR147" s="10" t="str">
        <f t="shared" si="132"/>
        <v/>
      </c>
      <c r="CS147" s="10" t="str">
        <f t="shared" si="133"/>
        <v/>
      </c>
      <c r="CT147" s="10" t="str">
        <f t="shared" si="134"/>
        <v/>
      </c>
      <c r="CU147" s="10" t="str">
        <f t="shared" si="135"/>
        <v/>
      </c>
      <c r="CV147" s="10" t="str">
        <f t="shared" si="136"/>
        <v/>
      </c>
      <c r="CW147" s="10" t="str">
        <f t="shared" si="137"/>
        <v/>
      </c>
    </row>
    <row r="148" spans="1:101" ht="78">
      <c r="A148" s="130" t="s">
        <v>733</v>
      </c>
      <c r="B148" s="9" t="s">
        <v>782</v>
      </c>
      <c r="C148" s="9"/>
      <c r="D148" s="8" t="s">
        <v>734</v>
      </c>
      <c r="E148" s="15" t="s">
        <v>723</v>
      </c>
      <c r="F148" s="9" t="s">
        <v>794</v>
      </c>
      <c r="G148" s="9" t="s">
        <v>28</v>
      </c>
      <c r="H148" s="10" t="s">
        <v>5</v>
      </c>
      <c r="I148" s="10" t="s">
        <v>6</v>
      </c>
      <c r="J148" s="10" t="s">
        <v>7</v>
      </c>
      <c r="K148" s="10" t="s">
        <v>29</v>
      </c>
      <c r="L148" s="10" t="s">
        <v>29</v>
      </c>
      <c r="M148" s="10" t="s">
        <v>29</v>
      </c>
      <c r="N148" s="10" t="s">
        <v>30</v>
      </c>
      <c r="O148" s="9"/>
      <c r="P148" s="24" t="s">
        <v>735</v>
      </c>
      <c r="Q148" s="9" t="s">
        <v>1212</v>
      </c>
      <c r="R148" s="9"/>
      <c r="S148" s="9"/>
      <c r="T148" s="58" t="s">
        <v>1213</v>
      </c>
      <c r="U148"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48" s="9" t="s">
        <v>29</v>
      </c>
      <c r="W148" s="9" t="s">
        <v>31</v>
      </c>
      <c r="X148" s="123" t="s">
        <v>723</v>
      </c>
      <c r="Y148" s="11" t="s">
        <v>724</v>
      </c>
      <c r="Z148" s="19">
        <v>85</v>
      </c>
      <c r="AA148" s="36" t="s">
        <v>29</v>
      </c>
      <c r="AB148" s="124">
        <v>3</v>
      </c>
      <c r="AC148" s="12">
        <v>3582813335427</v>
      </c>
      <c r="AD148" s="10" t="s">
        <v>50</v>
      </c>
      <c r="AE148" s="35" t="s">
        <v>1692</v>
      </c>
      <c r="AF148" s="10" t="s">
        <v>33</v>
      </c>
      <c r="AG148" s="10" t="s">
        <v>33</v>
      </c>
      <c r="AH148" s="13" t="s">
        <v>34</v>
      </c>
      <c r="AI148" s="10"/>
      <c r="AJ148" s="10"/>
      <c r="AK148" s="10"/>
      <c r="AL148" s="10"/>
      <c r="AM148" s="10"/>
      <c r="AN148" s="10"/>
      <c r="AO148" s="10"/>
      <c r="AP148" s="10"/>
      <c r="AQ148" s="51"/>
      <c r="AR148" s="51"/>
      <c r="AS148" s="82" t="s">
        <v>1689</v>
      </c>
      <c r="AT148" s="82" t="s">
        <v>752</v>
      </c>
      <c r="AU148" s="96" t="s">
        <v>1691</v>
      </c>
      <c r="AV148" s="9" t="s">
        <v>1690</v>
      </c>
      <c r="AW148" s="52"/>
      <c r="AX148" s="51"/>
      <c r="AY148" s="51"/>
      <c r="AZ148" s="51"/>
      <c r="BA148" s="51"/>
      <c r="BB148" s="51"/>
      <c r="BC148" s="51"/>
      <c r="BD148" s="51"/>
      <c r="BE148" s="51"/>
      <c r="BF148" s="92"/>
      <c r="BG148" s="92"/>
      <c r="BH148" s="92"/>
      <c r="BI148" s="92"/>
      <c r="BJ148" s="92"/>
      <c r="BK148" s="92"/>
      <c r="BL148" s="92"/>
      <c r="BN148" s="7" t="str">
        <f>IF(IFERROR(FIND("romatis",TableauJDG[[#This Row],[TYPE DE THÉ FR]]),0)=0,"","aromatisé")</f>
        <v/>
      </c>
      <c r="BV148" s="10" t="str">
        <f t="shared" si="138"/>
        <v>Les bourgeons duvetés de ce thé wulong ont été habilement façonnés pour qu’ils laissent lentement s’épanouir la fleur gracieuse qu’ils dissimulent. Une éclosion qui donne naissance à une infusion claire, soyeuse, aux douces saveurs de fleurs sauvages</v>
      </c>
      <c r="BW148" s="10" t="str">
        <f t="shared" si="139"/>
        <v>. Un instant de poésie à savourer…</v>
      </c>
      <c r="BX148" s="10" t="str">
        <f t="shared" si="112"/>
        <v/>
      </c>
      <c r="BY148" s="10" t="str">
        <f t="shared" si="113"/>
        <v/>
      </c>
      <c r="BZ148" s="10" t="str">
        <f t="shared" si="114"/>
        <v>Ingrédients : thé wulong**, fleurs d'amarante* 4%. *Issu de l'agriculture biologique. **Issu de l'agriculture biologique et biodynamique. demeter est le label des produits issus de l'agriculture biodynamique.</v>
      </c>
      <c r="CA148" s="10" t="str">
        <f t="shared" si="115"/>
        <v/>
      </c>
      <c r="CB148" s="10" t="str">
        <f t="shared" si="116"/>
        <v/>
      </c>
      <c r="CC148" s="10" t="str">
        <f t="shared" si="117"/>
        <v/>
      </c>
      <c r="CD148" s="10" t="str">
        <f t="shared" si="118"/>
        <v>/</v>
      </c>
      <c r="CE148" s="10" t="str">
        <f t="shared" si="119"/>
        <v/>
      </c>
      <c r="CF148" s="10" t="str">
        <f t="shared" si="120"/>
        <v/>
      </c>
      <c r="CG148" s="10" t="str">
        <f t="shared" si="121"/>
        <v/>
      </c>
      <c r="CH148" s="10" t="str">
        <f t="shared" si="122"/>
        <v>Membre certifié World Fair Trade Organization, Les Jardins de Gaïa s’engagent pour un commerce plus juste et répondent aux exigences du commerce équitable. Pour en savoir plus : www.wfto.com.</v>
      </c>
      <c r="CI148" s="10" t="str">
        <f t="shared" si="123"/>
        <v/>
      </c>
      <c r="CJ148" s="10" t="str">
        <f t="shared" si="124"/>
        <v/>
      </c>
      <c r="CK148" s="10" t="str">
        <f t="shared" si="125"/>
        <v/>
      </c>
      <c r="CL148" s="10" t="str">
        <f t="shared" si="126"/>
        <v>The downy buds of this wulong tea have been skilfully shaped to allow the graceful flower they conceal to blossom slowly. The result is a clear, silky infusion with the sweet taste of wild flowers. A moment of poetry to savour…</v>
      </c>
      <c r="CM148" s="10" t="str">
        <f t="shared" si="127"/>
        <v/>
      </c>
      <c r="CN148" s="10" t="str">
        <f t="shared" si="128"/>
        <v/>
      </c>
      <c r="CO148" s="10" t="str">
        <f t="shared" si="129"/>
        <v/>
      </c>
      <c r="CP148" s="10" t="str">
        <f t="shared" si="130"/>
        <v>Ingredients: wulong tea**, amaranth flowers* 4%. *From organic farming. **From organic and biodynamic farming. demeter is the brand for products from biodynamic agriculture.</v>
      </c>
      <c r="CQ148" s="10" t="str">
        <f t="shared" si="131"/>
        <v/>
      </c>
      <c r="CR148" s="10" t="str">
        <f t="shared" si="132"/>
        <v/>
      </c>
      <c r="CS148" s="10" t="str">
        <f t="shared" si="133"/>
        <v/>
      </c>
      <c r="CT148" s="10" t="str">
        <f t="shared" si="134"/>
        <v/>
      </c>
      <c r="CU148" s="10" t="str">
        <f t="shared" si="135"/>
        <v/>
      </c>
      <c r="CV148" s="10" t="str">
        <f t="shared" si="136"/>
        <v/>
      </c>
      <c r="CW148" s="10" t="str">
        <f t="shared" si="137"/>
        <v/>
      </c>
    </row>
    <row r="149" spans="1:101" ht="93.6">
      <c r="A149" s="128" t="s">
        <v>736</v>
      </c>
      <c r="B149" s="9" t="s">
        <v>26</v>
      </c>
      <c r="C149" s="9"/>
      <c r="D149" s="8" t="s">
        <v>737</v>
      </c>
      <c r="E149" s="9" t="s">
        <v>738</v>
      </c>
      <c r="F149" s="9" t="s">
        <v>44</v>
      </c>
      <c r="G149" s="9" t="s">
        <v>45</v>
      </c>
      <c r="H149" s="10" t="s">
        <v>5</v>
      </c>
      <c r="I149" s="10" t="s">
        <v>6</v>
      </c>
      <c r="J149" s="10" t="s">
        <v>29</v>
      </c>
      <c r="K149" s="10" t="s">
        <v>29</v>
      </c>
      <c r="L149" s="10" t="s">
        <v>29</v>
      </c>
      <c r="M149" s="10" t="s">
        <v>29</v>
      </c>
      <c r="N149" s="10" t="s">
        <v>37</v>
      </c>
      <c r="O149" s="9"/>
      <c r="P149" s="9" t="s">
        <v>739</v>
      </c>
      <c r="Q149" s="9" t="s">
        <v>1214</v>
      </c>
      <c r="R149" s="9"/>
      <c r="S149" s="46"/>
      <c r="T149" s="45" t="s">
        <v>1978</v>
      </c>
      <c r="U149" s="24"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49" s="9" t="s">
        <v>29</v>
      </c>
      <c r="W149" s="9" t="s">
        <v>31</v>
      </c>
      <c r="X149" s="10">
        <v>100</v>
      </c>
      <c r="Y149" s="11" t="s">
        <v>42</v>
      </c>
      <c r="Z149" s="19">
        <v>95</v>
      </c>
      <c r="AA149" s="10">
        <v>2</v>
      </c>
      <c r="AB149" s="10">
        <v>50</v>
      </c>
      <c r="AC149" s="12">
        <v>3582810923726</v>
      </c>
      <c r="AD149" s="10" t="s">
        <v>29</v>
      </c>
      <c r="AE149" s="10" t="s">
        <v>1215</v>
      </c>
      <c r="AF149" s="10" t="s">
        <v>1812</v>
      </c>
      <c r="AG149" s="10" t="s">
        <v>1813</v>
      </c>
      <c r="AH149" s="13" t="s">
        <v>38</v>
      </c>
      <c r="AI149" s="54" t="s">
        <v>776</v>
      </c>
      <c r="AJ149" s="54" t="s">
        <v>776</v>
      </c>
      <c r="AK149" s="55">
        <v>45722</v>
      </c>
      <c r="AL149" s="10"/>
      <c r="AM149" s="10" t="s">
        <v>1693</v>
      </c>
      <c r="AN149" s="10"/>
      <c r="AO149" s="10"/>
      <c r="AP149" s="10"/>
      <c r="AQ149" s="51" t="s">
        <v>737</v>
      </c>
      <c r="AR149" s="51" t="s">
        <v>1531</v>
      </c>
      <c r="AS149" s="82" t="s">
        <v>1556</v>
      </c>
      <c r="AT149" s="82" t="s">
        <v>1297</v>
      </c>
      <c r="AU149" s="96" t="s">
        <v>1532</v>
      </c>
      <c r="AV149" s="110" t="s">
        <v>1979</v>
      </c>
      <c r="AW149" s="52"/>
      <c r="AX149" s="51"/>
      <c r="AY149" s="51"/>
      <c r="AZ149" s="51"/>
      <c r="BA149" s="51"/>
      <c r="BB149" s="51"/>
      <c r="BC149" s="51"/>
      <c r="BD149" s="51"/>
      <c r="BE149" s="51"/>
      <c r="BF149" s="92"/>
      <c r="BG149" s="92"/>
      <c r="BH149" s="92"/>
      <c r="BI149" s="92"/>
      <c r="BJ149" s="92"/>
      <c r="BK149" s="92"/>
      <c r="BL149" s="92"/>
      <c r="BN149" s="7" t="str">
        <f>IF(IFERROR(FIND("romatis",TableauJDG[[#This Row],[TYPE DE THÉ FR]]),0)=0,"","aromatisé")</f>
        <v>aromatisé</v>
      </c>
      <c r="BO149" s="15" t="s">
        <v>1977</v>
      </c>
      <c r="BV149" s="10" t="str">
        <f t="shared" si="138"/>
        <v>Ce rooibos gorgé de soleil, qui met en valeur la gourmandise et l’évidence de l’accord poire-cacao fait ouvertement référence aux délicieuses sensations que procure la dégustation d’une poire Belle-Hélène. Un clin d’œil au célèbre dessert qui enchant</v>
      </c>
      <c r="BW149" s="10" t="str">
        <f t="shared" si="139"/>
        <v>era petits et grands !</v>
      </c>
      <c r="BX149" s="10" t="str">
        <f t="shared" si="112"/>
        <v/>
      </c>
      <c r="BY149" s="10" t="str">
        <f t="shared" si="113"/>
        <v/>
      </c>
      <c r="BZ149" s="10" t="str">
        <f t="shared" si="114"/>
        <v>Ingrédients : rooibos vert*, rooibos*, arômes naturels de (poire*, cacao*) 10%, amandes effilées*, morceaux de pomme*, pétales de souci*. *Issu de l'agriculture biologique.</v>
      </c>
      <c r="CA149" s="10" t="str">
        <f t="shared" si="115"/>
        <v/>
      </c>
      <c r="CB149" s="10" t="str">
        <f t="shared" si="116"/>
        <v/>
      </c>
      <c r="CC149" s="10" t="str">
        <f t="shared" si="117"/>
        <v/>
      </c>
      <c r="CD149" s="10" t="str">
        <f t="shared" si="118"/>
        <v>/</v>
      </c>
      <c r="CE149" s="10" t="str">
        <f t="shared" si="119"/>
        <v/>
      </c>
      <c r="CF149" s="10" t="str">
        <f t="shared" si="120"/>
        <v/>
      </c>
      <c r="CG149" s="10" t="str">
        <f t="shared" si="121"/>
        <v/>
      </c>
      <c r="CH149" s="10" t="str">
        <f t="shared" si="122"/>
        <v>Membre certifié World Fair Trade Organization, Les Jardins de Gaïa s’engagent pour un commerce plus juste et répondent aux exigences du commerce équitable. Pour en savoir plus : www.wfto.com.</v>
      </c>
      <c r="CI149" s="10" t="str">
        <f t="shared" si="123"/>
        <v/>
      </c>
      <c r="CJ149" s="10" t="str">
        <f t="shared" si="124"/>
        <v/>
      </c>
      <c r="CK149" s="10" t="str">
        <f t="shared" si="125"/>
        <v/>
      </c>
      <c r="CL149" s="10" t="str">
        <f t="shared" si="126"/>
        <v>This sun-drenched rooibos, which highlights the deliciousness and obviousness of the pear-cocoa pairing, openly refers to the delicious sensations of tasting a poached pears Belle-Hélène. A nod to the famous dessert that will delight young and old al</v>
      </c>
      <c r="CM149" s="10" t="str">
        <f t="shared" si="127"/>
        <v>ike!</v>
      </c>
      <c r="CN149" s="10" t="str">
        <f t="shared" si="128"/>
        <v/>
      </c>
      <c r="CO149" s="10" t="str">
        <f t="shared" si="129"/>
        <v/>
      </c>
      <c r="CP149" s="10" t="str">
        <f t="shared" si="130"/>
        <v>Ingredients: green rooibos*, rooibos*, natural (pear*, cocoa*) flavourings* 10%, flaked almonds*, apple pieces*, marigold petals*. *From organic farming.</v>
      </c>
      <c r="CQ149" s="10" t="str">
        <f t="shared" si="131"/>
        <v/>
      </c>
      <c r="CR149" s="10" t="str">
        <f t="shared" si="132"/>
        <v/>
      </c>
      <c r="CS149" s="10" t="str">
        <f t="shared" si="133"/>
        <v/>
      </c>
      <c r="CT149" s="10" t="str">
        <f t="shared" si="134"/>
        <v/>
      </c>
      <c r="CU149" s="10" t="str">
        <f t="shared" si="135"/>
        <v/>
      </c>
      <c r="CV149" s="10" t="str">
        <f t="shared" si="136"/>
        <v/>
      </c>
      <c r="CW149" s="10" t="str">
        <f t="shared" si="137"/>
        <v/>
      </c>
    </row>
    <row r="150" spans="1:101" ht="93.6">
      <c r="A150" s="128" t="s">
        <v>1707</v>
      </c>
      <c r="B150" s="9" t="s">
        <v>798</v>
      </c>
      <c r="C150" s="9" t="s">
        <v>798</v>
      </c>
      <c r="D150" s="8" t="s">
        <v>1706</v>
      </c>
      <c r="E150" s="9" t="s">
        <v>1664</v>
      </c>
      <c r="F150" s="9" t="s">
        <v>57</v>
      </c>
      <c r="G150" s="9"/>
      <c r="H150" s="10" t="s">
        <v>5</v>
      </c>
      <c r="I150" s="10" t="s">
        <v>6</v>
      </c>
      <c r="J150" s="10" t="s">
        <v>29</v>
      </c>
      <c r="K150" s="10" t="s">
        <v>29</v>
      </c>
      <c r="L150" s="10" t="s">
        <v>29</v>
      </c>
      <c r="M150" s="10" t="s">
        <v>29</v>
      </c>
      <c r="N150" s="10" t="s">
        <v>37</v>
      </c>
      <c r="O150" s="9"/>
      <c r="P150" s="9" t="s">
        <v>740</v>
      </c>
      <c r="Q150" s="9" t="s">
        <v>1216</v>
      </c>
      <c r="R150" s="9"/>
      <c r="S150" s="9"/>
      <c r="T150" s="9" t="s">
        <v>1665</v>
      </c>
      <c r="U150"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50" s="9" t="s">
        <v>29</v>
      </c>
      <c r="W150" s="9" t="s">
        <v>31</v>
      </c>
      <c r="X150" s="10">
        <v>100</v>
      </c>
      <c r="Y150" s="11" t="s">
        <v>78</v>
      </c>
      <c r="Z150" s="19">
        <v>90</v>
      </c>
      <c r="AA150" s="10">
        <v>2</v>
      </c>
      <c r="AB150" s="10">
        <v>50</v>
      </c>
      <c r="AC150" s="12">
        <v>3582810360125</v>
      </c>
      <c r="AD150" s="10" t="s">
        <v>29</v>
      </c>
      <c r="AE150" s="70" t="s">
        <v>1710</v>
      </c>
      <c r="AF150" s="70" t="s">
        <v>1708</v>
      </c>
      <c r="AG150" s="70" t="s">
        <v>1709</v>
      </c>
      <c r="AH150" s="13" t="s">
        <v>38</v>
      </c>
      <c r="AI150" s="54" t="s">
        <v>776</v>
      </c>
      <c r="AJ150" s="54" t="s">
        <v>776</v>
      </c>
      <c r="AK150" s="55">
        <v>45693</v>
      </c>
      <c r="AL150" s="10"/>
      <c r="AM150" s="10"/>
      <c r="AN150" s="10"/>
      <c r="AO150" s="10"/>
      <c r="AP150" s="10"/>
      <c r="AQ150" s="51" t="s">
        <v>1321</v>
      </c>
      <c r="AR150" s="51" t="s">
        <v>1666</v>
      </c>
      <c r="AS150" s="82" t="s">
        <v>1555</v>
      </c>
      <c r="AT150" s="51"/>
      <c r="AU150" s="140" t="s">
        <v>1322</v>
      </c>
      <c r="AV150" s="82" t="s">
        <v>1663</v>
      </c>
      <c r="AW150" s="52"/>
      <c r="AX150" s="51"/>
      <c r="AY150" s="51"/>
      <c r="AZ150" s="51"/>
      <c r="BA150" s="51"/>
      <c r="BB150" s="51"/>
      <c r="BC150" s="51"/>
      <c r="BD150" s="51"/>
      <c r="BE150" s="51"/>
      <c r="BF150" s="92"/>
      <c r="BG150" s="92"/>
      <c r="BH150" s="92"/>
      <c r="BI150" s="92"/>
      <c r="BJ150" s="92"/>
      <c r="BK150" s="92"/>
      <c r="BL150" s="92"/>
      <c r="BN150" s="7" t="str">
        <f>IF(IFERROR(FIND("romatis",TableauJDG[[#This Row],[TYPE DE THÉ FR]]),0)=0,"","aromatisé")</f>
        <v>aromatisé</v>
      </c>
      <c r="BV150" s="10" t="str">
        <f t="shared" si="138"/>
        <v>Festive et originale, cette composition gourmande à base de thé vert met à l’honneur la pomme rouge qui décorait traditionnellement les sapins de Noël. Ses saveurs rondes et légèrement acidulées sont délicieusement accompagnées par les notes chaude</v>
      </c>
      <c r="BW150" s="10" t="str">
        <f t="shared" si="139"/>
        <v>s et anisées de la badiane.</v>
      </c>
      <c r="BX150" s="10" t="str">
        <f t="shared" si="112"/>
        <v/>
      </c>
      <c r="BY150" s="10" t="str">
        <f t="shared" si="113"/>
        <v/>
      </c>
      <c r="BZ150" s="10" t="str">
        <f t="shared" si="114"/>
        <v>ingrédients : thé vert*, cannelle*, gingembre*, badiane* 5%, arôme naturel de pomme* 5%, morceaux de pomme* 3%, baies roses*. *Issu de l’agriculture biologique.</v>
      </c>
      <c r="CA150" s="10" t="str">
        <f t="shared" si="115"/>
        <v/>
      </c>
      <c r="CB150" s="10" t="str">
        <f t="shared" si="116"/>
        <v/>
      </c>
      <c r="CC150" s="10" t="str">
        <f t="shared" si="117"/>
        <v/>
      </c>
      <c r="CD150" s="10" t="str">
        <f t="shared" si="118"/>
        <v>/</v>
      </c>
      <c r="CE150" s="10" t="str">
        <f t="shared" si="119"/>
        <v/>
      </c>
      <c r="CF150" s="10" t="str">
        <f t="shared" si="120"/>
        <v/>
      </c>
      <c r="CG150" s="10" t="str">
        <f t="shared" si="121"/>
        <v/>
      </c>
      <c r="CH150" s="10" t="str">
        <f t="shared" si="122"/>
        <v>Membre certifié World Fair Trade Organization, Les Jardins de Gaïa s’engagent pour un commerce plus juste et répondent aux exigences du commerce équitable. Pour en savoir plus : www.wfto.com.</v>
      </c>
      <c r="CI150" s="10" t="str">
        <f t="shared" si="123"/>
        <v/>
      </c>
      <c r="CJ150" s="10" t="str">
        <f t="shared" si="124"/>
        <v/>
      </c>
      <c r="CK150" s="10" t="str">
        <f t="shared" si="125"/>
        <v/>
      </c>
      <c r="CL150" s="10" t="str">
        <f t="shared" si="126"/>
        <v>Festive and original, this green tea-based mouth-watering composition honours the red apple that traditionally decorated Christmas trees. Its round, slightly tart flavours match perfectly with the warm, aniseed notes of star anise.</v>
      </c>
      <c r="CM150" s="10" t="str">
        <f t="shared" si="127"/>
        <v/>
      </c>
      <c r="CN150" s="10" t="str">
        <f t="shared" si="128"/>
        <v/>
      </c>
      <c r="CO150" s="10" t="str">
        <f t="shared" si="129"/>
        <v/>
      </c>
      <c r="CP150" s="10" t="str">
        <f t="shared" si="130"/>
        <v>Ingredients : green tea*, cinnamon*, ginger*, star anise* 5%, natural apple flavouring* 5%, apple pieces* 3%, pink berries*. *From organic farming.</v>
      </c>
      <c r="CQ150" s="10" t="str">
        <f t="shared" si="131"/>
        <v/>
      </c>
      <c r="CR150" s="10" t="str">
        <f t="shared" si="132"/>
        <v/>
      </c>
      <c r="CS150" s="10" t="str">
        <f t="shared" si="133"/>
        <v/>
      </c>
      <c r="CT150" s="10" t="str">
        <f t="shared" si="134"/>
        <v/>
      </c>
      <c r="CU150" s="10" t="str">
        <f t="shared" si="135"/>
        <v/>
      </c>
      <c r="CV150" s="10" t="str">
        <f t="shared" si="136"/>
        <v/>
      </c>
      <c r="CW150" s="10" t="str">
        <f t="shared" si="137"/>
        <v/>
      </c>
    </row>
    <row r="151" spans="1:101" ht="100.8">
      <c r="A151" s="151" t="s">
        <v>1984</v>
      </c>
      <c r="B151" s="9" t="s">
        <v>26</v>
      </c>
      <c r="C151" s="9"/>
      <c r="D151" s="31" t="s">
        <v>1985</v>
      </c>
      <c r="E151" s="9" t="s">
        <v>1986</v>
      </c>
      <c r="F151" s="9" t="s">
        <v>1987</v>
      </c>
      <c r="G151" s="9" t="s">
        <v>63</v>
      </c>
      <c r="H151" s="10" t="s">
        <v>5</v>
      </c>
      <c r="I151" s="10" t="s">
        <v>6</v>
      </c>
      <c r="J151" s="10" t="s">
        <v>29</v>
      </c>
      <c r="K151" s="10" t="s">
        <v>29</v>
      </c>
      <c r="L151" s="10" t="s">
        <v>29</v>
      </c>
      <c r="M151" s="23" t="s">
        <v>29</v>
      </c>
      <c r="N151" s="10" t="s">
        <v>47</v>
      </c>
      <c r="O151" s="17"/>
      <c r="P151" s="9" t="s">
        <v>1988</v>
      </c>
      <c r="Q151" s="9" t="s">
        <v>1989</v>
      </c>
      <c r="R151" s="29"/>
      <c r="S151" s="9"/>
      <c r="T151" s="9" t="s">
        <v>48</v>
      </c>
      <c r="U151"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51" s="9" t="s">
        <v>29</v>
      </c>
      <c r="W151" s="9" t="s">
        <v>31</v>
      </c>
      <c r="X151" s="19">
        <v>1</v>
      </c>
      <c r="Y151" s="19" t="s">
        <v>78</v>
      </c>
      <c r="Z151" s="19">
        <v>80</v>
      </c>
      <c r="AA151" s="10">
        <v>2</v>
      </c>
      <c r="AB151" s="10">
        <v>500</v>
      </c>
      <c r="AC151" s="12">
        <v>3582810640173</v>
      </c>
      <c r="AD151" s="10" t="s">
        <v>29</v>
      </c>
      <c r="AE151" s="10" t="s">
        <v>33</v>
      </c>
      <c r="AF151" s="10" t="s">
        <v>33</v>
      </c>
      <c r="AG151" s="10" t="s">
        <v>29</v>
      </c>
      <c r="AH151" s="10" t="s">
        <v>1990</v>
      </c>
      <c r="AI151" s="10"/>
      <c r="AJ151" s="54" t="s">
        <v>776</v>
      </c>
      <c r="AK151" s="55">
        <v>45771</v>
      </c>
      <c r="AL151" s="10"/>
      <c r="AM151" s="10"/>
      <c r="AN151" s="10"/>
      <c r="AO151" s="10"/>
      <c r="AP151" s="10"/>
      <c r="AQ151" s="152" t="s">
        <v>1985</v>
      </c>
      <c r="AR151" s="51" t="s">
        <v>29</v>
      </c>
      <c r="AS151" s="51" t="s">
        <v>1991</v>
      </c>
      <c r="AT151" s="51" t="s">
        <v>1400</v>
      </c>
      <c r="AU151" s="120" t="s">
        <v>1992</v>
      </c>
      <c r="AV151" s="52" t="s">
        <v>1993</v>
      </c>
      <c r="AW151" s="52"/>
      <c r="AX151" s="51"/>
      <c r="AY151" s="51"/>
      <c r="AZ151" s="51"/>
      <c r="BA151" s="51"/>
      <c r="BB151" s="51"/>
      <c r="BC151" s="51"/>
      <c r="BD151" s="51"/>
      <c r="BE151" s="51"/>
      <c r="BF151" s="92"/>
      <c r="BG151" s="92"/>
      <c r="BH151" s="92"/>
      <c r="BI151" s="92"/>
      <c r="BJ151" s="92"/>
      <c r="BK151" s="92"/>
      <c r="BL151" s="92"/>
      <c r="BN151" s="7" t="str">
        <f>IF(IFERROR(FIND("romatis",[3]!TableauJDG[[#This Row],[TYPE DE THÉ FR]]),0)=0,"","aromatisé")</f>
        <v/>
      </c>
      <c r="BV151" s="10" t="str">
        <f t="shared" si="138"/>
        <v>La légende raconte que ce beau thé blanc a été délicatement cueilli par des singes sur des branches inaccessibles. Ses tendres bourgeons duveteux aux reflets argentés offrent une liqueur brillante, douce comme le miel, aux notes de romarin et de frui</v>
      </c>
      <c r="BW151" s="10" t="str">
        <f t="shared" si="139"/>
        <v>ts cuits. Un thé à la fois raffiné et gourmand !</v>
      </c>
      <c r="BX151" s="10" t="str">
        <f t="shared" si="112"/>
        <v/>
      </c>
      <c r="BY151" s="10" t="str">
        <f t="shared" si="113"/>
        <v/>
      </c>
      <c r="BZ151" s="10" t="str">
        <f t="shared" si="114"/>
        <v xml:space="preserve">Ingrédient : thé blanc*. *Issu de l'agriculture biologique. </v>
      </c>
      <c r="CA151" s="10" t="str">
        <f t="shared" si="115"/>
        <v/>
      </c>
      <c r="CB151" s="10" t="str">
        <f t="shared" si="116"/>
        <v/>
      </c>
      <c r="CC151" s="10" t="str">
        <f t="shared" si="117"/>
        <v/>
      </c>
      <c r="CD151" s="10" t="str">
        <f t="shared" si="118"/>
        <v>/</v>
      </c>
      <c r="CE151" s="10" t="str">
        <f t="shared" si="119"/>
        <v/>
      </c>
      <c r="CF151" s="10" t="str">
        <f t="shared" si="120"/>
        <v/>
      </c>
      <c r="CG151" s="10" t="str">
        <f t="shared" si="121"/>
        <v/>
      </c>
      <c r="CH151" s="10" t="str">
        <f t="shared" si="122"/>
        <v>Membre certifié World Fair Trade Organization, Les Jardins de Gaïa s’engagent pour un commerce plus juste et répondent aux exigences du commerce équitable. Pour en savoir plus : www.wfto.com.</v>
      </c>
      <c r="CI151" s="10" t="str">
        <f t="shared" si="123"/>
        <v/>
      </c>
      <c r="CJ151" s="10" t="str">
        <f t="shared" si="124"/>
        <v/>
      </c>
      <c r="CK151" s="10" t="str">
        <f t="shared" si="125"/>
        <v/>
      </c>
      <c r="CL151" s="10" t="str">
        <f t="shared" si="126"/>
        <v xml:space="preserve">Legend whispers that this exquisite white tea was gently plucked by monkeys from branches too high for human hands. Its tender, silvery buds yield a radiant brew, honey-sweet on the tongue, laced with hints of rosemary and sun-kissed stewed fruits. </v>
      </c>
      <c r="CM151" s="10" t="str">
        <f t="shared" si="127"/>
        <v>A tea as elegant as it is enchanting.</v>
      </c>
      <c r="CN151" s="10" t="str">
        <f t="shared" si="128"/>
        <v/>
      </c>
      <c r="CO151" s="10" t="str">
        <f t="shared" si="129"/>
        <v/>
      </c>
      <c r="CP151" s="10" t="str">
        <f t="shared" si="130"/>
        <v xml:space="preserve">Ingredient: white tea*. *From organic farming. </v>
      </c>
      <c r="CQ151" s="10" t="str">
        <f t="shared" si="131"/>
        <v/>
      </c>
      <c r="CR151" s="10" t="str">
        <f t="shared" si="132"/>
        <v/>
      </c>
      <c r="CS151" s="10" t="str">
        <f t="shared" si="133"/>
        <v/>
      </c>
      <c r="CT151" s="10" t="str">
        <f t="shared" si="134"/>
        <v/>
      </c>
      <c r="CU151" s="10" t="str">
        <f t="shared" si="135"/>
        <v/>
      </c>
      <c r="CV151" s="10" t="str">
        <f t="shared" si="136"/>
        <v/>
      </c>
      <c r="CW151" s="10" t="str">
        <f t="shared" si="137"/>
        <v/>
      </c>
    </row>
    <row r="152" spans="1:101" ht="100.8">
      <c r="A152" s="153" t="s">
        <v>1994</v>
      </c>
      <c r="B152" s="9" t="s">
        <v>26</v>
      </c>
      <c r="C152" s="9"/>
      <c r="D152" s="31" t="s">
        <v>1985</v>
      </c>
      <c r="E152" s="9" t="s">
        <v>1986</v>
      </c>
      <c r="F152" s="9" t="s">
        <v>1987</v>
      </c>
      <c r="G152" s="9" t="s">
        <v>63</v>
      </c>
      <c r="H152" s="10" t="s">
        <v>5</v>
      </c>
      <c r="I152" s="10" t="s">
        <v>6</v>
      </c>
      <c r="J152" s="10" t="s">
        <v>29</v>
      </c>
      <c r="K152" s="10" t="s">
        <v>29</v>
      </c>
      <c r="L152" s="10" t="s">
        <v>29</v>
      </c>
      <c r="M152" s="23" t="s">
        <v>29</v>
      </c>
      <c r="N152" s="10" t="s">
        <v>47</v>
      </c>
      <c r="O152" s="17"/>
      <c r="P152" s="9" t="s">
        <v>1988</v>
      </c>
      <c r="Q152" s="9" t="s">
        <v>1989</v>
      </c>
      <c r="R152" s="29"/>
      <c r="S152" s="9"/>
      <c r="T152" s="9" t="s">
        <v>48</v>
      </c>
      <c r="U152" s="9" t="str">
        <f>IF(SUM(
IFERROR(FIND("mande",[3]!TableauJDG[[#This Row],[LISTE D''INGRÉDIENTS FR]]),0),
IFERROR(FIND("oisette",[3]!TableauJDG[[#This Row],[LISTE D''INGRÉDIENTS FR]]),0),
IFERROR(FIND("voine",[3]!TableauJDG[[#This Row],[LISTE D''INGRÉDIENTS FR]]),0),
IFERROR(FIND("outarde",[3]!TableauJDG[[#This Row],[LISTE D''INGRÉDIENTS FR]]),0))=0,"Aucun",(IF(IFERROR(FIND("mande",[3]!TableauJDG[[#This Row],[LISTE D''INGRÉDIENTS FR]]),0)=0,"","Amande")&amp;
IF(AND(IFERROR(FIND("mande",[3]!TableauJDG[[#This Row],[LISTE D''INGRÉDIENTS FR]]),0)&lt;&gt;0,IFERROR(FIND("oisette",[3]!TableauJDG[[#This Row],[LISTE D''INGRÉDIENTS FR]]),0)&lt;&gt;0),", ","")&amp;
IF(IFERROR(FIND("oisette",[3]!TableauJDG[[#This Row],[LISTE D''INGRÉDIENTS FR]]),0)=0,"","Noisette")&amp;
IF(AND(OR(IFERROR(FIND("mande",[3]!TableauJDG[[#This Row],[LISTE D''INGRÉDIENTS FR]]),0)&lt;&gt;0,IFERROR(FIND("oisette",[3]!TableauJDG[[#This Row],[LISTE D''INGRÉDIENTS FR]]),0)&lt;&gt;0),IFERROR(FIND("voine",[3]!TableauJDG[[#This Row],[LISTE D''INGRÉDIENTS FR]]),0)&lt;&gt;0),", ","")&amp;
IF(IFERROR(FIND("voine",[3]!TableauJDG[[#This Row],[LISTE D''INGRÉDIENTS FR]]),0)=0,"","Avoine")&amp;
IF(AND(OR(IFERROR(FIND("mande",[3]!TableauJDG[[#This Row],[LISTE D''INGRÉDIENTS FR]]),0)&lt;&gt;0,IFERROR(FIND("oisette",[3]!TableauJDG[[#This Row],[LISTE D''INGRÉDIENTS FR]]),0)&lt;&gt;0,IFERROR(FIND("voine",[3]!TableauJDG[[#This Row],[LISTE D''INGRÉDIENTS FR]]),0)&lt;&gt;0),IFERROR(FIND("outarde",[3]!TableauJDG[[#This Row],[LISTE D''INGRÉDIENTS FR]]),0)&lt;&gt;0),", ","")&amp;
IF(IFERROR(FIND("outarde",[3]!TableauJDG[[#This Row],[LISTE D''INGRÉDIENTS FR]]),0)=0,"","Moutarde")))</f>
        <v>Aucun</v>
      </c>
      <c r="V152" s="9" t="s">
        <v>29</v>
      </c>
      <c r="W152" s="9" t="s">
        <v>31</v>
      </c>
      <c r="X152" s="19">
        <v>70</v>
      </c>
      <c r="Y152" s="19" t="s">
        <v>78</v>
      </c>
      <c r="Z152" s="19">
        <v>80</v>
      </c>
      <c r="AA152" s="10">
        <v>2</v>
      </c>
      <c r="AB152" s="10">
        <v>35</v>
      </c>
      <c r="AC152" s="12">
        <v>3582810640166</v>
      </c>
      <c r="AD152" s="10" t="s">
        <v>29</v>
      </c>
      <c r="AE152" s="10"/>
      <c r="AF152" s="20" t="s">
        <v>1995</v>
      </c>
      <c r="AG152" s="20" t="s">
        <v>1996</v>
      </c>
      <c r="AH152" s="10" t="s">
        <v>1990</v>
      </c>
      <c r="AI152" s="54" t="s">
        <v>776</v>
      </c>
      <c r="AJ152" s="54" t="s">
        <v>776</v>
      </c>
      <c r="AK152" s="55">
        <v>45771</v>
      </c>
      <c r="AL152" s="10"/>
      <c r="AM152" s="10"/>
      <c r="AN152" s="10"/>
      <c r="AO152" s="10"/>
      <c r="AP152" s="10"/>
      <c r="AQ152" s="152" t="s">
        <v>1985</v>
      </c>
      <c r="AR152" s="51" t="s">
        <v>29</v>
      </c>
      <c r="AS152" s="51" t="s">
        <v>1991</v>
      </c>
      <c r="AT152" s="51" t="s">
        <v>1400</v>
      </c>
      <c r="AU152" s="120" t="s">
        <v>1992</v>
      </c>
      <c r="AV152" s="52" t="s">
        <v>1993</v>
      </c>
      <c r="AW152" s="52"/>
      <c r="AX152" s="51"/>
      <c r="AY152" s="51"/>
      <c r="AZ152" s="51"/>
      <c r="BA152" s="51"/>
      <c r="BB152" s="51"/>
      <c r="BC152" s="51"/>
      <c r="BD152" s="51"/>
      <c r="BE152" s="51"/>
      <c r="BF152" s="92"/>
      <c r="BG152" s="92"/>
      <c r="BH152" s="92"/>
      <c r="BI152" s="92"/>
      <c r="BJ152" s="92"/>
      <c r="BK152" s="92"/>
      <c r="BL152" s="92"/>
      <c r="BN152" s="7" t="str">
        <f>IF(IFERROR(FIND("romatis",[3]!TableauJDG[[#This Row],[TYPE DE THÉ FR]]),0)=0,"","aromatisé")</f>
        <v>aromatisé</v>
      </c>
      <c r="BO152" s="10" t="s">
        <v>1997</v>
      </c>
      <c r="BV152" s="10" t="str">
        <f t="shared" si="138"/>
        <v>La légende raconte que ce beau thé blanc a été délicatement cueilli par des singes sur des branches inaccessibles. Ses tendres bourgeons duveteux aux reflets argentés offrent une liqueur brillante, douce comme le miel, aux notes de romarin et de frui</v>
      </c>
      <c r="BW152" s="10" t="str">
        <f t="shared" si="139"/>
        <v>ts cuits. Un thé à la fois raffiné et gourmand !</v>
      </c>
      <c r="BX152" s="10" t="str">
        <f t="shared" si="112"/>
        <v/>
      </c>
      <c r="BY152" s="10" t="str">
        <f t="shared" si="113"/>
        <v/>
      </c>
      <c r="BZ152" s="10" t="str">
        <f t="shared" si="114"/>
        <v xml:space="preserve">Ingrédient : thé blanc*. *Issu de l'agriculture biologique. </v>
      </c>
      <c r="CA152" s="10" t="str">
        <f t="shared" si="115"/>
        <v/>
      </c>
      <c r="CB152" s="10" t="str">
        <f t="shared" si="116"/>
        <v/>
      </c>
      <c r="CC152" s="10" t="str">
        <f t="shared" si="117"/>
        <v/>
      </c>
      <c r="CD152" s="10" t="str">
        <f t="shared" si="118"/>
        <v>/</v>
      </c>
      <c r="CE152" s="10" t="str">
        <f t="shared" si="119"/>
        <v/>
      </c>
      <c r="CF152" s="10" t="str">
        <f t="shared" si="120"/>
        <v/>
      </c>
      <c r="CG152" s="10" t="str">
        <f t="shared" si="121"/>
        <v/>
      </c>
      <c r="CH152" s="10" t="str">
        <f t="shared" si="122"/>
        <v>Membre certifié World Fair Trade Organization, Les Jardins de Gaïa s’engagent pour un commerce plus juste et répondent aux exigences du commerce équitable. Pour en savoir plus : www.wfto.com.</v>
      </c>
      <c r="CI152" s="10" t="str">
        <f t="shared" si="123"/>
        <v/>
      </c>
      <c r="CJ152" s="10" t="str">
        <f t="shared" si="124"/>
        <v/>
      </c>
      <c r="CK152" s="10" t="str">
        <f t="shared" si="125"/>
        <v/>
      </c>
      <c r="CL152" s="10" t="str">
        <f t="shared" si="126"/>
        <v xml:space="preserve">Legend whispers that this exquisite white tea was gently plucked by monkeys from branches too high for human hands. Its tender, silvery buds yield a radiant brew, honey-sweet on the tongue, laced with hints of rosemary and sun-kissed stewed fruits. </v>
      </c>
      <c r="CM152" s="10" t="str">
        <f t="shared" si="127"/>
        <v>A tea as elegant as it is enchanting.</v>
      </c>
      <c r="CN152" s="10" t="str">
        <f t="shared" si="128"/>
        <v/>
      </c>
      <c r="CO152" s="10" t="str">
        <f t="shared" si="129"/>
        <v/>
      </c>
      <c r="CP152" s="10" t="str">
        <f t="shared" si="130"/>
        <v xml:space="preserve">Ingredient: white tea*. *From organic farming. </v>
      </c>
      <c r="CQ152" s="10" t="str">
        <f t="shared" si="131"/>
        <v/>
      </c>
      <c r="CR152" s="10" t="str">
        <f t="shared" si="132"/>
        <v/>
      </c>
      <c r="CS152" s="10" t="str">
        <f t="shared" si="133"/>
        <v/>
      </c>
      <c r="CT152" s="10" t="str">
        <f t="shared" si="134"/>
        <v/>
      </c>
      <c r="CU152" s="10" t="str">
        <f t="shared" si="135"/>
        <v/>
      </c>
      <c r="CV152" s="10" t="str">
        <f t="shared" si="136"/>
        <v/>
      </c>
      <c r="CW152" s="10" t="str">
        <f t="shared" si="137"/>
        <v/>
      </c>
    </row>
    <row r="153" spans="1:101">
      <c r="Q153" s="7"/>
      <c r="AQ153" s="89"/>
      <c r="AR153" s="7"/>
      <c r="AS153" s="7"/>
      <c r="AT153" s="7"/>
      <c r="AU153" s="7"/>
      <c r="AV153" s="7"/>
      <c r="AW153" s="7"/>
      <c r="AX153" s="81"/>
    </row>
    <row r="154" spans="1:101">
      <c r="Q154" s="7"/>
      <c r="AQ154" s="89"/>
      <c r="AR154" s="7"/>
      <c r="AS154" s="7"/>
      <c r="AT154" s="7"/>
      <c r="AU154" s="7"/>
      <c r="AV154" s="7"/>
      <c r="AW154" s="7"/>
      <c r="AX154" s="81"/>
    </row>
    <row r="155" spans="1:101">
      <c r="Q155" s="7"/>
      <c r="AQ155" s="89"/>
      <c r="AR155" s="7"/>
      <c r="AS155" s="7"/>
      <c r="AT155" s="7"/>
      <c r="AU155" s="7"/>
      <c r="AV155" s="7"/>
      <c r="AW155" s="7"/>
      <c r="AX155" s="81"/>
    </row>
    <row r="156" spans="1:101">
      <c r="Q156" s="7"/>
      <c r="AQ156" s="89"/>
      <c r="AR156" s="7"/>
      <c r="AS156" s="7"/>
      <c r="AT156" s="7"/>
      <c r="AU156" s="7"/>
      <c r="AV156" s="7"/>
      <c r="AW156" s="7"/>
      <c r="AX156" s="81"/>
    </row>
    <row r="157" spans="1:101">
      <c r="Q157" s="7"/>
      <c r="AQ157" s="89"/>
      <c r="AR157" s="7"/>
      <c r="AS157" s="7"/>
      <c r="AT157" s="7"/>
      <c r="AU157" s="7"/>
      <c r="AV157" s="7"/>
      <c r="AW157" s="7"/>
      <c r="AX157" s="81"/>
    </row>
    <row r="158" spans="1:101">
      <c r="Q158" s="7"/>
      <c r="AQ158" s="89"/>
      <c r="AR158" s="7"/>
      <c r="AS158" s="7"/>
      <c r="AT158" s="7"/>
      <c r="AU158" s="7"/>
      <c r="AV158" s="7"/>
      <c r="AW158" s="7"/>
      <c r="AX158" s="81"/>
    </row>
    <row r="159" spans="1:101">
      <c r="Q159" s="7"/>
      <c r="AQ159" s="89"/>
      <c r="AR159" s="7"/>
      <c r="AS159" s="7"/>
      <c r="AT159" s="7"/>
      <c r="AU159" s="7"/>
      <c r="AV159" s="7"/>
      <c r="AW159" s="7"/>
      <c r="AX159" s="81"/>
    </row>
    <row r="160" spans="1:101">
      <c r="Q160" s="7"/>
      <c r="AQ160" s="89"/>
      <c r="AR160" s="7"/>
      <c r="AS160" s="7"/>
      <c r="AT160" s="7"/>
      <c r="AU160" s="7"/>
      <c r="AV160" s="7"/>
      <c r="AW160" s="7"/>
      <c r="AX160" s="81"/>
    </row>
    <row r="161" spans="17:50">
      <c r="Q161" s="7"/>
      <c r="AQ161" s="89"/>
      <c r="AR161" s="7"/>
      <c r="AS161" s="7"/>
      <c r="AT161" s="7"/>
      <c r="AU161" s="7"/>
      <c r="AV161" s="7"/>
      <c r="AW161" s="7"/>
      <c r="AX161" s="81"/>
    </row>
    <row r="162" spans="17:50">
      <c r="Q162" s="7"/>
      <c r="AQ162" s="89"/>
      <c r="AR162" s="7"/>
      <c r="AS162" s="7"/>
      <c r="AT162" s="7"/>
      <c r="AU162" s="7"/>
      <c r="AV162" s="7"/>
      <c r="AW162" s="7"/>
      <c r="AX162" s="81"/>
    </row>
    <row r="163" spans="17:50">
      <c r="Q163" s="7"/>
      <c r="AQ163" s="89"/>
      <c r="AR163" s="7"/>
      <c r="AS163" s="7"/>
      <c r="AT163" s="7"/>
      <c r="AU163" s="7"/>
      <c r="AV163" s="7"/>
      <c r="AW163" s="7"/>
      <c r="AX163" s="81"/>
    </row>
    <row r="164" spans="17:50">
      <c r="Q164" s="7"/>
      <c r="AQ164" s="89"/>
      <c r="AR164" s="7"/>
      <c r="AS164" s="7"/>
      <c r="AT164" s="7"/>
      <c r="AU164" s="7"/>
      <c r="AV164" s="7"/>
      <c r="AW164" s="7"/>
      <c r="AX164" s="81"/>
    </row>
    <row r="165" spans="17:50">
      <c r="Q165" s="7"/>
      <c r="AQ165" s="89"/>
      <c r="AR165" s="7"/>
      <c r="AS165" s="7"/>
      <c r="AT165" s="7"/>
      <c r="AU165" s="7"/>
      <c r="AV165" s="7"/>
      <c r="AW165" s="7"/>
      <c r="AX165" s="81"/>
    </row>
    <row r="166" spans="17:50">
      <c r="Q166" s="7"/>
      <c r="AQ166" s="89"/>
      <c r="AR166" s="7"/>
      <c r="AS166" s="7"/>
      <c r="AT166" s="7"/>
      <c r="AU166" s="7"/>
      <c r="AV166" s="7"/>
      <c r="AW166" s="7"/>
      <c r="AX166" s="81"/>
    </row>
    <row r="167" spans="17:50">
      <c r="Q167" s="7"/>
      <c r="AQ167" s="89"/>
      <c r="AR167" s="7"/>
      <c r="AS167" s="7"/>
      <c r="AT167" s="7"/>
      <c r="AU167" s="7"/>
      <c r="AV167" s="7"/>
      <c r="AW167" s="7"/>
      <c r="AX167" s="81"/>
    </row>
    <row r="168" spans="17:50">
      <c r="Q168" s="7"/>
      <c r="AQ168" s="89"/>
      <c r="AR168" s="7"/>
      <c r="AS168" s="7"/>
      <c r="AT168" s="7"/>
      <c r="AU168" s="7"/>
      <c r="AV168" s="7"/>
      <c r="AW168" s="7"/>
      <c r="AX168" s="81"/>
    </row>
    <row r="169" spans="17:50">
      <c r="Q169" s="7"/>
      <c r="AQ169" s="89"/>
      <c r="AR169" s="7"/>
      <c r="AS169" s="7"/>
      <c r="AT169" s="7"/>
      <c r="AU169" s="7"/>
      <c r="AV169" s="7"/>
      <c r="AW169" s="7"/>
      <c r="AX169" s="81"/>
    </row>
    <row r="170" spans="17:50">
      <c r="Q170" s="7"/>
      <c r="AQ170" s="89"/>
      <c r="AR170" s="7"/>
      <c r="AS170" s="7"/>
      <c r="AT170" s="7"/>
      <c r="AU170" s="7"/>
      <c r="AV170" s="7"/>
      <c r="AW170" s="7"/>
      <c r="AX170" s="81"/>
    </row>
    <row r="171" spans="17:50">
      <c r="Q171" s="7"/>
      <c r="AQ171" s="89"/>
      <c r="AR171" s="7"/>
      <c r="AS171" s="7"/>
      <c r="AT171" s="7"/>
      <c r="AU171" s="7"/>
      <c r="AV171" s="7"/>
      <c r="AW171" s="7"/>
      <c r="AX171" s="81"/>
    </row>
    <row r="172" spans="17:50">
      <c r="Q172" s="7"/>
      <c r="AQ172" s="89"/>
      <c r="AR172" s="7"/>
      <c r="AS172" s="7"/>
      <c r="AT172" s="7"/>
      <c r="AU172" s="7"/>
      <c r="AV172" s="7"/>
      <c r="AW172" s="7"/>
      <c r="AX172" s="81"/>
    </row>
    <row r="173" spans="17:50">
      <c r="Q173" s="7"/>
      <c r="AQ173" s="89"/>
      <c r="AR173" s="7"/>
      <c r="AS173" s="7"/>
      <c r="AT173" s="7"/>
      <c r="AU173" s="7"/>
      <c r="AV173" s="7"/>
      <c r="AW173" s="7"/>
      <c r="AX173" s="81"/>
    </row>
    <row r="174" spans="17:50">
      <c r="Q174" s="7"/>
      <c r="AQ174" s="89"/>
      <c r="AR174" s="7"/>
      <c r="AS174" s="7"/>
      <c r="AT174" s="7"/>
      <c r="AU174" s="7"/>
      <c r="AV174" s="7"/>
      <c r="AW174" s="7"/>
      <c r="AX174" s="81"/>
    </row>
    <row r="175" spans="17:50">
      <c r="Q175" s="7"/>
      <c r="AQ175" s="89"/>
      <c r="AR175" s="7"/>
      <c r="AS175" s="7"/>
      <c r="AT175" s="7"/>
      <c r="AU175" s="7"/>
      <c r="AV175" s="7"/>
      <c r="AW175" s="7"/>
      <c r="AX175" s="81"/>
    </row>
    <row r="176" spans="17:50">
      <c r="Q176" s="7"/>
      <c r="AQ176" s="89"/>
      <c r="AR176" s="7"/>
      <c r="AS176" s="7"/>
      <c r="AT176" s="7"/>
      <c r="AU176" s="7"/>
      <c r="AV176" s="7"/>
      <c r="AW176" s="7"/>
      <c r="AX176" s="81"/>
    </row>
    <row r="177" spans="17:50">
      <c r="Q177" s="7"/>
      <c r="AQ177" s="89"/>
      <c r="AR177" s="7"/>
      <c r="AS177" s="7"/>
      <c r="AT177" s="7"/>
      <c r="AU177" s="7"/>
      <c r="AV177" s="7"/>
      <c r="AW177" s="7"/>
      <c r="AX177" s="81"/>
    </row>
    <row r="178" spans="17:50">
      <c r="Q178" s="7"/>
      <c r="AQ178" s="89"/>
      <c r="AR178" s="7"/>
      <c r="AS178" s="7"/>
      <c r="AT178" s="7"/>
      <c r="AU178" s="7"/>
      <c r="AV178" s="7"/>
      <c r="AW178" s="7"/>
      <c r="AX178" s="81"/>
    </row>
    <row r="179" spans="17:50">
      <c r="Q179" s="7"/>
      <c r="AQ179" s="89"/>
      <c r="AR179" s="7"/>
      <c r="AS179" s="7"/>
      <c r="AT179" s="7"/>
      <c r="AU179" s="7"/>
      <c r="AV179" s="7"/>
      <c r="AW179" s="7"/>
      <c r="AX179" s="81"/>
    </row>
    <row r="180" spans="17:50">
      <c r="Q180" s="7"/>
      <c r="AQ180" s="89"/>
      <c r="AR180" s="7"/>
      <c r="AS180" s="7"/>
      <c r="AT180" s="7"/>
      <c r="AU180" s="7"/>
      <c r="AV180" s="7"/>
      <c r="AW180" s="7"/>
      <c r="AX180" s="81"/>
    </row>
    <row r="181" spans="17:50">
      <c r="Q181" s="7"/>
      <c r="AQ181" s="89"/>
      <c r="AR181" s="7"/>
      <c r="AS181" s="7"/>
      <c r="AT181" s="7"/>
      <c r="AU181" s="7"/>
      <c r="AV181" s="7"/>
      <c r="AW181" s="7"/>
      <c r="AX181" s="81"/>
    </row>
    <row r="182" spans="17:50">
      <c r="Q182" s="7"/>
      <c r="AQ182" s="89"/>
      <c r="AR182" s="7"/>
      <c r="AS182" s="7"/>
      <c r="AT182" s="7"/>
      <c r="AU182" s="7"/>
      <c r="AV182" s="7"/>
      <c r="AW182" s="7"/>
      <c r="AX182" s="81"/>
    </row>
    <row r="183" spans="17:50">
      <c r="Q183" s="7"/>
      <c r="AQ183" s="89"/>
      <c r="AR183" s="7"/>
      <c r="AS183" s="7"/>
      <c r="AT183" s="7"/>
      <c r="AU183" s="7"/>
      <c r="AV183" s="7"/>
      <c r="AW183" s="7"/>
      <c r="AX183" s="81"/>
    </row>
    <row r="184" spans="17:50">
      <c r="Q184" s="7"/>
      <c r="AQ184" s="89"/>
      <c r="AR184" s="7"/>
      <c r="AS184" s="7"/>
      <c r="AT184" s="7"/>
      <c r="AU184" s="7"/>
      <c r="AV184" s="7"/>
      <c r="AW184" s="7"/>
      <c r="AX184" s="81"/>
    </row>
    <row r="185" spans="17:50">
      <c r="Q185" s="7"/>
      <c r="AQ185" s="89"/>
      <c r="AR185" s="7"/>
      <c r="AS185" s="7"/>
      <c r="AT185" s="7"/>
      <c r="AU185" s="7"/>
      <c r="AV185" s="7"/>
      <c r="AW185" s="7"/>
      <c r="AX185" s="81"/>
    </row>
    <row r="186" spans="17:50">
      <c r="Q186" s="7"/>
      <c r="AQ186" s="89"/>
      <c r="AR186" s="7"/>
      <c r="AS186" s="7"/>
      <c r="AT186" s="7"/>
      <c r="AU186" s="7"/>
      <c r="AV186" s="7"/>
      <c r="AW186" s="7"/>
      <c r="AX186" s="81"/>
    </row>
    <row r="187" spans="17:50">
      <c r="Q187" s="7"/>
      <c r="AQ187" s="89"/>
      <c r="AR187" s="7"/>
      <c r="AS187" s="7"/>
      <c r="AT187" s="7"/>
      <c r="AU187" s="7"/>
      <c r="AV187" s="7"/>
      <c r="AW187" s="7"/>
      <c r="AX187" s="81"/>
    </row>
    <row r="188" spans="17:50">
      <c r="Q188" s="7"/>
      <c r="AQ188" s="89"/>
      <c r="AR188" s="7"/>
      <c r="AS188" s="7"/>
      <c r="AT188" s="7"/>
      <c r="AU188" s="7"/>
      <c r="AV188" s="7"/>
      <c r="AW188" s="7"/>
      <c r="AX188" s="81"/>
    </row>
    <row r="189" spans="17:50">
      <c r="Q189" s="7"/>
      <c r="AQ189" s="89"/>
      <c r="AR189" s="7"/>
      <c r="AS189" s="7"/>
      <c r="AT189" s="7"/>
      <c r="AU189" s="7"/>
      <c r="AV189" s="7"/>
      <c r="AW189" s="7"/>
      <c r="AX189" s="81"/>
    </row>
    <row r="190" spans="17:50">
      <c r="Q190" s="7"/>
      <c r="AQ190" s="89"/>
      <c r="AR190" s="7"/>
      <c r="AS190" s="7"/>
      <c r="AT190" s="7"/>
      <c r="AU190" s="7"/>
      <c r="AV190" s="7"/>
      <c r="AW190" s="7"/>
      <c r="AX190" s="81"/>
    </row>
    <row r="191" spans="17:50">
      <c r="Q191" s="7"/>
      <c r="AQ191" s="89"/>
      <c r="AR191" s="7"/>
      <c r="AS191" s="7"/>
      <c r="AT191" s="7"/>
      <c r="AU191" s="7"/>
      <c r="AV191" s="7"/>
      <c r="AW191" s="7"/>
      <c r="AX191" s="81"/>
    </row>
    <row r="192" spans="17:50">
      <c r="Q192" s="7"/>
      <c r="AQ192" s="89"/>
      <c r="AR192" s="7"/>
      <c r="AS192" s="7"/>
      <c r="AT192" s="7"/>
      <c r="AU192" s="7"/>
      <c r="AV192" s="7"/>
      <c r="AW192" s="7"/>
      <c r="AX192" s="81"/>
    </row>
    <row r="193" spans="17:50">
      <c r="Q193" s="7"/>
      <c r="AQ193" s="89"/>
      <c r="AR193" s="7"/>
      <c r="AS193" s="7"/>
      <c r="AT193" s="7"/>
      <c r="AU193" s="7"/>
      <c r="AV193" s="7"/>
      <c r="AW193" s="7"/>
      <c r="AX193" s="81"/>
    </row>
    <row r="194" spans="17:50">
      <c r="Q194" s="7"/>
      <c r="AQ194" s="89"/>
      <c r="AR194" s="7"/>
      <c r="AS194" s="7"/>
      <c r="AT194" s="7"/>
      <c r="AU194" s="7"/>
      <c r="AV194" s="7"/>
      <c r="AW194" s="7"/>
      <c r="AX194" s="81"/>
    </row>
    <row r="195" spans="17:50">
      <c r="Q195" s="7"/>
      <c r="AQ195" s="89"/>
      <c r="AR195" s="7"/>
      <c r="AS195" s="7"/>
      <c r="AT195" s="7"/>
      <c r="AU195" s="7"/>
      <c r="AV195" s="7"/>
      <c r="AW195" s="7"/>
      <c r="AX195" s="81"/>
    </row>
    <row r="196" spans="17:50">
      <c r="Q196" s="7"/>
      <c r="AQ196" s="89"/>
      <c r="AR196" s="7"/>
      <c r="AS196" s="7"/>
      <c r="AT196" s="7"/>
      <c r="AU196" s="7"/>
      <c r="AV196" s="7"/>
      <c r="AW196" s="7"/>
      <c r="AX196" s="81"/>
    </row>
    <row r="197" spans="17:50">
      <c r="Q197" s="7"/>
      <c r="AQ197" s="89"/>
      <c r="AR197" s="7"/>
      <c r="AS197" s="7"/>
      <c r="AT197" s="7"/>
      <c r="AU197" s="7"/>
      <c r="AV197" s="7"/>
      <c r="AW197" s="7"/>
      <c r="AX197" s="81"/>
    </row>
    <row r="198" spans="17:50">
      <c r="Q198" s="7"/>
      <c r="AQ198" s="89"/>
      <c r="AR198" s="7"/>
      <c r="AS198" s="7"/>
      <c r="AT198" s="7"/>
      <c r="AU198" s="7"/>
      <c r="AV198" s="7"/>
      <c r="AW198" s="7"/>
      <c r="AX198" s="81"/>
    </row>
    <row r="199" spans="17:50">
      <c r="Q199" s="7"/>
      <c r="AQ199" s="89"/>
      <c r="AR199" s="7"/>
      <c r="AS199" s="7"/>
      <c r="AT199" s="7"/>
      <c r="AU199" s="7"/>
      <c r="AV199" s="7"/>
      <c r="AW199" s="7"/>
      <c r="AX199" s="81"/>
    </row>
    <row r="200" spans="17:50">
      <c r="Q200" s="7"/>
      <c r="AQ200" s="89"/>
      <c r="AR200" s="7"/>
      <c r="AS200" s="7"/>
      <c r="AT200" s="7"/>
      <c r="AU200" s="7"/>
      <c r="AV200" s="7"/>
      <c r="AW200" s="7"/>
      <c r="AX200" s="81"/>
    </row>
    <row r="201" spans="17:50">
      <c r="Q201" s="7"/>
      <c r="AQ201" s="89"/>
      <c r="AR201" s="7"/>
      <c r="AS201" s="7"/>
      <c r="AT201" s="7"/>
      <c r="AU201" s="7"/>
      <c r="AV201" s="7"/>
      <c r="AW201" s="7"/>
      <c r="AX201" s="81"/>
    </row>
    <row r="202" spans="17:50">
      <c r="Q202" s="7"/>
      <c r="AQ202" s="89"/>
      <c r="AR202" s="7"/>
      <c r="AS202" s="7"/>
      <c r="AT202" s="7"/>
      <c r="AU202" s="7"/>
      <c r="AV202" s="7"/>
      <c r="AW202" s="7"/>
      <c r="AX202" s="81"/>
    </row>
    <row r="203" spans="17:50">
      <c r="Q203" s="7"/>
      <c r="AQ203" s="89"/>
      <c r="AR203" s="7"/>
      <c r="AS203" s="7"/>
      <c r="AT203" s="7"/>
      <c r="AU203" s="7"/>
      <c r="AV203" s="7"/>
      <c r="AW203" s="7"/>
      <c r="AX203" s="81"/>
    </row>
    <row r="204" spans="17:50">
      <c r="Q204" s="7"/>
      <c r="AQ204" s="89"/>
      <c r="AR204" s="7"/>
      <c r="AS204" s="7"/>
      <c r="AT204" s="7"/>
      <c r="AU204" s="7"/>
      <c r="AV204" s="7"/>
      <c r="AW204" s="7"/>
      <c r="AX204" s="81"/>
    </row>
    <row r="205" spans="17:50">
      <c r="Q205" s="7"/>
      <c r="AQ205" s="89"/>
      <c r="AR205" s="7"/>
      <c r="AS205" s="7"/>
      <c r="AT205" s="7"/>
      <c r="AU205" s="7"/>
      <c r="AV205" s="7"/>
      <c r="AW205" s="7"/>
      <c r="AX205" s="81"/>
    </row>
    <row r="206" spans="17:50">
      <c r="Q206" s="7"/>
      <c r="AQ206" s="89"/>
      <c r="AR206" s="7"/>
      <c r="AS206" s="7"/>
      <c r="AT206" s="7"/>
      <c r="AU206" s="7"/>
      <c r="AV206" s="7"/>
      <c r="AW206" s="7"/>
      <c r="AX206" s="81"/>
    </row>
    <row r="207" spans="17:50">
      <c r="Q207" s="7"/>
      <c r="AQ207" s="89"/>
      <c r="AR207" s="7"/>
      <c r="AS207" s="7"/>
      <c r="AT207" s="7"/>
      <c r="AU207" s="7"/>
      <c r="AV207" s="7"/>
      <c r="AW207" s="7"/>
      <c r="AX207" s="81"/>
    </row>
    <row r="208" spans="17:50">
      <c r="Q208" s="7"/>
      <c r="AQ208" s="89"/>
      <c r="AR208" s="7"/>
      <c r="AS208" s="7"/>
      <c r="AT208" s="7"/>
      <c r="AU208" s="7"/>
      <c r="AV208" s="7"/>
      <c r="AW208" s="7"/>
      <c r="AX208" s="81"/>
    </row>
    <row r="209" spans="17:50">
      <c r="Q209" s="7"/>
      <c r="AQ209" s="89"/>
      <c r="AR209" s="7"/>
      <c r="AS209" s="7"/>
      <c r="AT209" s="7"/>
      <c r="AU209" s="7"/>
      <c r="AV209" s="7"/>
      <c r="AW209" s="7"/>
      <c r="AX209" s="81"/>
    </row>
    <row r="210" spans="17:50">
      <c r="Q210" s="7"/>
      <c r="AQ210" s="89"/>
      <c r="AR210" s="7"/>
      <c r="AS210" s="7"/>
      <c r="AT210" s="7"/>
      <c r="AU210" s="7"/>
      <c r="AV210" s="7"/>
      <c r="AW210" s="7"/>
      <c r="AX210" s="81"/>
    </row>
    <row r="211" spans="17:50">
      <c r="Q211" s="7"/>
      <c r="AQ211" s="89"/>
      <c r="AR211" s="7"/>
      <c r="AS211" s="7"/>
      <c r="AT211" s="7"/>
      <c r="AU211" s="7"/>
      <c r="AV211" s="7"/>
      <c r="AW211" s="7"/>
      <c r="AX211" s="81"/>
    </row>
    <row r="212" spans="17:50">
      <c r="Q212" s="7"/>
      <c r="AQ212" s="89"/>
      <c r="AR212" s="7"/>
      <c r="AS212" s="7"/>
      <c r="AT212" s="7"/>
      <c r="AU212" s="7"/>
      <c r="AV212" s="7"/>
      <c r="AW212" s="7"/>
      <c r="AX212" s="81"/>
    </row>
    <row r="213" spans="17:50">
      <c r="Q213" s="7"/>
      <c r="AQ213" s="89"/>
      <c r="AR213" s="7"/>
      <c r="AS213" s="7"/>
      <c r="AT213" s="7"/>
      <c r="AU213" s="7"/>
      <c r="AV213" s="7"/>
      <c r="AW213" s="7"/>
      <c r="AX213" s="81"/>
    </row>
    <row r="214" spans="17:50">
      <c r="Q214" s="7"/>
      <c r="AQ214" s="89"/>
      <c r="AR214" s="7"/>
      <c r="AS214" s="7"/>
      <c r="AT214" s="7"/>
      <c r="AU214" s="7"/>
      <c r="AV214" s="7"/>
      <c r="AW214" s="7"/>
      <c r="AX214" s="81"/>
    </row>
    <row r="215" spans="17:50">
      <c r="Q215" s="7"/>
      <c r="AQ215" s="89"/>
      <c r="AR215" s="7"/>
      <c r="AS215" s="7"/>
      <c r="AT215" s="7"/>
      <c r="AU215" s="7"/>
      <c r="AV215" s="7"/>
      <c r="AW215" s="7"/>
      <c r="AX215" s="81"/>
    </row>
    <row r="216" spans="17:50">
      <c r="Q216" s="7"/>
      <c r="AQ216" s="89"/>
      <c r="AR216" s="7"/>
      <c r="AS216" s="7"/>
      <c r="AT216" s="7"/>
      <c r="AU216" s="7"/>
      <c r="AV216" s="7"/>
      <c r="AW216" s="7"/>
      <c r="AX216" s="81"/>
    </row>
    <row r="217" spans="17:50">
      <c r="Q217" s="7"/>
      <c r="AQ217" s="89"/>
      <c r="AR217" s="7"/>
      <c r="AS217" s="7"/>
      <c r="AT217" s="7"/>
      <c r="AU217" s="7"/>
      <c r="AV217" s="7"/>
      <c r="AW217" s="7"/>
      <c r="AX217" s="81"/>
    </row>
    <row r="218" spans="17:50">
      <c r="Q218" s="7"/>
      <c r="AQ218" s="89"/>
      <c r="AR218" s="7"/>
      <c r="AS218" s="7"/>
      <c r="AT218" s="7"/>
      <c r="AU218" s="7"/>
      <c r="AV218" s="7"/>
      <c r="AW218" s="7"/>
      <c r="AX218" s="81"/>
    </row>
    <row r="219" spans="17:50">
      <c r="Q219" s="7"/>
      <c r="AQ219" s="89"/>
      <c r="AR219" s="7"/>
      <c r="AS219" s="7"/>
      <c r="AT219" s="7"/>
      <c r="AU219" s="7"/>
      <c r="AV219" s="7"/>
      <c r="AW219" s="7"/>
      <c r="AX219" s="81"/>
    </row>
    <row r="220" spans="17:50">
      <c r="Q220" s="7"/>
      <c r="AQ220" s="89"/>
      <c r="AR220" s="7"/>
      <c r="AS220" s="7"/>
      <c r="AT220" s="7"/>
      <c r="AU220" s="7"/>
      <c r="AV220" s="7"/>
      <c r="AW220" s="7"/>
      <c r="AX220" s="81"/>
    </row>
    <row r="221" spans="17:50">
      <c r="Q221" s="7"/>
      <c r="AQ221" s="89"/>
      <c r="AR221" s="7"/>
      <c r="AS221" s="7"/>
      <c r="AT221" s="7"/>
      <c r="AU221" s="7"/>
      <c r="AV221" s="7"/>
      <c r="AW221" s="7"/>
      <c r="AX221" s="81"/>
    </row>
    <row r="222" spans="17:50">
      <c r="Q222" s="7"/>
      <c r="AQ222" s="89"/>
      <c r="AR222" s="7"/>
      <c r="AS222" s="7"/>
      <c r="AT222" s="7"/>
      <c r="AU222" s="7"/>
      <c r="AV222" s="7"/>
      <c r="AW222" s="7"/>
      <c r="AX222" s="81"/>
    </row>
    <row r="223" spans="17:50">
      <c r="Q223" s="7"/>
      <c r="AQ223" s="89"/>
      <c r="AR223" s="7"/>
      <c r="AS223" s="7"/>
      <c r="AT223" s="7"/>
      <c r="AU223" s="7"/>
      <c r="AV223" s="7"/>
      <c r="AW223" s="7"/>
      <c r="AX223" s="81"/>
    </row>
    <row r="224" spans="17:50">
      <c r="Q224" s="7"/>
      <c r="AQ224" s="89"/>
      <c r="AR224" s="7"/>
      <c r="AS224" s="7"/>
      <c r="AT224" s="7"/>
      <c r="AU224" s="7"/>
      <c r="AV224" s="7"/>
      <c r="AW224" s="7"/>
      <c r="AX224" s="81"/>
    </row>
    <row r="225" spans="17:50">
      <c r="Q225" s="7"/>
      <c r="AQ225" s="89"/>
      <c r="AR225" s="7"/>
      <c r="AS225" s="7"/>
      <c r="AT225" s="7"/>
      <c r="AU225" s="7"/>
      <c r="AV225" s="7"/>
      <c r="AW225" s="7"/>
      <c r="AX225" s="81"/>
    </row>
    <row r="226" spans="17:50">
      <c r="Q226" s="7"/>
      <c r="AQ226" s="89"/>
      <c r="AR226" s="7"/>
      <c r="AS226" s="7"/>
      <c r="AT226" s="7"/>
      <c r="AU226" s="7"/>
      <c r="AV226" s="7"/>
      <c r="AW226" s="7"/>
      <c r="AX226" s="81"/>
    </row>
    <row r="227" spans="17:50">
      <c r="Q227" s="7"/>
      <c r="AQ227" s="89"/>
      <c r="AR227" s="7"/>
      <c r="AS227" s="7"/>
      <c r="AT227" s="7"/>
      <c r="AU227" s="7"/>
      <c r="AV227" s="7"/>
      <c r="AW227" s="7"/>
      <c r="AX227" s="81"/>
    </row>
    <row r="228" spans="17:50">
      <c r="Q228" s="7"/>
      <c r="AQ228" s="89"/>
      <c r="AR228" s="7"/>
      <c r="AS228" s="7"/>
      <c r="AT228" s="7"/>
      <c r="AU228" s="7"/>
      <c r="AV228" s="7"/>
      <c r="AW228" s="7"/>
      <c r="AX228" s="81"/>
    </row>
    <row r="229" spans="17:50">
      <c r="Q229" s="7"/>
      <c r="AQ229" s="89"/>
      <c r="AR229" s="7"/>
      <c r="AS229" s="7"/>
      <c r="AT229" s="7"/>
      <c r="AU229" s="7"/>
      <c r="AV229" s="7"/>
      <c r="AW229" s="7"/>
      <c r="AX229" s="81"/>
    </row>
    <row r="230" spans="17:50">
      <c r="Q230" s="7"/>
      <c r="AQ230" s="89"/>
      <c r="AR230" s="7"/>
      <c r="AS230" s="7"/>
      <c r="AT230" s="7"/>
      <c r="AU230" s="7"/>
      <c r="AV230" s="7"/>
      <c r="AW230" s="7"/>
      <c r="AX230" s="81"/>
    </row>
    <row r="231" spans="17:50">
      <c r="Q231" s="7"/>
      <c r="AQ231" s="89"/>
      <c r="AR231" s="7"/>
      <c r="AS231" s="7"/>
      <c r="AT231" s="7"/>
      <c r="AU231" s="7"/>
      <c r="AV231" s="7"/>
      <c r="AW231" s="7"/>
      <c r="AX231" s="81"/>
    </row>
    <row r="232" spans="17:50">
      <c r="Q232" s="7"/>
      <c r="AQ232" s="89"/>
      <c r="AR232" s="7"/>
      <c r="AS232" s="7"/>
      <c r="AT232" s="7"/>
      <c r="AU232" s="7"/>
      <c r="AV232" s="7"/>
      <c r="AW232" s="7"/>
      <c r="AX232" s="81"/>
    </row>
    <row r="233" spans="17:50">
      <c r="Q233" s="7"/>
      <c r="AQ233" s="89"/>
      <c r="AR233" s="7"/>
      <c r="AS233" s="7"/>
      <c r="AT233" s="7"/>
      <c r="AU233" s="7"/>
      <c r="AV233" s="7"/>
      <c r="AW233" s="7"/>
      <c r="AX233" s="81"/>
    </row>
    <row r="234" spans="17:50">
      <c r="Q234" s="7"/>
      <c r="AQ234" s="89"/>
      <c r="AR234" s="7"/>
      <c r="AS234" s="7"/>
      <c r="AT234" s="7"/>
      <c r="AU234" s="7"/>
      <c r="AV234" s="7"/>
      <c r="AW234" s="7"/>
      <c r="AX234" s="81"/>
    </row>
    <row r="235" spans="17:50">
      <c r="Q235" s="7"/>
      <c r="AQ235" s="89"/>
      <c r="AR235" s="7"/>
      <c r="AS235" s="7"/>
      <c r="AT235" s="7"/>
      <c r="AU235" s="7"/>
      <c r="AV235" s="7"/>
      <c r="AW235" s="7"/>
      <c r="AX235" s="81"/>
    </row>
    <row r="236" spans="17:50">
      <c r="Q236" s="7"/>
      <c r="AQ236" s="89"/>
      <c r="AR236" s="7"/>
      <c r="AS236" s="7"/>
      <c r="AT236" s="7"/>
      <c r="AU236" s="7"/>
      <c r="AV236" s="7"/>
      <c r="AW236" s="7"/>
      <c r="AX236" s="81"/>
    </row>
    <row r="237" spans="17:50">
      <c r="Q237" s="7"/>
      <c r="AQ237" s="89"/>
      <c r="AR237" s="7"/>
      <c r="AS237" s="7"/>
      <c r="AT237" s="7"/>
      <c r="AU237" s="7"/>
      <c r="AV237" s="7"/>
      <c r="AW237" s="7"/>
      <c r="AX237" s="81"/>
    </row>
    <row r="238" spans="17:50">
      <c r="Q238" s="7"/>
      <c r="AQ238" s="89"/>
      <c r="AR238" s="7"/>
      <c r="AS238" s="7"/>
      <c r="AT238" s="7"/>
      <c r="AU238" s="7"/>
      <c r="AV238" s="7"/>
      <c r="AW238" s="7"/>
      <c r="AX238" s="81"/>
    </row>
    <row r="239" spans="17:50">
      <c r="Q239" s="7"/>
      <c r="AQ239" s="89"/>
      <c r="AR239" s="7"/>
      <c r="AS239" s="7"/>
      <c r="AT239" s="7"/>
      <c r="AU239" s="7"/>
      <c r="AV239" s="7"/>
      <c r="AW239" s="7"/>
      <c r="AX239" s="81"/>
    </row>
    <row r="240" spans="17:50">
      <c r="Q240" s="7"/>
      <c r="AQ240" s="89"/>
      <c r="AR240" s="7"/>
      <c r="AS240" s="7"/>
      <c r="AT240" s="7"/>
      <c r="AU240" s="7"/>
      <c r="AV240" s="7"/>
      <c r="AW240" s="7"/>
      <c r="AX240" s="81"/>
    </row>
    <row r="241" spans="17:50">
      <c r="Q241" s="7"/>
      <c r="AQ241" s="89"/>
      <c r="AR241" s="7"/>
      <c r="AS241" s="7"/>
      <c r="AT241" s="7"/>
      <c r="AU241" s="7"/>
      <c r="AV241" s="7"/>
      <c r="AW241" s="7"/>
      <c r="AX241" s="81"/>
    </row>
    <row r="242" spans="17:50">
      <c r="Q242" s="7"/>
      <c r="AQ242" s="89"/>
      <c r="AR242" s="7"/>
      <c r="AS242" s="7"/>
      <c r="AT242" s="7"/>
      <c r="AU242" s="7"/>
      <c r="AV242" s="7"/>
      <c r="AW242" s="7"/>
      <c r="AX242" s="81"/>
    </row>
    <row r="243" spans="17:50">
      <c r="Q243" s="7"/>
      <c r="AQ243" s="89"/>
      <c r="AR243" s="7"/>
      <c r="AS243" s="7"/>
      <c r="AT243" s="7"/>
      <c r="AU243" s="7"/>
      <c r="AV243" s="7"/>
      <c r="AW243" s="7"/>
      <c r="AX243" s="81"/>
    </row>
    <row r="244" spans="17:50">
      <c r="Q244" s="7"/>
      <c r="AQ244" s="89"/>
      <c r="AR244" s="7"/>
      <c r="AS244" s="7"/>
      <c r="AT244" s="7"/>
      <c r="AU244" s="7"/>
      <c r="AV244" s="7"/>
      <c r="AW244" s="7"/>
      <c r="AX244" s="81"/>
    </row>
    <row r="245" spans="17:50">
      <c r="Q245" s="7"/>
      <c r="AQ245" s="89"/>
      <c r="AR245" s="7"/>
      <c r="AS245" s="7"/>
      <c r="AT245" s="7"/>
      <c r="AU245" s="7"/>
      <c r="AV245" s="7"/>
      <c r="AW245" s="7"/>
      <c r="AX245" s="81"/>
    </row>
    <row r="246" spans="17:50">
      <c r="Q246" s="7"/>
      <c r="AQ246" s="89"/>
      <c r="AR246" s="7"/>
      <c r="AS246" s="7"/>
      <c r="AT246" s="7"/>
      <c r="AU246" s="7"/>
      <c r="AV246" s="7"/>
      <c r="AW246" s="7"/>
      <c r="AX246" s="81"/>
    </row>
    <row r="247" spans="17:50">
      <c r="Q247" s="7"/>
      <c r="AQ247" s="89"/>
      <c r="AR247" s="7"/>
      <c r="AS247" s="7"/>
      <c r="AT247" s="7"/>
      <c r="AU247" s="7"/>
      <c r="AV247" s="7"/>
      <c r="AW247" s="7"/>
      <c r="AX247" s="81"/>
    </row>
    <row r="248" spans="17:50">
      <c r="Q248" s="7"/>
      <c r="AQ248" s="89"/>
      <c r="AR248" s="7"/>
      <c r="AS248" s="7"/>
      <c r="AT248" s="7"/>
      <c r="AU248" s="7"/>
      <c r="AV248" s="7"/>
      <c r="AW248" s="7"/>
      <c r="AX248" s="81"/>
    </row>
    <row r="249" spans="17:50">
      <c r="Q249" s="7"/>
      <c r="AQ249" s="89"/>
      <c r="AR249" s="7"/>
      <c r="AS249" s="7"/>
      <c r="AT249" s="7"/>
      <c r="AU249" s="7"/>
      <c r="AV249" s="7"/>
      <c r="AW249" s="7"/>
      <c r="AX249" s="81"/>
    </row>
    <row r="250" spans="17:50">
      <c r="Q250" s="7"/>
      <c r="AQ250" s="89"/>
      <c r="AR250" s="7"/>
      <c r="AS250" s="7"/>
      <c r="AT250" s="7"/>
      <c r="AU250" s="7"/>
      <c r="AV250" s="7"/>
      <c r="AW250" s="7"/>
      <c r="AX250" s="81"/>
    </row>
    <row r="251" spans="17:50">
      <c r="Q251" s="7"/>
      <c r="AQ251" s="89"/>
      <c r="AR251" s="7"/>
      <c r="AS251" s="7"/>
      <c r="AT251" s="7"/>
      <c r="AU251" s="7"/>
      <c r="AV251" s="7"/>
      <c r="AW251" s="7"/>
      <c r="AX251" s="81"/>
    </row>
    <row r="252" spans="17:50">
      <c r="Q252" s="7"/>
      <c r="AQ252" s="89"/>
      <c r="AR252" s="7"/>
      <c r="AS252" s="7"/>
      <c r="AT252" s="7"/>
      <c r="AU252" s="7"/>
      <c r="AV252" s="7"/>
      <c r="AW252" s="7"/>
      <c r="AX252" s="81"/>
    </row>
    <row r="253" spans="17:50">
      <c r="Q253" s="7"/>
      <c r="AQ253" s="89"/>
      <c r="AR253" s="7"/>
      <c r="AS253" s="7"/>
      <c r="AT253" s="7"/>
      <c r="AU253" s="7"/>
      <c r="AV253" s="7"/>
      <c r="AW253" s="7"/>
      <c r="AX253" s="81"/>
    </row>
    <row r="254" spans="17:50">
      <c r="Q254" s="7"/>
      <c r="AQ254" s="89"/>
      <c r="AR254" s="7"/>
      <c r="AS254" s="7"/>
      <c r="AT254" s="7"/>
      <c r="AU254" s="7"/>
      <c r="AV254" s="7"/>
      <c r="AW254" s="7"/>
      <c r="AX254" s="81"/>
    </row>
    <row r="255" spans="17:50">
      <c r="Q255" s="7"/>
      <c r="AQ255" s="89"/>
      <c r="AR255" s="7"/>
      <c r="AS255" s="7"/>
      <c r="AT255" s="7"/>
      <c r="AU255" s="7"/>
      <c r="AV255" s="7"/>
      <c r="AW255" s="7"/>
      <c r="AX255" s="81"/>
    </row>
    <row r="256" spans="17:50">
      <c r="Q256" s="7"/>
      <c r="AQ256" s="89"/>
      <c r="AR256" s="7"/>
      <c r="AS256" s="7"/>
      <c r="AT256" s="7"/>
      <c r="AU256" s="7"/>
      <c r="AV256" s="7"/>
      <c r="AW256" s="7"/>
      <c r="AX256" s="81"/>
    </row>
    <row r="257" spans="17:50">
      <c r="Q257" s="7"/>
      <c r="AQ257" s="89"/>
      <c r="AR257" s="7"/>
      <c r="AS257" s="7"/>
      <c r="AT257" s="7"/>
      <c r="AU257" s="7"/>
      <c r="AV257" s="7"/>
      <c r="AW257" s="7"/>
      <c r="AX257" s="81"/>
    </row>
    <row r="258" spans="17:50">
      <c r="Q258" s="7"/>
      <c r="AQ258" s="89"/>
      <c r="AR258" s="7"/>
      <c r="AS258" s="7"/>
      <c r="AT258" s="7"/>
      <c r="AU258" s="7"/>
      <c r="AV258" s="7"/>
      <c r="AW258" s="7"/>
      <c r="AX258" s="81"/>
    </row>
    <row r="259" spans="17:50">
      <c r="Q259" s="7"/>
      <c r="AQ259" s="89"/>
      <c r="AR259" s="7"/>
      <c r="AS259" s="7"/>
      <c r="AT259" s="7"/>
      <c r="AU259" s="7"/>
      <c r="AV259" s="7"/>
      <c r="AW259" s="7"/>
      <c r="AX259" s="81"/>
    </row>
    <row r="260" spans="17:50">
      <c r="Q260" s="7"/>
      <c r="AQ260" s="89"/>
      <c r="AR260" s="7"/>
      <c r="AS260" s="7"/>
      <c r="AT260" s="7"/>
      <c r="AU260" s="7"/>
      <c r="AV260" s="7"/>
      <c r="AW260" s="7"/>
      <c r="AX260" s="81"/>
    </row>
    <row r="261" spans="17:50">
      <c r="Q261" s="7"/>
      <c r="AQ261" s="89"/>
      <c r="AR261" s="7"/>
      <c r="AS261" s="7"/>
      <c r="AT261" s="7"/>
      <c r="AU261" s="7"/>
      <c r="AV261" s="7"/>
      <c r="AW261" s="7"/>
      <c r="AX261" s="81"/>
    </row>
    <row r="262" spans="17:50">
      <c r="Q262" s="7"/>
      <c r="AQ262" s="89"/>
      <c r="AR262" s="7"/>
      <c r="AS262" s="7"/>
      <c r="AT262" s="7"/>
      <c r="AU262" s="7"/>
      <c r="AV262" s="7"/>
      <c r="AW262" s="7"/>
      <c r="AX262" s="81"/>
    </row>
    <row r="263" spans="17:50">
      <c r="Q263" s="7"/>
      <c r="AQ263" s="89"/>
      <c r="AR263" s="7"/>
      <c r="AS263" s="7"/>
      <c r="AT263" s="7"/>
      <c r="AU263" s="7"/>
      <c r="AV263" s="7"/>
      <c r="AW263" s="7"/>
      <c r="AX263" s="81"/>
    </row>
    <row r="264" spans="17:50">
      <c r="Q264" s="7"/>
      <c r="AQ264" s="89"/>
      <c r="AR264" s="7"/>
      <c r="AS264" s="7"/>
      <c r="AT264" s="7"/>
      <c r="AU264" s="7"/>
      <c r="AV264" s="7"/>
      <c r="AW264" s="7"/>
      <c r="AX264" s="81"/>
    </row>
    <row r="265" spans="17:50">
      <c r="Q265" s="7"/>
      <c r="AQ265" s="89"/>
      <c r="AR265" s="7"/>
      <c r="AS265" s="7"/>
      <c r="AT265" s="7"/>
      <c r="AU265" s="7"/>
      <c r="AV265" s="7"/>
      <c r="AW265" s="7"/>
      <c r="AX265" s="81"/>
    </row>
    <row r="266" spans="17:50">
      <c r="Q266" s="7"/>
      <c r="AQ266" s="89"/>
      <c r="AR266" s="7"/>
      <c r="AS266" s="7"/>
      <c r="AT266" s="7"/>
      <c r="AU266" s="7"/>
      <c r="AV266" s="7"/>
      <c r="AW266" s="7"/>
      <c r="AX266" s="81"/>
    </row>
    <row r="267" spans="17:50">
      <c r="Q267" s="7"/>
      <c r="AQ267" s="89"/>
      <c r="AR267" s="7"/>
      <c r="AS267" s="7"/>
      <c r="AT267" s="7"/>
      <c r="AU267" s="7"/>
      <c r="AV267" s="7"/>
      <c r="AW267" s="7"/>
      <c r="AX267" s="81"/>
    </row>
    <row r="268" spans="17:50">
      <c r="Q268" s="7"/>
      <c r="AQ268" s="89"/>
      <c r="AR268" s="7"/>
      <c r="AS268" s="7"/>
      <c r="AT268" s="7"/>
      <c r="AU268" s="7"/>
      <c r="AV268" s="7"/>
      <c r="AW268" s="7"/>
      <c r="AX268" s="81"/>
    </row>
    <row r="269" spans="17:50">
      <c r="Q269" s="7"/>
      <c r="AQ269" s="89"/>
      <c r="AR269" s="7"/>
      <c r="AS269" s="7"/>
      <c r="AT269" s="7"/>
      <c r="AU269" s="7"/>
      <c r="AV269" s="7"/>
      <c r="AW269" s="7"/>
      <c r="AX269" s="81"/>
    </row>
    <row r="270" spans="17:50">
      <c r="Q270" s="7"/>
      <c r="AQ270" s="89"/>
      <c r="AR270" s="7"/>
      <c r="AS270" s="7"/>
      <c r="AT270" s="7"/>
      <c r="AU270" s="7"/>
      <c r="AV270" s="7"/>
      <c r="AW270" s="7"/>
      <c r="AX270" s="81"/>
    </row>
    <row r="271" spans="17:50">
      <c r="Q271" s="7"/>
      <c r="AQ271" s="89"/>
      <c r="AR271" s="7"/>
      <c r="AS271" s="7"/>
      <c r="AT271" s="7"/>
      <c r="AU271" s="7"/>
      <c r="AV271" s="7"/>
      <c r="AW271" s="7"/>
      <c r="AX271" s="81"/>
    </row>
    <row r="272" spans="17:50">
      <c r="Q272" s="7"/>
      <c r="AQ272" s="89"/>
      <c r="AR272" s="7"/>
      <c r="AS272" s="7"/>
      <c r="AT272" s="7"/>
      <c r="AU272" s="7"/>
      <c r="AV272" s="7"/>
      <c r="AW272" s="7"/>
      <c r="AX272" s="81"/>
    </row>
    <row r="273" spans="17:50">
      <c r="Q273" s="7"/>
      <c r="AQ273" s="89"/>
      <c r="AR273" s="7"/>
      <c r="AS273" s="7"/>
      <c r="AT273" s="7"/>
      <c r="AU273" s="7"/>
      <c r="AV273" s="7"/>
      <c r="AW273" s="7"/>
      <c r="AX273" s="81"/>
    </row>
    <row r="274" spans="17:50">
      <c r="Q274" s="7"/>
      <c r="AQ274" s="89"/>
      <c r="AR274" s="7"/>
      <c r="AS274" s="7"/>
      <c r="AT274" s="7"/>
      <c r="AU274" s="7"/>
      <c r="AV274" s="7"/>
      <c r="AW274" s="7"/>
      <c r="AX274" s="81"/>
    </row>
    <row r="275" spans="17:50">
      <c r="Q275" s="7"/>
      <c r="AQ275" s="89"/>
      <c r="AR275" s="7"/>
      <c r="AS275" s="7"/>
      <c r="AT275" s="7"/>
      <c r="AU275" s="7"/>
      <c r="AV275" s="7"/>
      <c r="AW275" s="7"/>
      <c r="AX275" s="81"/>
    </row>
    <row r="276" spans="17:50">
      <c r="Q276" s="7"/>
      <c r="AQ276" s="89"/>
      <c r="AR276" s="7"/>
      <c r="AS276" s="7"/>
      <c r="AT276" s="7"/>
      <c r="AU276" s="7"/>
      <c r="AV276" s="7"/>
      <c r="AW276" s="7"/>
      <c r="AX276" s="81"/>
    </row>
    <row r="277" spans="17:50">
      <c r="Q277" s="7"/>
      <c r="AQ277" s="89"/>
      <c r="AR277" s="7"/>
      <c r="AS277" s="7"/>
      <c r="AT277" s="7"/>
      <c r="AU277" s="7"/>
      <c r="AV277" s="7"/>
      <c r="AW277" s="7"/>
      <c r="AX277" s="81"/>
    </row>
    <row r="278" spans="17:50">
      <c r="Q278" s="7"/>
      <c r="AQ278" s="89"/>
      <c r="AR278" s="7"/>
      <c r="AS278" s="7"/>
      <c r="AT278" s="7"/>
      <c r="AU278" s="7"/>
      <c r="AV278" s="7"/>
      <c r="AW278" s="7"/>
      <c r="AX278" s="81"/>
    </row>
    <row r="279" spans="17:50">
      <c r="Q279" s="7"/>
      <c r="AQ279" s="89"/>
      <c r="AR279" s="7"/>
      <c r="AS279" s="7"/>
      <c r="AT279" s="7"/>
      <c r="AU279" s="7"/>
      <c r="AV279" s="7"/>
      <c r="AW279" s="7"/>
      <c r="AX279" s="81"/>
    </row>
    <row r="280" spans="17:50">
      <c r="Q280" s="7"/>
      <c r="AQ280" s="89"/>
      <c r="AR280" s="7"/>
      <c r="AS280" s="7"/>
      <c r="AT280" s="7"/>
      <c r="AU280" s="7"/>
      <c r="AV280" s="7"/>
      <c r="AW280" s="7"/>
      <c r="AX280" s="81"/>
    </row>
    <row r="281" spans="17:50">
      <c r="Q281" s="7"/>
      <c r="AQ281" s="89"/>
      <c r="AR281" s="7"/>
      <c r="AS281" s="7"/>
      <c r="AT281" s="7"/>
      <c r="AU281" s="7"/>
      <c r="AV281" s="7"/>
      <c r="AW281" s="7"/>
      <c r="AX281" s="81"/>
    </row>
    <row r="282" spans="17:50">
      <c r="Q282" s="7"/>
      <c r="AQ282" s="89"/>
      <c r="AR282" s="7"/>
      <c r="AS282" s="7"/>
      <c r="AT282" s="7"/>
      <c r="AU282" s="7"/>
      <c r="AV282" s="7"/>
      <c r="AW282" s="7"/>
      <c r="AX282" s="81"/>
    </row>
    <row r="283" spans="17:50">
      <c r="Q283" s="7"/>
      <c r="AQ283" s="89"/>
      <c r="AR283" s="7"/>
      <c r="AS283" s="7"/>
      <c r="AT283" s="7"/>
      <c r="AU283" s="7"/>
      <c r="AV283" s="7"/>
      <c r="AW283" s="7"/>
      <c r="AX283" s="81"/>
    </row>
    <row r="284" spans="17:50">
      <c r="Q284" s="7"/>
      <c r="AQ284" s="89"/>
      <c r="AR284" s="7"/>
      <c r="AS284" s="7"/>
      <c r="AT284" s="7"/>
      <c r="AU284" s="7"/>
      <c r="AV284" s="7"/>
      <c r="AW284" s="7"/>
      <c r="AX284" s="81"/>
    </row>
    <row r="285" spans="17:50">
      <c r="Q285" s="7"/>
      <c r="AQ285" s="89"/>
      <c r="AR285" s="7"/>
      <c r="AS285" s="7"/>
      <c r="AT285" s="7"/>
      <c r="AU285" s="7"/>
      <c r="AV285" s="7"/>
      <c r="AW285" s="7"/>
      <c r="AX285" s="81"/>
    </row>
    <row r="286" spans="17:50">
      <c r="Q286" s="7"/>
      <c r="AQ286" s="89"/>
      <c r="AR286" s="7"/>
      <c r="AS286" s="7"/>
      <c r="AT286" s="7"/>
      <c r="AU286" s="7"/>
      <c r="AV286" s="7"/>
      <c r="AW286" s="7"/>
      <c r="AX286" s="81"/>
    </row>
    <row r="287" spans="17:50">
      <c r="Q287" s="7"/>
      <c r="AQ287" s="89"/>
      <c r="AR287" s="7"/>
      <c r="AS287" s="7"/>
      <c r="AT287" s="7"/>
      <c r="AU287" s="7"/>
      <c r="AV287" s="7"/>
      <c r="AW287" s="7"/>
      <c r="AX287" s="81"/>
    </row>
    <row r="288" spans="17:50">
      <c r="Q288" s="7"/>
      <c r="AQ288" s="89"/>
      <c r="AR288" s="7"/>
      <c r="AS288" s="7"/>
      <c r="AT288" s="7"/>
      <c r="AU288" s="7"/>
      <c r="AV288" s="7"/>
      <c r="AW288" s="7"/>
      <c r="AX288" s="81"/>
    </row>
    <row r="289" spans="17:50">
      <c r="Q289" s="7"/>
      <c r="AQ289" s="89"/>
      <c r="AR289" s="7"/>
      <c r="AS289" s="7"/>
      <c r="AT289" s="7"/>
      <c r="AU289" s="7"/>
      <c r="AV289" s="7"/>
      <c r="AW289" s="7"/>
      <c r="AX289" s="81"/>
    </row>
    <row r="290" spans="17:50">
      <c r="Q290" s="7"/>
      <c r="AQ290" s="89"/>
      <c r="AR290" s="7"/>
      <c r="AS290" s="7"/>
      <c r="AT290" s="7"/>
      <c r="AU290" s="7"/>
      <c r="AV290" s="7"/>
      <c r="AW290" s="7"/>
      <c r="AX290" s="81"/>
    </row>
    <row r="291" spans="17:50">
      <c r="Q291" s="7"/>
      <c r="AQ291" s="89"/>
      <c r="AR291" s="7"/>
      <c r="AS291" s="7"/>
      <c r="AT291" s="7"/>
      <c r="AU291" s="7"/>
      <c r="AV291" s="7"/>
      <c r="AW291" s="7"/>
      <c r="AX291" s="81"/>
    </row>
    <row r="292" spans="17:50">
      <c r="Q292" s="7"/>
      <c r="AQ292" s="89"/>
      <c r="AR292" s="7"/>
      <c r="AS292" s="7"/>
      <c r="AT292" s="7"/>
      <c r="AU292" s="7"/>
      <c r="AV292" s="7"/>
      <c r="AW292" s="7"/>
      <c r="AX292" s="81"/>
    </row>
    <row r="293" spans="17:50">
      <c r="Q293" s="7"/>
      <c r="AQ293" s="89"/>
      <c r="AR293" s="7"/>
      <c r="AS293" s="7"/>
      <c r="AT293" s="7"/>
      <c r="AU293" s="7"/>
      <c r="AV293" s="7"/>
      <c r="AW293" s="7"/>
      <c r="AX293" s="81"/>
    </row>
    <row r="294" spans="17:50">
      <c r="Q294" s="7"/>
      <c r="AQ294" s="89"/>
      <c r="AR294" s="7"/>
      <c r="AS294" s="7"/>
      <c r="AT294" s="7"/>
      <c r="AU294" s="7"/>
      <c r="AV294" s="7"/>
      <c r="AW294" s="7"/>
      <c r="AX294" s="81"/>
    </row>
    <row r="295" spans="17:50">
      <c r="Q295" s="7"/>
      <c r="AQ295" s="89"/>
      <c r="AR295" s="7"/>
      <c r="AS295" s="7"/>
      <c r="AT295" s="7"/>
      <c r="AU295" s="7"/>
      <c r="AV295" s="7"/>
      <c r="AW295" s="7"/>
      <c r="AX295" s="81"/>
    </row>
    <row r="296" spans="17:50">
      <c r="Q296" s="7"/>
      <c r="AQ296" s="89"/>
      <c r="AR296" s="7"/>
      <c r="AS296" s="7"/>
      <c r="AT296" s="7"/>
      <c r="AU296" s="7"/>
      <c r="AV296" s="7"/>
      <c r="AW296" s="7"/>
      <c r="AX296" s="81"/>
    </row>
    <row r="297" spans="17:50">
      <c r="Q297" s="7"/>
      <c r="AQ297" s="89"/>
      <c r="AR297" s="7"/>
      <c r="AS297" s="7"/>
      <c r="AT297" s="7"/>
      <c r="AU297" s="7"/>
      <c r="AV297" s="7"/>
      <c r="AW297" s="7"/>
      <c r="AX297" s="81"/>
    </row>
    <row r="298" spans="17:50">
      <c r="Q298" s="7"/>
      <c r="AQ298" s="89"/>
      <c r="AR298" s="7"/>
      <c r="AS298" s="7"/>
      <c r="AT298" s="7"/>
      <c r="AU298" s="7"/>
      <c r="AV298" s="7"/>
      <c r="AW298" s="7"/>
      <c r="AX298" s="81"/>
    </row>
    <row r="299" spans="17:50">
      <c r="Q299" s="7"/>
      <c r="AQ299" s="89"/>
      <c r="AR299" s="7"/>
      <c r="AS299" s="7"/>
      <c r="AT299" s="7"/>
      <c r="AU299" s="7"/>
      <c r="AV299" s="7"/>
      <c r="AW299" s="7"/>
      <c r="AX299" s="81"/>
    </row>
    <row r="300" spans="17:50">
      <c r="Q300" s="7"/>
      <c r="AQ300" s="89"/>
      <c r="AR300" s="7"/>
      <c r="AS300" s="7"/>
      <c r="AT300" s="7"/>
      <c r="AU300" s="7"/>
      <c r="AV300" s="7"/>
      <c r="AW300" s="7"/>
      <c r="AX300" s="81"/>
    </row>
    <row r="301" spans="17:50">
      <c r="Q301" s="7"/>
      <c r="AQ301" s="89"/>
      <c r="AR301" s="7"/>
      <c r="AS301" s="7"/>
      <c r="AT301" s="7"/>
      <c r="AU301" s="7"/>
      <c r="AV301" s="7"/>
      <c r="AW301" s="7"/>
      <c r="AX301" s="81"/>
    </row>
    <row r="302" spans="17:50">
      <c r="Q302" s="7"/>
      <c r="AQ302" s="89"/>
      <c r="AR302" s="7"/>
      <c r="AS302" s="7"/>
      <c r="AT302" s="7"/>
      <c r="AU302" s="7"/>
      <c r="AV302" s="7"/>
      <c r="AW302" s="7"/>
      <c r="AX302" s="81"/>
    </row>
    <row r="303" spans="17:50">
      <c r="Q303" s="7"/>
      <c r="AQ303" s="89"/>
      <c r="AR303" s="7"/>
      <c r="AS303" s="7"/>
      <c r="AT303" s="7"/>
      <c r="AU303" s="7"/>
      <c r="AV303" s="7"/>
      <c r="AW303" s="7"/>
      <c r="AX303" s="81"/>
    </row>
    <row r="304" spans="17:50">
      <c r="Q304" s="7"/>
      <c r="AQ304" s="89"/>
      <c r="AR304" s="7"/>
      <c r="AS304" s="7"/>
      <c r="AT304" s="7"/>
      <c r="AU304" s="7"/>
      <c r="AV304" s="7"/>
      <c r="AW304" s="7"/>
      <c r="AX304" s="81"/>
    </row>
    <row r="305" spans="17:50">
      <c r="Q305" s="7"/>
      <c r="AQ305" s="89"/>
      <c r="AR305" s="7"/>
      <c r="AS305" s="7"/>
      <c r="AT305" s="7"/>
      <c r="AU305" s="7"/>
      <c r="AV305" s="7"/>
      <c r="AW305" s="7"/>
      <c r="AX305" s="81"/>
    </row>
    <row r="306" spans="17:50">
      <c r="Q306" s="7"/>
      <c r="AQ306" s="89"/>
      <c r="AR306" s="7"/>
      <c r="AS306" s="7"/>
      <c r="AT306" s="7"/>
      <c r="AU306" s="7"/>
      <c r="AV306" s="7"/>
      <c r="AW306" s="7"/>
      <c r="AX306" s="81"/>
    </row>
    <row r="307" spans="17:50">
      <c r="Q307" s="7"/>
      <c r="AQ307" s="89"/>
      <c r="AR307" s="7"/>
      <c r="AS307" s="7"/>
      <c r="AT307" s="7"/>
      <c r="AU307" s="7"/>
      <c r="AV307" s="7"/>
      <c r="AW307" s="7"/>
      <c r="AX307" s="81"/>
    </row>
    <row r="308" spans="17:50">
      <c r="Q308" s="7"/>
      <c r="AQ308" s="89"/>
      <c r="AR308" s="7"/>
      <c r="AS308" s="7"/>
      <c r="AT308" s="7"/>
      <c r="AU308" s="7"/>
      <c r="AV308" s="7"/>
      <c r="AW308" s="7"/>
      <c r="AX308" s="81"/>
    </row>
    <row r="309" spans="17:50">
      <c r="Q309" s="7"/>
      <c r="AQ309" s="89"/>
      <c r="AR309" s="7"/>
      <c r="AS309" s="7"/>
      <c r="AT309" s="7"/>
      <c r="AU309" s="7"/>
      <c r="AV309" s="7"/>
      <c r="AW309" s="7"/>
      <c r="AX309" s="81"/>
    </row>
    <row r="310" spans="17:50">
      <c r="Q310" s="7"/>
      <c r="AQ310" s="89"/>
      <c r="AR310" s="7"/>
      <c r="AS310" s="7"/>
      <c r="AT310" s="7"/>
      <c r="AU310" s="7"/>
      <c r="AV310" s="7"/>
      <c r="AW310" s="7"/>
      <c r="AX310" s="81"/>
    </row>
    <row r="311" spans="17:50">
      <c r="Q311" s="7"/>
      <c r="AQ311" s="89"/>
      <c r="AR311" s="7"/>
      <c r="AS311" s="7"/>
      <c r="AT311" s="7"/>
      <c r="AU311" s="7"/>
      <c r="AV311" s="7"/>
      <c r="AW311" s="7"/>
      <c r="AX311" s="81"/>
    </row>
    <row r="312" spans="17:50">
      <c r="Q312" s="7"/>
      <c r="AQ312" s="89"/>
      <c r="AR312" s="7"/>
      <c r="AS312" s="7"/>
      <c r="AT312" s="7"/>
      <c r="AU312" s="7"/>
      <c r="AV312" s="7"/>
      <c r="AW312" s="7"/>
      <c r="AX312" s="81"/>
    </row>
    <row r="313" spans="17:50">
      <c r="Q313" s="7"/>
      <c r="AQ313" s="89"/>
      <c r="AR313" s="7"/>
      <c r="AS313" s="7"/>
      <c r="AT313" s="7"/>
      <c r="AU313" s="7"/>
      <c r="AV313" s="7"/>
      <c r="AW313" s="7"/>
      <c r="AX313" s="81"/>
    </row>
    <row r="314" spans="17:50">
      <c r="Q314" s="7"/>
      <c r="AQ314" s="89"/>
      <c r="AR314" s="7"/>
      <c r="AS314" s="7"/>
      <c r="AT314" s="7"/>
      <c r="AU314" s="7"/>
      <c r="AV314" s="7"/>
      <c r="AW314" s="7"/>
      <c r="AX314" s="81"/>
    </row>
    <row r="315" spans="17:50">
      <c r="Q315" s="7"/>
      <c r="AQ315" s="89"/>
      <c r="AR315" s="7"/>
      <c r="AS315" s="7"/>
      <c r="AT315" s="7"/>
      <c r="AU315" s="7"/>
      <c r="AV315" s="7"/>
      <c r="AW315" s="7"/>
      <c r="AX315" s="81"/>
    </row>
    <row r="316" spans="17:50">
      <c r="Q316" s="7"/>
      <c r="AQ316" s="89"/>
      <c r="AR316" s="7"/>
      <c r="AS316" s="7"/>
      <c r="AT316" s="7"/>
      <c r="AU316" s="7"/>
      <c r="AV316" s="7"/>
      <c r="AW316" s="7"/>
      <c r="AX316" s="81"/>
    </row>
    <row r="317" spans="17:50">
      <c r="Q317" s="7"/>
      <c r="AQ317" s="89"/>
      <c r="AR317" s="7"/>
      <c r="AS317" s="7"/>
      <c r="AT317" s="7"/>
      <c r="AU317" s="7"/>
      <c r="AV317" s="7"/>
      <c r="AW317" s="7"/>
      <c r="AX317" s="81"/>
    </row>
    <row r="318" spans="17:50">
      <c r="Q318" s="7"/>
      <c r="AQ318" s="89"/>
      <c r="AR318" s="7"/>
      <c r="AS318" s="7"/>
      <c r="AT318" s="7"/>
      <c r="AU318" s="7"/>
      <c r="AV318" s="7"/>
      <c r="AW318" s="7"/>
      <c r="AX318" s="81"/>
    </row>
    <row r="319" spans="17:50">
      <c r="Q319" s="7"/>
      <c r="AQ319" s="89"/>
      <c r="AR319" s="7"/>
      <c r="AS319" s="7"/>
      <c r="AT319" s="7"/>
      <c r="AU319" s="7"/>
      <c r="AV319" s="7"/>
      <c r="AW319" s="7"/>
      <c r="AX319" s="81"/>
    </row>
    <row r="320" spans="17:50">
      <c r="Q320" s="7"/>
      <c r="AQ320" s="89"/>
      <c r="AR320" s="7"/>
      <c r="AS320" s="7"/>
      <c r="AT320" s="7"/>
      <c r="AU320" s="7"/>
      <c r="AV320" s="7"/>
      <c r="AW320" s="7"/>
      <c r="AX320" s="81"/>
    </row>
    <row r="321" spans="17:50">
      <c r="Q321" s="7"/>
      <c r="AQ321" s="89"/>
      <c r="AR321" s="7"/>
      <c r="AS321" s="7"/>
      <c r="AT321" s="7"/>
      <c r="AU321" s="7"/>
      <c r="AV321" s="7"/>
      <c r="AW321" s="7"/>
      <c r="AX321" s="81"/>
    </row>
    <row r="322" spans="17:50">
      <c r="Q322" s="7"/>
      <c r="AQ322" s="89"/>
      <c r="AR322" s="7"/>
      <c r="AS322" s="7"/>
      <c r="AT322" s="7"/>
      <c r="AU322" s="7"/>
      <c r="AV322" s="7"/>
      <c r="AW322" s="7"/>
      <c r="AX322" s="81"/>
    </row>
    <row r="323" spans="17:50">
      <c r="Q323" s="7"/>
      <c r="AQ323" s="89"/>
      <c r="AR323" s="7"/>
      <c r="AS323" s="7"/>
      <c r="AT323" s="7"/>
      <c r="AU323" s="7"/>
      <c r="AV323" s="7"/>
      <c r="AW323" s="7"/>
      <c r="AX323" s="81"/>
    </row>
    <row r="324" spans="17:50">
      <c r="Q324" s="7"/>
      <c r="AQ324" s="89"/>
      <c r="AR324" s="7"/>
      <c r="AS324" s="7"/>
      <c r="AT324" s="7"/>
      <c r="AU324" s="7"/>
      <c r="AV324" s="7"/>
      <c r="AW324" s="7"/>
      <c r="AX324" s="81"/>
    </row>
    <row r="325" spans="17:50">
      <c r="Q325" s="7"/>
      <c r="AQ325" s="89"/>
      <c r="AR325" s="7"/>
      <c r="AS325" s="7"/>
      <c r="AT325" s="7"/>
      <c r="AU325" s="7"/>
      <c r="AV325" s="7"/>
      <c r="AW325" s="7"/>
      <c r="AX325" s="81"/>
    </row>
    <row r="326" spans="17:50">
      <c r="Q326" s="7"/>
      <c r="AQ326" s="89"/>
      <c r="AR326" s="7"/>
      <c r="AS326" s="7"/>
      <c r="AT326" s="7"/>
      <c r="AU326" s="7"/>
      <c r="AV326" s="7"/>
      <c r="AW326" s="7"/>
      <c r="AX326" s="81"/>
    </row>
    <row r="327" spans="17:50">
      <c r="Q327" s="7"/>
      <c r="AQ327" s="89"/>
      <c r="AR327" s="7"/>
      <c r="AS327" s="7"/>
      <c r="AT327" s="7"/>
      <c r="AU327" s="7"/>
      <c r="AV327" s="7"/>
      <c r="AW327" s="7"/>
      <c r="AX327" s="81"/>
    </row>
    <row r="328" spans="17:50">
      <c r="Q328" s="7"/>
      <c r="AQ328" s="89"/>
      <c r="AR328" s="7"/>
      <c r="AS328" s="7"/>
      <c r="AT328" s="7"/>
      <c r="AU328" s="7"/>
      <c r="AV328" s="7"/>
      <c r="AW328" s="7"/>
      <c r="AX328" s="81"/>
    </row>
    <row r="329" spans="17:50">
      <c r="Q329" s="7"/>
      <c r="AQ329" s="89"/>
      <c r="AR329" s="7"/>
      <c r="AS329" s="7"/>
      <c r="AT329" s="7"/>
      <c r="AU329" s="7"/>
      <c r="AV329" s="7"/>
      <c r="AW329" s="7"/>
      <c r="AX329" s="81"/>
    </row>
    <row r="330" spans="17:50">
      <c r="Q330" s="7"/>
      <c r="AQ330" s="89"/>
      <c r="AR330" s="7"/>
      <c r="AS330" s="7"/>
      <c r="AT330" s="7"/>
      <c r="AU330" s="7"/>
      <c r="AV330" s="7"/>
      <c r="AW330" s="7"/>
      <c r="AX330" s="81"/>
    </row>
    <row r="331" spans="17:50">
      <c r="Q331" s="7"/>
      <c r="AQ331" s="89"/>
      <c r="AR331" s="7"/>
      <c r="AS331" s="7"/>
      <c r="AT331" s="7"/>
      <c r="AU331" s="7"/>
      <c r="AV331" s="7"/>
      <c r="AW331" s="7"/>
      <c r="AX331" s="81"/>
    </row>
    <row r="332" spans="17:50">
      <c r="Q332" s="7"/>
      <c r="AQ332" s="89"/>
      <c r="AR332" s="7"/>
      <c r="AS332" s="7"/>
      <c r="AT332" s="7"/>
      <c r="AU332" s="7"/>
      <c r="AV332" s="7"/>
      <c r="AW332" s="7"/>
      <c r="AX332" s="81"/>
    </row>
    <row r="333" spans="17:50">
      <c r="Q333" s="7"/>
      <c r="AQ333" s="89"/>
      <c r="AR333" s="7"/>
      <c r="AS333" s="7"/>
      <c r="AT333" s="7"/>
      <c r="AU333" s="7"/>
      <c r="AV333" s="7"/>
      <c r="AW333" s="7"/>
      <c r="AX333" s="81"/>
    </row>
    <row r="334" spans="17:50">
      <c r="Q334" s="7"/>
      <c r="AQ334" s="89"/>
      <c r="AR334" s="7"/>
      <c r="AS334" s="7"/>
      <c r="AT334" s="7"/>
      <c r="AU334" s="7"/>
      <c r="AV334" s="7"/>
      <c r="AW334" s="7"/>
      <c r="AX334" s="81"/>
    </row>
    <row r="335" spans="17:50">
      <c r="Q335" s="7"/>
      <c r="AQ335" s="89"/>
      <c r="AR335" s="7"/>
      <c r="AS335" s="7"/>
      <c r="AT335" s="7"/>
      <c r="AU335" s="7"/>
      <c r="AV335" s="7"/>
      <c r="AW335" s="7"/>
      <c r="AX335" s="81"/>
    </row>
    <row r="336" spans="17:50">
      <c r="Q336" s="7"/>
      <c r="AQ336" s="89"/>
      <c r="AR336" s="7"/>
      <c r="AS336" s="7"/>
      <c r="AT336" s="7"/>
      <c r="AU336" s="7"/>
      <c r="AV336" s="7"/>
      <c r="AW336" s="7"/>
      <c r="AX336" s="81"/>
    </row>
    <row r="337" spans="17:50">
      <c r="Q337" s="7"/>
      <c r="AQ337" s="89"/>
      <c r="AR337" s="7"/>
      <c r="AS337" s="7"/>
      <c r="AT337" s="7"/>
      <c r="AU337" s="7"/>
      <c r="AV337" s="7"/>
      <c r="AW337" s="7"/>
      <c r="AX337" s="81"/>
    </row>
    <row r="338" spans="17:50">
      <c r="Q338" s="7"/>
      <c r="AQ338" s="89"/>
      <c r="AR338" s="7"/>
      <c r="AS338" s="7"/>
      <c r="AT338" s="7"/>
      <c r="AU338" s="7"/>
      <c r="AV338" s="7"/>
      <c r="AW338" s="7"/>
      <c r="AX338" s="81"/>
    </row>
    <row r="339" spans="17:50">
      <c r="Q339" s="7"/>
      <c r="AQ339" s="89"/>
      <c r="AR339" s="7"/>
      <c r="AS339" s="7"/>
      <c r="AT339" s="7"/>
      <c r="AU339" s="7"/>
      <c r="AV339" s="7"/>
      <c r="AW339" s="7"/>
      <c r="AX339" s="81"/>
    </row>
    <row r="340" spans="17:50">
      <c r="Q340" s="7"/>
      <c r="AQ340" s="89"/>
      <c r="AR340" s="7"/>
      <c r="AS340" s="7"/>
      <c r="AT340" s="7"/>
      <c r="AU340" s="7"/>
      <c r="AV340" s="7"/>
      <c r="AW340" s="7"/>
      <c r="AX340" s="81"/>
    </row>
    <row r="341" spans="17:50">
      <c r="Q341" s="7"/>
      <c r="AQ341" s="89"/>
      <c r="AR341" s="7"/>
      <c r="AS341" s="7"/>
      <c r="AT341" s="7"/>
      <c r="AU341" s="7"/>
      <c r="AV341" s="7"/>
      <c r="AW341" s="7"/>
      <c r="AX341" s="81"/>
    </row>
    <row r="342" spans="17:50">
      <c r="Q342" s="7"/>
      <c r="AQ342" s="89"/>
      <c r="AR342" s="7"/>
      <c r="AS342" s="7"/>
      <c r="AT342" s="7"/>
      <c r="AU342" s="7"/>
      <c r="AV342" s="7"/>
      <c r="AW342" s="7"/>
      <c r="AX342" s="81"/>
    </row>
    <row r="343" spans="17:50">
      <c r="Q343" s="7"/>
      <c r="AQ343" s="89"/>
      <c r="AR343" s="7"/>
      <c r="AS343" s="7"/>
      <c r="AT343" s="7"/>
      <c r="AU343" s="7"/>
      <c r="AV343" s="7"/>
      <c r="AW343" s="7"/>
      <c r="AX343" s="81"/>
    </row>
    <row r="344" spans="17:50">
      <c r="Q344" s="7"/>
      <c r="AQ344" s="89"/>
      <c r="AR344" s="7"/>
      <c r="AS344" s="7"/>
      <c r="AT344" s="7"/>
      <c r="AU344" s="7"/>
      <c r="AV344" s="7"/>
      <c r="AW344" s="7"/>
      <c r="AX344" s="81"/>
    </row>
    <row r="345" spans="17:50">
      <c r="Q345" s="7"/>
      <c r="AQ345" s="89"/>
      <c r="AR345" s="7"/>
      <c r="AS345" s="7"/>
      <c r="AT345" s="7"/>
      <c r="AU345" s="7"/>
      <c r="AV345" s="7"/>
      <c r="AW345" s="7"/>
      <c r="AX345" s="81"/>
    </row>
    <row r="346" spans="17:50">
      <c r="Q346" s="7"/>
      <c r="AQ346" s="89"/>
      <c r="AR346" s="7"/>
      <c r="AS346" s="7"/>
      <c r="AT346" s="7"/>
      <c r="AU346" s="7"/>
      <c r="AV346" s="7"/>
      <c r="AW346" s="7"/>
      <c r="AX346" s="81"/>
    </row>
    <row r="347" spans="17:50">
      <c r="Q347" s="7"/>
      <c r="AQ347" s="89"/>
      <c r="AR347" s="7"/>
      <c r="AS347" s="7"/>
      <c r="AT347" s="7"/>
      <c r="AU347" s="7"/>
      <c r="AV347" s="7"/>
      <c r="AW347" s="7"/>
      <c r="AX347" s="81"/>
    </row>
    <row r="348" spans="17:50">
      <c r="Q348" s="7"/>
      <c r="AQ348" s="89"/>
      <c r="AR348" s="7"/>
      <c r="AS348" s="7"/>
      <c r="AT348" s="7"/>
      <c r="AU348" s="7"/>
      <c r="AV348" s="7"/>
      <c r="AW348" s="7"/>
      <c r="AX348" s="81"/>
    </row>
    <row r="349" spans="17:50">
      <c r="Q349" s="7"/>
      <c r="AQ349" s="89"/>
      <c r="AR349" s="7"/>
      <c r="AS349" s="7"/>
      <c r="AT349" s="7"/>
      <c r="AU349" s="7"/>
      <c r="AV349" s="7"/>
      <c r="AW349" s="7"/>
      <c r="AX349" s="81"/>
    </row>
    <row r="350" spans="17:50">
      <c r="Q350" s="7"/>
      <c r="AQ350" s="89"/>
      <c r="AR350" s="7"/>
      <c r="AS350" s="7"/>
      <c r="AT350" s="7"/>
      <c r="AU350" s="7"/>
      <c r="AV350" s="7"/>
      <c r="AW350" s="7"/>
      <c r="AX350" s="81"/>
    </row>
    <row r="351" spans="17:50">
      <c r="Q351" s="7"/>
      <c r="AQ351" s="89"/>
      <c r="AR351" s="7"/>
      <c r="AS351" s="7"/>
      <c r="AT351" s="7"/>
      <c r="AU351" s="7"/>
      <c r="AV351" s="7"/>
      <c r="AW351" s="7"/>
      <c r="AX351" s="81"/>
    </row>
    <row r="352" spans="17:50">
      <c r="Q352" s="7"/>
      <c r="AQ352" s="89"/>
      <c r="AR352" s="7"/>
      <c r="AS352" s="7"/>
      <c r="AT352" s="7"/>
      <c r="AU352" s="7"/>
      <c r="AV352" s="7"/>
      <c r="AW352" s="7"/>
      <c r="AX352" s="81"/>
    </row>
    <row r="353" spans="17:50">
      <c r="Q353" s="7"/>
      <c r="AQ353" s="89"/>
      <c r="AR353" s="7"/>
      <c r="AS353" s="7"/>
      <c r="AT353" s="7"/>
      <c r="AU353" s="7"/>
      <c r="AV353" s="7"/>
      <c r="AW353" s="7"/>
      <c r="AX353" s="81"/>
    </row>
    <row r="354" spans="17:50">
      <c r="Q354" s="7"/>
      <c r="AQ354" s="89"/>
      <c r="AR354" s="7"/>
      <c r="AS354" s="7"/>
      <c r="AT354" s="7"/>
      <c r="AU354" s="7"/>
      <c r="AV354" s="7"/>
      <c r="AW354" s="7"/>
      <c r="AX354" s="81"/>
    </row>
    <row r="355" spans="17:50">
      <c r="Q355" s="7"/>
      <c r="AQ355" s="89"/>
      <c r="AR355" s="7"/>
      <c r="AS355" s="7"/>
      <c r="AT355" s="7"/>
      <c r="AU355" s="7"/>
      <c r="AV355" s="7"/>
      <c r="AW355" s="7"/>
      <c r="AX355" s="81"/>
    </row>
    <row r="356" spans="17:50">
      <c r="Q356" s="7"/>
      <c r="AQ356" s="89"/>
      <c r="AR356" s="7"/>
      <c r="AS356" s="7"/>
      <c r="AT356" s="7"/>
      <c r="AU356" s="7"/>
      <c r="AV356" s="7"/>
      <c r="AW356" s="7"/>
      <c r="AX356" s="81"/>
    </row>
    <row r="357" spans="17:50">
      <c r="Q357" s="7"/>
      <c r="AQ357" s="89"/>
      <c r="AR357" s="7"/>
      <c r="AS357" s="7"/>
      <c r="AT357" s="7"/>
      <c r="AU357" s="7"/>
      <c r="AV357" s="7"/>
      <c r="AW357" s="7"/>
      <c r="AX357" s="81"/>
    </row>
    <row r="358" spans="17:50">
      <c r="Q358" s="7"/>
      <c r="AQ358" s="89"/>
      <c r="AR358" s="7"/>
      <c r="AS358" s="7"/>
      <c r="AT358" s="7"/>
      <c r="AU358" s="7"/>
      <c r="AV358" s="7"/>
      <c r="AW358" s="7"/>
      <c r="AX358" s="81"/>
    </row>
    <row r="359" spans="17:50">
      <c r="Q359" s="7"/>
      <c r="AQ359" s="89"/>
      <c r="AR359" s="7"/>
      <c r="AS359" s="7"/>
      <c r="AT359" s="7"/>
      <c r="AU359" s="7"/>
      <c r="AV359" s="7"/>
      <c r="AW359" s="7"/>
      <c r="AX359" s="81"/>
    </row>
    <row r="360" spans="17:50">
      <c r="Q360" s="7"/>
      <c r="AQ360" s="89"/>
      <c r="AR360" s="7"/>
      <c r="AS360" s="7"/>
      <c r="AT360" s="7"/>
      <c r="AU360" s="7"/>
      <c r="AV360" s="7"/>
      <c r="AW360" s="7"/>
      <c r="AX360" s="81"/>
    </row>
    <row r="361" spans="17:50">
      <c r="Q361" s="7"/>
      <c r="AQ361" s="89"/>
      <c r="AR361" s="7"/>
      <c r="AS361" s="7"/>
      <c r="AT361" s="7"/>
      <c r="AU361" s="7"/>
      <c r="AV361" s="7"/>
      <c r="AW361" s="7"/>
      <c r="AX361" s="81"/>
    </row>
    <row r="362" spans="17:50">
      <c r="Q362" s="7"/>
      <c r="AQ362" s="89"/>
      <c r="AR362" s="7"/>
      <c r="AS362" s="7"/>
      <c r="AT362" s="7"/>
      <c r="AU362" s="7"/>
      <c r="AV362" s="7"/>
      <c r="AW362" s="7"/>
      <c r="AX362" s="81"/>
    </row>
    <row r="363" spans="17:50">
      <c r="Q363" s="7"/>
      <c r="AQ363" s="89"/>
      <c r="AR363" s="7"/>
      <c r="AS363" s="7"/>
      <c r="AT363" s="7"/>
      <c r="AU363" s="7"/>
      <c r="AV363" s="7"/>
      <c r="AW363" s="7"/>
      <c r="AX363" s="81"/>
    </row>
    <row r="364" spans="17:50">
      <c r="Q364" s="7"/>
      <c r="AQ364" s="89"/>
      <c r="AR364" s="7"/>
      <c r="AS364" s="7"/>
      <c r="AT364" s="7"/>
      <c r="AU364" s="7"/>
      <c r="AV364" s="7"/>
      <c r="AW364" s="7"/>
      <c r="AX364" s="81"/>
    </row>
    <row r="365" spans="17:50">
      <c r="Q365" s="7"/>
      <c r="AQ365" s="89"/>
      <c r="AR365" s="7"/>
      <c r="AS365" s="7"/>
      <c r="AT365" s="7"/>
      <c r="AU365" s="7"/>
      <c r="AV365" s="7"/>
      <c r="AW365" s="7"/>
      <c r="AX365" s="81"/>
    </row>
    <row r="366" spans="17:50">
      <c r="Q366" s="7"/>
      <c r="AQ366" s="89"/>
      <c r="AR366" s="7"/>
      <c r="AS366" s="7"/>
      <c r="AT366" s="7"/>
      <c r="AU366" s="7"/>
      <c r="AV366" s="7"/>
      <c r="AW366" s="7"/>
      <c r="AX366" s="81"/>
    </row>
    <row r="367" spans="17:50">
      <c r="Q367" s="7"/>
      <c r="AQ367" s="89"/>
      <c r="AR367" s="7"/>
      <c r="AS367" s="7"/>
      <c r="AT367" s="7"/>
      <c r="AU367" s="7"/>
      <c r="AV367" s="7"/>
      <c r="AW367" s="7"/>
      <c r="AX367" s="81"/>
    </row>
    <row r="368" spans="17:50">
      <c r="Q368" s="7"/>
      <c r="AQ368" s="89"/>
      <c r="AR368" s="7"/>
      <c r="AS368" s="7"/>
      <c r="AT368" s="7"/>
      <c r="AU368" s="7"/>
      <c r="AV368" s="7"/>
      <c r="AW368" s="7"/>
      <c r="AX368" s="81"/>
    </row>
    <row r="369" spans="17:50">
      <c r="Q369" s="7"/>
      <c r="AQ369" s="89"/>
      <c r="AR369" s="7"/>
      <c r="AS369" s="7"/>
      <c r="AT369" s="7"/>
      <c r="AU369" s="7"/>
      <c r="AV369" s="7"/>
      <c r="AW369" s="7"/>
      <c r="AX369" s="81"/>
    </row>
    <row r="370" spans="17:50">
      <c r="Q370" s="7"/>
      <c r="AQ370" s="89"/>
      <c r="AR370" s="7"/>
      <c r="AS370" s="7"/>
      <c r="AT370" s="7"/>
      <c r="AU370" s="7"/>
      <c r="AV370" s="7"/>
      <c r="AW370" s="7"/>
      <c r="AX370" s="81"/>
    </row>
    <row r="371" spans="17:50">
      <c r="Q371" s="7"/>
      <c r="AQ371" s="89"/>
      <c r="AR371" s="7"/>
      <c r="AS371" s="7"/>
      <c r="AT371" s="7"/>
      <c r="AU371" s="7"/>
      <c r="AV371" s="7"/>
      <c r="AW371" s="7"/>
      <c r="AX371" s="81"/>
    </row>
    <row r="372" spans="17:50">
      <c r="Q372" s="7"/>
      <c r="AQ372" s="89"/>
      <c r="AR372" s="7"/>
      <c r="AS372" s="7"/>
      <c r="AT372" s="7"/>
      <c r="AU372" s="7"/>
      <c r="AV372" s="7"/>
      <c r="AW372" s="7"/>
      <c r="AX372" s="81"/>
    </row>
    <row r="373" spans="17:50">
      <c r="Q373" s="7"/>
      <c r="AQ373" s="89"/>
      <c r="AR373" s="7"/>
      <c r="AS373" s="7"/>
      <c r="AT373" s="7"/>
      <c r="AU373" s="7"/>
      <c r="AV373" s="7"/>
      <c r="AW373" s="7"/>
      <c r="AX373" s="81"/>
    </row>
    <row r="374" spans="17:50">
      <c r="Q374" s="7"/>
      <c r="AQ374" s="89"/>
      <c r="AR374" s="7"/>
      <c r="AS374" s="7"/>
      <c r="AT374" s="7"/>
      <c r="AU374" s="7"/>
      <c r="AV374" s="7"/>
      <c r="AW374" s="7"/>
      <c r="AX374" s="81"/>
    </row>
    <row r="375" spans="17:50">
      <c r="Q375" s="7"/>
      <c r="AQ375" s="89"/>
      <c r="AR375" s="7"/>
      <c r="AS375" s="7"/>
      <c r="AT375" s="7"/>
      <c r="AU375" s="7"/>
      <c r="AV375" s="7"/>
      <c r="AW375" s="7"/>
      <c r="AX375" s="81"/>
    </row>
    <row r="376" spans="17:50">
      <c r="Q376" s="7"/>
      <c r="AQ376" s="89"/>
      <c r="AR376" s="7"/>
      <c r="AS376" s="7"/>
      <c r="AT376" s="7"/>
      <c r="AU376" s="7"/>
      <c r="AV376" s="7"/>
      <c r="AW376" s="7"/>
      <c r="AX376" s="81"/>
    </row>
    <row r="377" spans="17:50">
      <c r="Q377" s="7"/>
      <c r="AQ377" s="89"/>
      <c r="AR377" s="7"/>
      <c r="AS377" s="7"/>
      <c r="AT377" s="7"/>
      <c r="AU377" s="7"/>
      <c r="AV377" s="7"/>
      <c r="AW377" s="7"/>
      <c r="AX377" s="81"/>
    </row>
    <row r="378" spans="17:50">
      <c r="Q378" s="7"/>
      <c r="AQ378" s="89"/>
      <c r="AR378" s="7"/>
      <c r="AS378" s="7"/>
      <c r="AT378" s="7"/>
      <c r="AU378" s="7"/>
      <c r="AV378" s="7"/>
      <c r="AW378" s="7"/>
      <c r="AX378" s="81"/>
    </row>
    <row r="379" spans="17:50">
      <c r="Q379" s="7"/>
      <c r="AQ379" s="89"/>
      <c r="AR379" s="7"/>
      <c r="AS379" s="7"/>
      <c r="AT379" s="7"/>
      <c r="AU379" s="7"/>
      <c r="AV379" s="7"/>
      <c r="AW379" s="7"/>
      <c r="AX379" s="81"/>
    </row>
    <row r="380" spans="17:50">
      <c r="Q380" s="7"/>
      <c r="AQ380" s="89"/>
      <c r="AR380" s="7"/>
      <c r="AS380" s="7"/>
      <c r="AT380" s="7"/>
      <c r="AU380" s="7"/>
      <c r="AV380" s="7"/>
      <c r="AW380" s="7"/>
      <c r="AX380" s="81"/>
    </row>
    <row r="381" spans="17:50">
      <c r="Q381" s="7"/>
      <c r="AQ381" s="89"/>
      <c r="AR381" s="7"/>
      <c r="AS381" s="7"/>
      <c r="AT381" s="7"/>
      <c r="AU381" s="7"/>
      <c r="AV381" s="7"/>
      <c r="AW381" s="7"/>
      <c r="AX381" s="81"/>
    </row>
    <row r="382" spans="17:50">
      <c r="Q382" s="7"/>
      <c r="AQ382" s="89"/>
      <c r="AR382" s="7"/>
      <c r="AS382" s="7"/>
      <c r="AT382" s="7"/>
      <c r="AU382" s="7"/>
      <c r="AV382" s="7"/>
      <c r="AW382" s="7"/>
      <c r="AX382" s="81"/>
    </row>
    <row r="383" spans="17:50">
      <c r="Q383" s="7"/>
      <c r="AQ383" s="89"/>
      <c r="AR383" s="7"/>
      <c r="AS383" s="7"/>
      <c r="AT383" s="7"/>
      <c r="AU383" s="7"/>
      <c r="AV383" s="7"/>
      <c r="AW383" s="7"/>
      <c r="AX383" s="81"/>
    </row>
    <row r="384" spans="17:50">
      <c r="Q384" s="7"/>
      <c r="AQ384" s="89"/>
      <c r="AR384" s="7"/>
      <c r="AS384" s="7"/>
      <c r="AT384" s="7"/>
      <c r="AU384" s="7"/>
      <c r="AV384" s="7"/>
      <c r="AW384" s="7"/>
      <c r="AX384" s="81"/>
    </row>
    <row r="385" spans="17:50">
      <c r="Q385" s="7"/>
      <c r="AQ385" s="89"/>
      <c r="AR385" s="7"/>
      <c r="AS385" s="7"/>
      <c r="AT385" s="7"/>
      <c r="AU385" s="7"/>
      <c r="AV385" s="7"/>
      <c r="AW385" s="7"/>
      <c r="AX385" s="81"/>
    </row>
    <row r="386" spans="17:50">
      <c r="Q386" s="7"/>
      <c r="AQ386" s="89"/>
      <c r="AR386" s="7"/>
      <c r="AS386" s="7"/>
      <c r="AT386" s="7"/>
      <c r="AU386" s="7"/>
      <c r="AV386" s="7"/>
      <c r="AW386" s="7"/>
      <c r="AX386" s="81"/>
    </row>
    <row r="387" spans="17:50">
      <c r="Q387" s="7"/>
      <c r="AQ387" s="89"/>
      <c r="AR387" s="7"/>
      <c r="AS387" s="7"/>
      <c r="AT387" s="7"/>
      <c r="AU387" s="7"/>
      <c r="AV387" s="7"/>
      <c r="AW387" s="7"/>
      <c r="AX387" s="81"/>
    </row>
    <row r="388" spans="17:50">
      <c r="Q388" s="7"/>
      <c r="AQ388" s="89"/>
      <c r="AR388" s="7"/>
      <c r="AS388" s="7"/>
      <c r="AT388" s="7"/>
      <c r="AU388" s="7"/>
      <c r="AV388" s="7"/>
      <c r="AW388" s="7"/>
      <c r="AX388" s="81"/>
    </row>
    <row r="389" spans="17:50">
      <c r="Q389" s="7"/>
      <c r="AQ389" s="89"/>
      <c r="AR389" s="7"/>
      <c r="AS389" s="7"/>
      <c r="AT389" s="7"/>
      <c r="AU389" s="7"/>
      <c r="AV389" s="7"/>
      <c r="AW389" s="7"/>
      <c r="AX389" s="81"/>
    </row>
    <row r="390" spans="17:50">
      <c r="Q390" s="7"/>
      <c r="AQ390" s="89"/>
      <c r="AR390" s="7"/>
      <c r="AS390" s="7"/>
      <c r="AT390" s="7"/>
      <c r="AU390" s="7"/>
      <c r="AV390" s="7"/>
      <c r="AW390" s="7"/>
      <c r="AX390" s="81"/>
    </row>
    <row r="391" spans="17:50">
      <c r="Q391" s="7"/>
      <c r="AQ391" s="89"/>
      <c r="AR391" s="7"/>
      <c r="AS391" s="7"/>
      <c r="AT391" s="7"/>
      <c r="AU391" s="7"/>
      <c r="AV391" s="7"/>
      <c r="AW391" s="7"/>
      <c r="AX391" s="81"/>
    </row>
    <row r="392" spans="17:50">
      <c r="Q392" s="7"/>
      <c r="AQ392" s="89"/>
      <c r="AR392" s="7"/>
      <c r="AS392" s="7"/>
      <c r="AT392" s="7"/>
      <c r="AU392" s="7"/>
      <c r="AV392" s="7"/>
      <c r="AW392" s="7"/>
      <c r="AX392" s="81"/>
    </row>
    <row r="393" spans="17:50">
      <c r="Q393" s="7"/>
      <c r="AQ393" s="89"/>
      <c r="AR393" s="7"/>
      <c r="AS393" s="7"/>
      <c r="AT393" s="7"/>
      <c r="AU393" s="7"/>
      <c r="AV393" s="7"/>
      <c r="AW393" s="7"/>
      <c r="AX393" s="81"/>
    </row>
    <row r="394" spans="17:50">
      <c r="Q394" s="7"/>
      <c r="AQ394" s="89"/>
      <c r="AR394" s="7"/>
      <c r="AS394" s="7"/>
      <c r="AT394" s="7"/>
      <c r="AU394" s="7"/>
      <c r="AV394" s="7"/>
      <c r="AW394" s="7"/>
      <c r="AX394" s="81"/>
    </row>
    <row r="395" spans="17:50">
      <c r="Q395" s="7"/>
      <c r="AQ395" s="89"/>
      <c r="AR395" s="7"/>
      <c r="AS395" s="7"/>
      <c r="AT395" s="7"/>
      <c r="AU395" s="7"/>
      <c r="AV395" s="7"/>
      <c r="AW395" s="7"/>
      <c r="AX395" s="81"/>
    </row>
    <row r="396" spans="17:50">
      <c r="Q396" s="7"/>
      <c r="AQ396" s="89"/>
      <c r="AR396" s="7"/>
      <c r="AS396" s="7"/>
      <c r="AT396" s="7"/>
      <c r="AU396" s="7"/>
      <c r="AV396" s="7"/>
      <c r="AW396" s="7"/>
      <c r="AX396" s="81"/>
    </row>
    <row r="397" spans="17:50">
      <c r="Q397" s="7"/>
      <c r="AQ397" s="89"/>
      <c r="AR397" s="7"/>
      <c r="AS397" s="7"/>
      <c r="AT397" s="7"/>
      <c r="AU397" s="7"/>
      <c r="AV397" s="7"/>
      <c r="AW397" s="7"/>
      <c r="AX397" s="81"/>
    </row>
    <row r="398" spans="17:50">
      <c r="Q398" s="7"/>
      <c r="AQ398" s="89"/>
      <c r="AR398" s="7"/>
      <c r="AS398" s="7"/>
      <c r="AT398" s="7"/>
      <c r="AU398" s="7"/>
      <c r="AV398" s="7"/>
      <c r="AW398" s="7"/>
      <c r="AX398" s="81"/>
    </row>
    <row r="399" spans="17:50">
      <c r="Q399" s="7"/>
      <c r="AQ399" s="89"/>
      <c r="AR399" s="7"/>
      <c r="AS399" s="7"/>
      <c r="AT399" s="7"/>
      <c r="AU399" s="7"/>
      <c r="AV399" s="7"/>
      <c r="AW399" s="7"/>
      <c r="AX399" s="81"/>
    </row>
    <row r="400" spans="17:50">
      <c r="Q400" s="7"/>
      <c r="AQ400" s="89"/>
      <c r="AR400" s="7"/>
      <c r="AS400" s="7"/>
      <c r="AT400" s="7"/>
      <c r="AU400" s="7"/>
      <c r="AV400" s="7"/>
      <c r="AW400" s="7"/>
      <c r="AX400" s="81"/>
    </row>
    <row r="401" spans="17:50">
      <c r="Q401" s="7"/>
      <c r="AQ401" s="89"/>
      <c r="AR401" s="7"/>
      <c r="AS401" s="7"/>
      <c r="AT401" s="7"/>
      <c r="AU401" s="7"/>
      <c r="AV401" s="7"/>
      <c r="AW401" s="7"/>
      <c r="AX401" s="81"/>
    </row>
    <row r="402" spans="17:50">
      <c r="Q402" s="7"/>
      <c r="AQ402" s="89"/>
      <c r="AR402" s="7"/>
      <c r="AS402" s="7"/>
      <c r="AT402" s="7"/>
      <c r="AU402" s="7"/>
      <c r="AV402" s="7"/>
      <c r="AW402" s="7"/>
      <c r="AX402" s="81"/>
    </row>
    <row r="403" spans="17:50">
      <c r="Q403" s="7"/>
      <c r="AQ403" s="89"/>
      <c r="AR403" s="7"/>
      <c r="AS403" s="7"/>
      <c r="AT403" s="7"/>
      <c r="AU403" s="7"/>
      <c r="AV403" s="7"/>
      <c r="AW403" s="7"/>
      <c r="AX403" s="81"/>
    </row>
    <row r="404" spans="17:50">
      <c r="Q404" s="7"/>
      <c r="AQ404" s="89"/>
      <c r="AR404" s="7"/>
      <c r="AS404" s="7"/>
      <c r="AT404" s="7"/>
      <c r="AU404" s="7"/>
      <c r="AV404" s="7"/>
      <c r="AW404" s="7"/>
      <c r="AX404" s="81"/>
    </row>
    <row r="405" spans="17:50">
      <c r="Q405" s="7"/>
      <c r="AQ405" s="89"/>
      <c r="AR405" s="7"/>
      <c r="AS405" s="7"/>
      <c r="AT405" s="7"/>
      <c r="AU405" s="7"/>
      <c r="AV405" s="7"/>
      <c r="AW405" s="7"/>
      <c r="AX405" s="81"/>
    </row>
    <row r="406" spans="17:50">
      <c r="Q406" s="7"/>
      <c r="AQ406" s="89"/>
      <c r="AR406" s="7"/>
      <c r="AS406" s="7"/>
      <c r="AT406" s="7"/>
      <c r="AU406" s="7"/>
      <c r="AV406" s="7"/>
      <c r="AW406" s="7"/>
      <c r="AX406" s="81"/>
    </row>
    <row r="407" spans="17:50">
      <c r="Q407" s="7"/>
      <c r="AQ407" s="89"/>
      <c r="AR407" s="7"/>
      <c r="AS407" s="7"/>
      <c r="AT407" s="7"/>
      <c r="AU407" s="7"/>
      <c r="AV407" s="7"/>
      <c r="AW407" s="7"/>
      <c r="AX407" s="81"/>
    </row>
    <row r="408" spans="17:50">
      <c r="Q408" s="7"/>
      <c r="AQ408" s="89"/>
      <c r="AR408" s="7"/>
      <c r="AS408" s="7"/>
      <c r="AT408" s="7"/>
      <c r="AU408" s="7"/>
      <c r="AV408" s="7"/>
      <c r="AW408" s="7"/>
      <c r="AX408" s="81"/>
    </row>
    <row r="409" spans="17:50">
      <c r="Q409" s="7"/>
      <c r="AQ409" s="89"/>
      <c r="AR409" s="7"/>
      <c r="AS409" s="7"/>
      <c r="AT409" s="7"/>
      <c r="AU409" s="7"/>
      <c r="AV409" s="7"/>
      <c r="AW409" s="7"/>
      <c r="AX409" s="81"/>
    </row>
    <row r="410" spans="17:50">
      <c r="Q410" s="7"/>
      <c r="AQ410" s="89"/>
      <c r="AR410" s="7"/>
      <c r="AS410" s="7"/>
      <c r="AT410" s="7"/>
      <c r="AU410" s="7"/>
      <c r="AV410" s="7"/>
      <c r="AW410" s="7"/>
      <c r="AX410" s="81"/>
    </row>
    <row r="411" spans="17:50">
      <c r="Q411" s="7"/>
      <c r="AQ411" s="89"/>
      <c r="AR411" s="7"/>
      <c r="AS411" s="7"/>
      <c r="AT411" s="7"/>
      <c r="AU411" s="7"/>
      <c r="AV411" s="7"/>
      <c r="AW411" s="7"/>
      <c r="AX411" s="81"/>
    </row>
    <row r="412" spans="17:50">
      <c r="Q412" s="7"/>
      <c r="AQ412" s="89"/>
      <c r="AR412" s="7"/>
      <c r="AS412" s="7"/>
      <c r="AT412" s="7"/>
      <c r="AU412" s="7"/>
      <c r="AV412" s="7"/>
      <c r="AW412" s="7"/>
      <c r="AX412" s="81"/>
    </row>
    <row r="413" spans="17:50">
      <c r="Q413" s="7"/>
      <c r="AQ413" s="89"/>
      <c r="AR413" s="7"/>
      <c r="AS413" s="7"/>
      <c r="AT413" s="7"/>
      <c r="AU413" s="7"/>
      <c r="AV413" s="7"/>
      <c r="AW413" s="7"/>
      <c r="AX413" s="81"/>
    </row>
    <row r="414" spans="17:50">
      <c r="Q414" s="7"/>
      <c r="AQ414" s="89"/>
      <c r="AR414" s="7"/>
      <c r="AS414" s="7"/>
      <c r="AT414" s="7"/>
      <c r="AU414" s="7"/>
      <c r="AV414" s="7"/>
      <c r="AW414" s="7"/>
      <c r="AX414" s="81"/>
    </row>
    <row r="415" spans="17:50">
      <c r="Q415" s="7"/>
      <c r="AQ415" s="89"/>
      <c r="AR415" s="7"/>
      <c r="AS415" s="7"/>
      <c r="AT415" s="7"/>
      <c r="AU415" s="7"/>
      <c r="AV415" s="7"/>
      <c r="AW415" s="7"/>
      <c r="AX415" s="81"/>
    </row>
    <row r="416" spans="17:50">
      <c r="Q416" s="7"/>
      <c r="AQ416" s="89"/>
      <c r="AR416" s="7"/>
      <c r="AS416" s="7"/>
      <c r="AT416" s="7"/>
      <c r="AU416" s="7"/>
      <c r="AV416" s="7"/>
      <c r="AW416" s="7"/>
      <c r="AX416" s="81"/>
    </row>
    <row r="417" spans="17:50">
      <c r="Q417" s="7"/>
      <c r="AQ417" s="89"/>
      <c r="AR417" s="7"/>
      <c r="AS417" s="7"/>
      <c r="AT417" s="7"/>
      <c r="AU417" s="7"/>
      <c r="AV417" s="7"/>
      <c r="AW417" s="7"/>
      <c r="AX417" s="81"/>
    </row>
    <row r="418" spans="17:50">
      <c r="Q418" s="7"/>
      <c r="AQ418" s="89"/>
      <c r="AR418" s="7"/>
      <c r="AS418" s="7"/>
      <c r="AT418" s="7"/>
      <c r="AU418" s="7"/>
      <c r="AV418" s="7"/>
      <c r="AW418" s="7"/>
      <c r="AX418" s="81"/>
    </row>
    <row r="419" spans="17:50">
      <c r="Q419" s="7"/>
      <c r="AQ419" s="89"/>
      <c r="AR419" s="7"/>
      <c r="AS419" s="7"/>
      <c r="AT419" s="7"/>
      <c r="AU419" s="7"/>
      <c r="AV419" s="7"/>
      <c r="AW419" s="7"/>
      <c r="AX419" s="81"/>
    </row>
    <row r="420" spans="17:50">
      <c r="Q420" s="7"/>
      <c r="AQ420" s="89"/>
      <c r="AR420" s="7"/>
      <c r="AS420" s="7"/>
      <c r="AT420" s="7"/>
      <c r="AU420" s="7"/>
      <c r="AV420" s="7"/>
      <c r="AW420" s="7"/>
      <c r="AX420" s="81"/>
    </row>
    <row r="421" spans="17:50">
      <c r="Q421" s="7"/>
      <c r="AQ421" s="89"/>
      <c r="AR421" s="7"/>
      <c r="AS421" s="7"/>
      <c r="AT421" s="7"/>
      <c r="AU421" s="7"/>
      <c r="AV421" s="7"/>
      <c r="AW421" s="7"/>
      <c r="AX421" s="81"/>
    </row>
    <row r="422" spans="17:50">
      <c r="Q422" s="7"/>
      <c r="AQ422" s="89"/>
      <c r="AR422" s="7"/>
      <c r="AS422" s="7"/>
      <c r="AT422" s="7"/>
      <c r="AU422" s="7"/>
      <c r="AV422" s="7"/>
      <c r="AW422" s="7"/>
      <c r="AX422" s="81"/>
    </row>
    <row r="423" spans="17:50">
      <c r="Q423" s="7"/>
      <c r="AQ423" s="89"/>
      <c r="AR423" s="7"/>
      <c r="AS423" s="7"/>
      <c r="AT423" s="7"/>
      <c r="AU423" s="7"/>
      <c r="AV423" s="7"/>
      <c r="AW423" s="7"/>
      <c r="AX423" s="81"/>
    </row>
    <row r="424" spans="17:50">
      <c r="Q424" s="7"/>
      <c r="AQ424" s="89"/>
      <c r="AR424" s="7"/>
      <c r="AS424" s="7"/>
      <c r="AT424" s="7"/>
      <c r="AU424" s="7"/>
      <c r="AV424" s="7"/>
      <c r="AW424" s="7"/>
      <c r="AX424" s="81"/>
    </row>
    <row r="425" spans="17:50">
      <c r="Q425" s="7"/>
      <c r="AQ425" s="89"/>
      <c r="AR425" s="7"/>
      <c r="AS425" s="7"/>
      <c r="AT425" s="7"/>
      <c r="AU425" s="7"/>
      <c r="AV425" s="7"/>
      <c r="AW425" s="7"/>
      <c r="AX425" s="81"/>
    </row>
    <row r="426" spans="17:50">
      <c r="Q426" s="7"/>
      <c r="AQ426" s="89"/>
      <c r="AR426" s="7"/>
      <c r="AS426" s="7"/>
      <c r="AT426" s="7"/>
      <c r="AU426" s="7"/>
      <c r="AV426" s="7"/>
      <c r="AW426" s="7"/>
      <c r="AX426" s="81"/>
    </row>
    <row r="427" spans="17:50">
      <c r="Q427" s="7"/>
      <c r="AQ427" s="89"/>
      <c r="AR427" s="7"/>
      <c r="AS427" s="7"/>
      <c r="AT427" s="7"/>
      <c r="AU427" s="7"/>
      <c r="AV427" s="7"/>
      <c r="AW427" s="7"/>
      <c r="AX427" s="81"/>
    </row>
    <row r="428" spans="17:50">
      <c r="Q428" s="7"/>
      <c r="AQ428" s="89"/>
      <c r="AR428" s="7"/>
      <c r="AS428" s="7"/>
      <c r="AT428" s="7"/>
      <c r="AU428" s="7"/>
      <c r="AV428" s="7"/>
      <c r="AW428" s="7"/>
      <c r="AX428" s="81"/>
    </row>
    <row r="429" spans="17:50">
      <c r="Q429" s="7"/>
      <c r="AQ429" s="89"/>
      <c r="AR429" s="7"/>
      <c r="AS429" s="7"/>
      <c r="AT429" s="7"/>
      <c r="AU429" s="7"/>
      <c r="AV429" s="7"/>
      <c r="AW429" s="7"/>
      <c r="AX429" s="81"/>
    </row>
    <row r="430" spans="17:50">
      <c r="Q430" s="7"/>
      <c r="AQ430" s="89"/>
      <c r="AR430" s="7"/>
      <c r="AS430" s="7"/>
      <c r="AT430" s="7"/>
      <c r="AU430" s="7"/>
      <c r="AV430" s="7"/>
      <c r="AW430" s="7"/>
      <c r="AX430" s="81"/>
    </row>
    <row r="431" spans="17:50">
      <c r="Q431" s="7"/>
      <c r="AQ431" s="89"/>
      <c r="AR431" s="7"/>
      <c r="AS431" s="7"/>
      <c r="AT431" s="7"/>
      <c r="AU431" s="7"/>
      <c r="AV431" s="7"/>
      <c r="AW431" s="7"/>
      <c r="AX431" s="81"/>
    </row>
    <row r="432" spans="17:50">
      <c r="Q432" s="7"/>
      <c r="AQ432" s="89"/>
      <c r="AR432" s="7"/>
      <c r="AS432" s="7"/>
      <c r="AT432" s="7"/>
      <c r="AU432" s="7"/>
      <c r="AV432" s="7"/>
      <c r="AW432" s="7"/>
      <c r="AX432" s="81"/>
    </row>
    <row r="433" spans="17:50">
      <c r="Q433" s="7"/>
      <c r="AQ433" s="89"/>
      <c r="AR433" s="7"/>
      <c r="AS433" s="7"/>
      <c r="AT433" s="7"/>
      <c r="AU433" s="7"/>
      <c r="AV433" s="7"/>
      <c r="AW433" s="7"/>
      <c r="AX433" s="81"/>
    </row>
    <row r="434" spans="17:50">
      <c r="Q434" s="7"/>
      <c r="AQ434" s="89"/>
      <c r="AR434" s="7"/>
      <c r="AS434" s="7"/>
      <c r="AT434" s="7"/>
      <c r="AU434" s="7"/>
      <c r="AV434" s="7"/>
      <c r="AW434" s="7"/>
      <c r="AX434" s="81"/>
    </row>
    <row r="435" spans="17:50">
      <c r="Q435" s="7"/>
      <c r="AQ435" s="89"/>
      <c r="AR435" s="7"/>
      <c r="AS435" s="7"/>
      <c r="AT435" s="7"/>
      <c r="AU435" s="7"/>
      <c r="AV435" s="7"/>
      <c r="AW435" s="7"/>
      <c r="AX435" s="81"/>
    </row>
    <row r="436" spans="17:50">
      <c r="Q436" s="7"/>
      <c r="AQ436" s="89"/>
      <c r="AR436" s="7"/>
      <c r="AS436" s="7"/>
      <c r="AT436" s="7"/>
      <c r="AU436" s="7"/>
      <c r="AV436" s="7"/>
      <c r="AW436" s="7"/>
      <c r="AX436" s="81"/>
    </row>
    <row r="437" spans="17:50">
      <c r="Q437" s="7"/>
      <c r="AQ437" s="89"/>
      <c r="AR437" s="7"/>
      <c r="AS437" s="7"/>
      <c r="AT437" s="7"/>
      <c r="AU437" s="7"/>
      <c r="AV437" s="7"/>
      <c r="AW437" s="7"/>
      <c r="AX437" s="81"/>
    </row>
    <row r="438" spans="17:50">
      <c r="Q438" s="7"/>
      <c r="AQ438" s="89"/>
      <c r="AR438" s="7"/>
      <c r="AS438" s="7"/>
      <c r="AT438" s="7"/>
      <c r="AU438" s="7"/>
      <c r="AV438" s="7"/>
      <c r="AW438" s="7"/>
      <c r="AX438" s="81"/>
    </row>
    <row r="439" spans="17:50">
      <c r="Q439" s="7"/>
      <c r="AQ439" s="89"/>
      <c r="AR439" s="7"/>
      <c r="AS439" s="7"/>
      <c r="AT439" s="7"/>
      <c r="AU439" s="7"/>
      <c r="AV439" s="7"/>
      <c r="AW439" s="7"/>
      <c r="AX439" s="81"/>
    </row>
    <row r="440" spans="17:50">
      <c r="Q440" s="7"/>
      <c r="AQ440" s="89"/>
      <c r="AR440" s="7"/>
      <c r="AS440" s="7"/>
      <c r="AT440" s="7"/>
      <c r="AU440" s="7"/>
      <c r="AV440" s="7"/>
      <c r="AW440" s="7"/>
      <c r="AX440" s="81"/>
    </row>
    <row r="441" spans="17:50">
      <c r="Q441" s="7"/>
      <c r="AQ441" s="89"/>
      <c r="AR441" s="7"/>
      <c r="AS441" s="7"/>
      <c r="AT441" s="7"/>
      <c r="AU441" s="7"/>
      <c r="AV441" s="7"/>
      <c r="AW441" s="7"/>
      <c r="AX441" s="81"/>
    </row>
    <row r="442" spans="17:50">
      <c r="Q442" s="7"/>
      <c r="AQ442" s="89"/>
      <c r="AR442" s="7"/>
      <c r="AS442" s="7"/>
      <c r="AT442" s="7"/>
      <c r="AU442" s="7"/>
      <c r="AV442" s="7"/>
      <c r="AW442" s="7"/>
      <c r="AX442" s="81"/>
    </row>
    <row r="443" spans="17:50">
      <c r="Q443" s="7"/>
      <c r="AQ443" s="89"/>
      <c r="AR443" s="7"/>
      <c r="AS443" s="7"/>
      <c r="AT443" s="7"/>
      <c r="AU443" s="7"/>
      <c r="AV443" s="7"/>
      <c r="AW443" s="7"/>
      <c r="AX443" s="81"/>
    </row>
    <row r="444" spans="17:50">
      <c r="Q444" s="7"/>
      <c r="AQ444" s="89"/>
      <c r="AR444" s="7"/>
      <c r="AS444" s="7"/>
      <c r="AT444" s="7"/>
      <c r="AU444" s="7"/>
      <c r="AV444" s="7"/>
      <c r="AW444" s="7"/>
      <c r="AX444" s="81"/>
    </row>
    <row r="445" spans="17:50">
      <c r="Q445" s="7"/>
      <c r="AQ445" s="89"/>
      <c r="AR445" s="7"/>
      <c r="AS445" s="7"/>
      <c r="AT445" s="7"/>
      <c r="AU445" s="7"/>
      <c r="AV445" s="7"/>
      <c r="AW445" s="7"/>
      <c r="AX445" s="81"/>
    </row>
    <row r="446" spans="17:50">
      <c r="Q446" s="7"/>
      <c r="AQ446" s="89"/>
      <c r="AR446" s="7"/>
      <c r="AS446" s="7"/>
      <c r="AT446" s="7"/>
      <c r="AU446" s="7"/>
      <c r="AV446" s="7"/>
      <c r="AW446" s="7"/>
      <c r="AX446" s="81"/>
    </row>
    <row r="447" spans="17:50">
      <c r="Q447" s="7"/>
      <c r="AQ447" s="89"/>
      <c r="AR447" s="7"/>
      <c r="AS447" s="7"/>
      <c r="AT447" s="7"/>
      <c r="AU447" s="7"/>
      <c r="AV447" s="7"/>
      <c r="AW447" s="7"/>
      <c r="AX447" s="81"/>
    </row>
    <row r="448" spans="17:50">
      <c r="Q448" s="7"/>
      <c r="AQ448" s="89"/>
      <c r="AR448" s="7"/>
      <c r="AS448" s="7"/>
      <c r="AT448" s="7"/>
      <c r="AU448" s="7"/>
      <c r="AV448" s="7"/>
      <c r="AW448" s="7"/>
      <c r="AX448" s="81"/>
    </row>
    <row r="449" spans="17:50">
      <c r="Q449" s="7"/>
      <c r="AQ449" s="89"/>
      <c r="AR449" s="7"/>
      <c r="AS449" s="7"/>
      <c r="AT449" s="7"/>
      <c r="AU449" s="7"/>
      <c r="AV449" s="7"/>
      <c r="AW449" s="7"/>
      <c r="AX449" s="81"/>
    </row>
    <row r="450" spans="17:50">
      <c r="Q450" s="7"/>
      <c r="AQ450" s="89"/>
      <c r="AR450" s="7"/>
      <c r="AS450" s="7"/>
      <c r="AT450" s="7"/>
      <c r="AU450" s="7"/>
      <c r="AV450" s="7"/>
      <c r="AW450" s="7"/>
      <c r="AX450" s="81"/>
    </row>
    <row r="451" spans="17:50">
      <c r="Q451" s="7"/>
      <c r="AQ451" s="89"/>
      <c r="AR451" s="7"/>
      <c r="AS451" s="7"/>
      <c r="AT451" s="7"/>
      <c r="AU451" s="7"/>
      <c r="AV451" s="7"/>
      <c r="AW451" s="7"/>
      <c r="AX451" s="81"/>
    </row>
    <row r="452" spans="17:50">
      <c r="Q452" s="7"/>
      <c r="AQ452" s="89"/>
      <c r="AR452" s="7"/>
      <c r="AS452" s="7"/>
      <c r="AT452" s="7"/>
      <c r="AU452" s="7"/>
      <c r="AV452" s="7"/>
      <c r="AW452" s="7"/>
      <c r="AX452" s="81"/>
    </row>
    <row r="453" spans="17:50">
      <c r="Q453" s="7"/>
      <c r="AQ453" s="89"/>
      <c r="AR453" s="7"/>
      <c r="AS453" s="7"/>
      <c r="AT453" s="7"/>
      <c r="AU453" s="7"/>
      <c r="AV453" s="7"/>
      <c r="AW453" s="7"/>
      <c r="AX453" s="81"/>
    </row>
    <row r="454" spans="17:50">
      <c r="Q454" s="7"/>
      <c r="AQ454" s="89"/>
      <c r="AR454" s="7"/>
      <c r="AS454" s="7"/>
      <c r="AT454" s="7"/>
      <c r="AU454" s="7"/>
      <c r="AV454" s="7"/>
      <c r="AW454" s="7"/>
      <c r="AX454" s="81"/>
    </row>
    <row r="455" spans="17:50">
      <c r="Q455" s="7"/>
      <c r="AQ455" s="89"/>
      <c r="AR455" s="7"/>
      <c r="AS455" s="7"/>
      <c r="AT455" s="7"/>
      <c r="AU455" s="7"/>
      <c r="AV455" s="7"/>
      <c r="AW455" s="7"/>
      <c r="AX455" s="81"/>
    </row>
    <row r="456" spans="17:50">
      <c r="Q456" s="7"/>
      <c r="AQ456" s="89"/>
      <c r="AR456" s="7"/>
      <c r="AS456" s="7"/>
      <c r="AT456" s="7"/>
      <c r="AU456" s="7"/>
      <c r="AV456" s="7"/>
      <c r="AW456" s="7"/>
      <c r="AX456" s="81"/>
    </row>
    <row r="457" spans="17:50">
      <c r="Q457" s="7"/>
      <c r="AQ457" s="89"/>
      <c r="AR457" s="7"/>
      <c r="AS457" s="7"/>
      <c r="AT457" s="7"/>
      <c r="AU457" s="7"/>
      <c r="AV457" s="7"/>
      <c r="AW457" s="7"/>
      <c r="AX457" s="81"/>
    </row>
    <row r="458" spans="17:50">
      <c r="Q458" s="7"/>
      <c r="AQ458" s="89"/>
      <c r="AR458" s="7"/>
      <c r="AS458" s="7"/>
      <c r="AT458" s="7"/>
      <c r="AU458" s="7"/>
      <c r="AV458" s="7"/>
      <c r="AW458" s="7"/>
      <c r="AX458" s="81"/>
    </row>
    <row r="459" spans="17:50">
      <c r="Q459" s="7"/>
      <c r="AQ459" s="89"/>
      <c r="AR459" s="7"/>
      <c r="AS459" s="7"/>
      <c r="AT459" s="7"/>
      <c r="AU459" s="7"/>
      <c r="AV459" s="7"/>
      <c r="AW459" s="7"/>
      <c r="AX459" s="81"/>
    </row>
    <row r="460" spans="17:50">
      <c r="Q460" s="7"/>
      <c r="AQ460" s="89"/>
      <c r="AR460" s="7"/>
      <c r="AS460" s="7"/>
      <c r="AT460" s="7"/>
      <c r="AU460" s="7"/>
      <c r="AV460" s="7"/>
      <c r="AW460" s="7"/>
      <c r="AX460" s="81"/>
    </row>
    <row r="461" spans="17:50">
      <c r="Q461" s="7"/>
      <c r="AQ461" s="89"/>
      <c r="AR461" s="7"/>
      <c r="AS461" s="7"/>
      <c r="AT461" s="7"/>
      <c r="AU461" s="7"/>
      <c r="AV461" s="7"/>
      <c r="AW461" s="7"/>
      <c r="AX461" s="81"/>
    </row>
    <row r="462" spans="17:50">
      <c r="Q462" s="7"/>
      <c r="AQ462" s="89"/>
      <c r="AR462" s="7"/>
      <c r="AS462" s="7"/>
      <c r="AT462" s="7"/>
      <c r="AU462" s="7"/>
      <c r="AV462" s="7"/>
      <c r="AW462" s="7"/>
      <c r="AX462" s="81"/>
    </row>
    <row r="463" spans="17:50">
      <c r="Q463" s="7"/>
      <c r="AQ463" s="89"/>
      <c r="AR463" s="7"/>
      <c r="AS463" s="7"/>
      <c r="AT463" s="7"/>
      <c r="AU463" s="7"/>
      <c r="AV463" s="7"/>
      <c r="AW463" s="7"/>
      <c r="AX463" s="81"/>
    </row>
    <row r="464" spans="17:50">
      <c r="Q464" s="7"/>
      <c r="AQ464" s="89"/>
      <c r="AR464" s="7"/>
      <c r="AS464" s="7"/>
      <c r="AT464" s="7"/>
      <c r="AU464" s="7"/>
      <c r="AV464" s="7"/>
      <c r="AW464" s="7"/>
      <c r="AX464" s="81"/>
    </row>
    <row r="465" spans="17:50">
      <c r="Q465" s="7"/>
      <c r="AQ465" s="89"/>
      <c r="AR465" s="7"/>
      <c r="AS465" s="7"/>
      <c r="AT465" s="7"/>
      <c r="AU465" s="7"/>
      <c r="AV465" s="7"/>
      <c r="AW465" s="7"/>
      <c r="AX465" s="81"/>
    </row>
    <row r="466" spans="17:50">
      <c r="Q466" s="7"/>
      <c r="AQ466" s="89"/>
      <c r="AR466" s="7"/>
      <c r="AS466" s="7"/>
      <c r="AT466" s="7"/>
      <c r="AU466" s="7"/>
      <c r="AV466" s="7"/>
      <c r="AW466" s="7"/>
      <c r="AX466" s="81"/>
    </row>
    <row r="467" spans="17:50">
      <c r="Q467" s="7"/>
      <c r="AQ467" s="89"/>
      <c r="AR467" s="7"/>
      <c r="AS467" s="7"/>
      <c r="AT467" s="7"/>
      <c r="AU467" s="7"/>
      <c r="AV467" s="7"/>
      <c r="AW467" s="7"/>
      <c r="AX467" s="81"/>
    </row>
    <row r="468" spans="17:50">
      <c r="Q468" s="7"/>
      <c r="AQ468" s="89"/>
      <c r="AR468" s="7"/>
      <c r="AS468" s="7"/>
      <c r="AT468" s="7"/>
      <c r="AU468" s="7"/>
      <c r="AV468" s="7"/>
      <c r="AW468" s="7"/>
      <c r="AX468" s="81"/>
    </row>
    <row r="469" spans="17:50">
      <c r="Q469" s="7"/>
      <c r="AQ469" s="89"/>
      <c r="AR469" s="7"/>
      <c r="AS469" s="7"/>
      <c r="AT469" s="7"/>
      <c r="AU469" s="7"/>
      <c r="AV469" s="7"/>
      <c r="AW469" s="7"/>
      <c r="AX469" s="81"/>
    </row>
    <row r="470" spans="17:50">
      <c r="Q470" s="7"/>
      <c r="AQ470" s="89"/>
      <c r="AR470" s="7"/>
      <c r="AS470" s="7"/>
      <c r="AT470" s="7"/>
      <c r="AU470" s="7"/>
      <c r="AV470" s="7"/>
      <c r="AW470" s="7"/>
      <c r="AX470" s="81"/>
    </row>
    <row r="471" spans="17:50">
      <c r="Q471" s="7"/>
      <c r="AQ471" s="89"/>
      <c r="AR471" s="7"/>
      <c r="AS471" s="7"/>
      <c r="AT471" s="7"/>
      <c r="AU471" s="7"/>
      <c r="AV471" s="7"/>
      <c r="AW471" s="7"/>
      <c r="AX471" s="81"/>
    </row>
    <row r="472" spans="17:50">
      <c r="Q472" s="7"/>
      <c r="AQ472" s="89"/>
      <c r="AR472" s="7"/>
      <c r="AS472" s="7"/>
      <c r="AT472" s="7"/>
      <c r="AU472" s="7"/>
      <c r="AV472" s="7"/>
      <c r="AW472" s="7"/>
      <c r="AX472" s="81"/>
    </row>
    <row r="473" spans="17:50">
      <c r="Q473" s="7"/>
      <c r="AQ473" s="89"/>
      <c r="AR473" s="7"/>
      <c r="AS473" s="7"/>
      <c r="AT473" s="7"/>
      <c r="AU473" s="7"/>
      <c r="AV473" s="7"/>
      <c r="AW473" s="7"/>
      <c r="AX473" s="81"/>
    </row>
    <row r="474" spans="17:50">
      <c r="Q474" s="7"/>
      <c r="AQ474" s="89"/>
      <c r="AR474" s="7"/>
      <c r="AS474" s="7"/>
      <c r="AT474" s="7"/>
      <c r="AU474" s="7"/>
      <c r="AV474" s="7"/>
      <c r="AW474" s="7"/>
      <c r="AX474" s="81"/>
    </row>
    <row r="475" spans="17:50">
      <c r="Q475" s="7"/>
      <c r="AQ475" s="89"/>
      <c r="AR475" s="7"/>
      <c r="AS475" s="7"/>
      <c r="AT475" s="7"/>
      <c r="AU475" s="7"/>
      <c r="AV475" s="7"/>
      <c r="AW475" s="7"/>
      <c r="AX475" s="81"/>
    </row>
    <row r="476" spans="17:50">
      <c r="Q476" s="7"/>
      <c r="AQ476" s="89"/>
      <c r="AR476" s="7"/>
      <c r="AS476" s="7"/>
      <c r="AT476" s="7"/>
      <c r="AU476" s="7"/>
      <c r="AV476" s="7"/>
      <c r="AW476" s="7"/>
      <c r="AX476" s="81"/>
    </row>
    <row r="477" spans="17:50">
      <c r="Q477" s="7"/>
      <c r="AQ477" s="89"/>
      <c r="AR477" s="7"/>
      <c r="AS477" s="7"/>
      <c r="AT477" s="7"/>
      <c r="AU477" s="7"/>
      <c r="AV477" s="7"/>
      <c r="AW477" s="7"/>
      <c r="AX477" s="81"/>
    </row>
    <row r="478" spans="17:50">
      <c r="Q478" s="7"/>
      <c r="AQ478" s="89"/>
      <c r="AR478" s="7"/>
      <c r="AS478" s="7"/>
      <c r="AT478" s="7"/>
      <c r="AU478" s="7"/>
      <c r="AV478" s="7"/>
      <c r="AW478" s="7"/>
      <c r="AX478" s="81"/>
    </row>
    <row r="479" spans="17:50">
      <c r="Q479" s="7"/>
      <c r="AQ479" s="89"/>
      <c r="AR479" s="7"/>
      <c r="AS479" s="7"/>
      <c r="AT479" s="7"/>
      <c r="AU479" s="7"/>
      <c r="AV479" s="7"/>
      <c r="AW479" s="7"/>
      <c r="AX479" s="81"/>
    </row>
    <row r="480" spans="17:50">
      <c r="Q480" s="7"/>
      <c r="AQ480" s="89"/>
      <c r="AR480" s="7"/>
      <c r="AS480" s="7"/>
      <c r="AT480" s="7"/>
      <c r="AU480" s="7"/>
      <c r="AV480" s="7"/>
      <c r="AW480" s="7"/>
      <c r="AX480" s="81"/>
    </row>
    <row r="481" spans="17:50">
      <c r="Q481" s="7"/>
      <c r="AQ481" s="89"/>
      <c r="AR481" s="7"/>
      <c r="AS481" s="7"/>
      <c r="AT481" s="7"/>
      <c r="AU481" s="7"/>
      <c r="AV481" s="7"/>
      <c r="AW481" s="7"/>
      <c r="AX481" s="81"/>
    </row>
    <row r="482" spans="17:50">
      <c r="Q482" s="7"/>
      <c r="AQ482" s="89"/>
      <c r="AR482" s="7"/>
      <c r="AS482" s="7"/>
      <c r="AT482" s="7"/>
      <c r="AU482" s="7"/>
      <c r="AV482" s="7"/>
      <c r="AW482" s="7"/>
      <c r="AX482" s="81"/>
    </row>
    <row r="483" spans="17:50">
      <c r="Q483" s="7"/>
      <c r="AQ483" s="89"/>
      <c r="AR483" s="7"/>
      <c r="AS483" s="7"/>
      <c r="AT483" s="7"/>
      <c r="AU483" s="7"/>
      <c r="AV483" s="7"/>
      <c r="AW483" s="7"/>
      <c r="AX483" s="81"/>
    </row>
    <row r="484" spans="17:50">
      <c r="Q484" s="7"/>
      <c r="AQ484" s="89"/>
      <c r="AR484" s="7"/>
      <c r="AS484" s="7"/>
      <c r="AT484" s="7"/>
      <c r="AU484" s="7"/>
      <c r="AV484" s="7"/>
      <c r="AW484" s="7"/>
      <c r="AX484" s="81"/>
    </row>
    <row r="485" spans="17:50">
      <c r="Q485" s="7"/>
      <c r="AQ485" s="89"/>
      <c r="AR485" s="7"/>
      <c r="AS485" s="7"/>
      <c r="AT485" s="7"/>
      <c r="AU485" s="7"/>
      <c r="AV485" s="7"/>
      <c r="AW485" s="7"/>
      <c r="AX485" s="81"/>
    </row>
    <row r="486" spans="17:50">
      <c r="Q486" s="7"/>
      <c r="AQ486" s="89"/>
      <c r="AR486" s="7"/>
      <c r="AS486" s="7"/>
      <c r="AT486" s="7"/>
      <c r="AU486" s="7"/>
      <c r="AV486" s="7"/>
      <c r="AW486" s="7"/>
      <c r="AX486" s="81"/>
    </row>
    <row r="487" spans="17:50">
      <c r="Q487" s="7"/>
      <c r="AQ487" s="89"/>
      <c r="AR487" s="7"/>
      <c r="AS487" s="7"/>
      <c r="AT487" s="7"/>
      <c r="AU487" s="7"/>
      <c r="AV487" s="7"/>
      <c r="AW487" s="7"/>
      <c r="AX487" s="81"/>
    </row>
    <row r="488" spans="17:50">
      <c r="Q488" s="7"/>
      <c r="AQ488" s="89"/>
      <c r="AR488" s="7"/>
      <c r="AS488" s="7"/>
      <c r="AT488" s="7"/>
      <c r="AU488" s="7"/>
      <c r="AV488" s="7"/>
      <c r="AW488" s="7"/>
      <c r="AX488" s="81"/>
    </row>
    <row r="489" spans="17:50">
      <c r="Q489" s="7"/>
      <c r="AQ489" s="89"/>
      <c r="AR489" s="7"/>
      <c r="AS489" s="7"/>
      <c r="AT489" s="7"/>
      <c r="AU489" s="7"/>
      <c r="AV489" s="7"/>
      <c r="AW489" s="7"/>
      <c r="AX489" s="81"/>
    </row>
    <row r="490" spans="17:50">
      <c r="Q490" s="7"/>
      <c r="AQ490" s="89"/>
      <c r="AR490" s="7"/>
      <c r="AS490" s="7"/>
      <c r="AT490" s="7"/>
      <c r="AU490" s="7"/>
      <c r="AV490" s="7"/>
      <c r="AW490" s="7"/>
      <c r="AX490" s="81"/>
    </row>
    <row r="491" spans="17:50">
      <c r="Q491" s="7"/>
      <c r="AQ491" s="89"/>
      <c r="AR491" s="7"/>
      <c r="AS491" s="7"/>
      <c r="AT491" s="7"/>
      <c r="AU491" s="7"/>
      <c r="AV491" s="7"/>
      <c r="AW491" s="7"/>
      <c r="AX491" s="81"/>
    </row>
    <row r="492" spans="17:50">
      <c r="Q492" s="7"/>
      <c r="AQ492" s="89"/>
      <c r="AR492" s="7"/>
      <c r="AS492" s="7"/>
      <c r="AT492" s="7"/>
      <c r="AU492" s="7"/>
      <c r="AV492" s="7"/>
      <c r="AW492" s="7"/>
      <c r="AX492" s="81"/>
    </row>
    <row r="493" spans="17:50">
      <c r="Q493" s="7"/>
      <c r="AQ493" s="89"/>
      <c r="AR493" s="7"/>
      <c r="AS493" s="7"/>
      <c r="AT493" s="7"/>
      <c r="AU493" s="7"/>
      <c r="AV493" s="7"/>
      <c r="AW493" s="7"/>
      <c r="AX493" s="81"/>
    </row>
    <row r="494" spans="17:50">
      <c r="Q494" s="7"/>
      <c r="AQ494" s="89"/>
      <c r="AR494" s="7"/>
      <c r="AS494" s="7"/>
      <c r="AT494" s="7"/>
      <c r="AU494" s="7"/>
      <c r="AV494" s="7"/>
      <c r="AW494" s="7"/>
      <c r="AX494" s="81"/>
    </row>
    <row r="495" spans="17:50">
      <c r="Q495" s="7"/>
      <c r="AQ495" s="89"/>
      <c r="AR495" s="7"/>
      <c r="AS495" s="7"/>
      <c r="AT495" s="7"/>
      <c r="AU495" s="7"/>
      <c r="AV495" s="7"/>
      <c r="AW495" s="7"/>
      <c r="AX495" s="81"/>
    </row>
    <row r="496" spans="17:50">
      <c r="Q496" s="7"/>
      <c r="AQ496" s="89"/>
      <c r="AR496" s="7"/>
      <c r="AS496" s="7"/>
      <c r="AT496" s="7"/>
      <c r="AU496" s="7"/>
      <c r="AV496" s="7"/>
      <c r="AW496" s="7"/>
      <c r="AX496" s="81"/>
    </row>
    <row r="497" spans="17:50">
      <c r="Q497" s="7"/>
      <c r="AQ497" s="89"/>
      <c r="AR497" s="7"/>
      <c r="AS497" s="7"/>
      <c r="AT497" s="7"/>
      <c r="AU497" s="7"/>
      <c r="AV497" s="7"/>
      <c r="AW497" s="7"/>
      <c r="AX497" s="81"/>
    </row>
    <row r="498" spans="17:50">
      <c r="Q498" s="7"/>
      <c r="AQ498" s="89"/>
      <c r="AR498" s="7"/>
      <c r="AS498" s="7"/>
      <c r="AT498" s="7"/>
      <c r="AU498" s="7"/>
      <c r="AV498" s="7"/>
      <c r="AW498" s="7"/>
      <c r="AX498" s="81"/>
    </row>
    <row r="499" spans="17:50">
      <c r="Q499" s="7"/>
      <c r="AQ499" s="89"/>
      <c r="AR499" s="7"/>
      <c r="AS499" s="7"/>
      <c r="AT499" s="7"/>
      <c r="AU499" s="7"/>
      <c r="AV499" s="7"/>
      <c r="AW499" s="7"/>
      <c r="AX499" s="81"/>
    </row>
    <row r="500" spans="17:50">
      <c r="Q500" s="7"/>
      <c r="AQ500" s="89"/>
      <c r="AR500" s="7"/>
      <c r="AS500" s="7"/>
      <c r="AT500" s="7"/>
      <c r="AU500" s="7"/>
      <c r="AV500" s="7"/>
      <c r="AW500" s="7"/>
      <c r="AX500" s="81"/>
    </row>
    <row r="501" spans="17:50">
      <c r="Q501" s="7"/>
      <c r="AQ501" s="89"/>
      <c r="AR501" s="7"/>
      <c r="AS501" s="7"/>
      <c r="AT501" s="7"/>
      <c r="AU501" s="7"/>
      <c r="AV501" s="7"/>
      <c r="AW501" s="7"/>
      <c r="AX501" s="81"/>
    </row>
    <row r="502" spans="17:50">
      <c r="Q502" s="7"/>
      <c r="AQ502" s="89"/>
      <c r="AR502" s="7"/>
      <c r="AS502" s="7"/>
      <c r="AT502" s="7"/>
      <c r="AU502" s="7"/>
      <c r="AV502" s="7"/>
      <c r="AW502" s="7"/>
      <c r="AX502" s="81"/>
    </row>
    <row r="503" spans="17:50">
      <c r="Q503" s="7"/>
      <c r="AQ503" s="89"/>
      <c r="AR503" s="7"/>
      <c r="AS503" s="7"/>
      <c r="AT503" s="7"/>
      <c r="AU503" s="7"/>
      <c r="AV503" s="7"/>
      <c r="AW503" s="7"/>
      <c r="AX503" s="81"/>
    </row>
    <row r="504" spans="17:50">
      <c r="Q504" s="7"/>
      <c r="AQ504" s="89"/>
      <c r="AR504" s="7"/>
      <c r="AS504" s="7"/>
      <c r="AT504" s="7"/>
      <c r="AU504" s="7"/>
      <c r="AV504" s="7"/>
      <c r="AW504" s="7"/>
      <c r="AX504" s="81"/>
    </row>
    <row r="505" spans="17:50">
      <c r="Q505" s="7"/>
      <c r="AQ505" s="89"/>
      <c r="AR505" s="7"/>
      <c r="AS505" s="7"/>
      <c r="AT505" s="7"/>
      <c r="AU505" s="7"/>
      <c r="AV505" s="7"/>
      <c r="AW505" s="7"/>
      <c r="AX505" s="81"/>
    </row>
    <row r="506" spans="17:50">
      <c r="Q506" s="7"/>
      <c r="AQ506" s="89"/>
      <c r="AR506" s="7"/>
      <c r="AS506" s="7"/>
      <c r="AT506" s="7"/>
      <c r="AU506" s="7"/>
      <c r="AV506" s="7"/>
      <c r="AW506" s="7"/>
      <c r="AX506" s="81"/>
    </row>
    <row r="507" spans="17:50">
      <c r="Q507" s="7"/>
      <c r="AQ507" s="89"/>
      <c r="AR507" s="7"/>
      <c r="AS507" s="7"/>
      <c r="AT507" s="7"/>
      <c r="AU507" s="7"/>
      <c r="AV507" s="7"/>
      <c r="AW507" s="7"/>
      <c r="AX507" s="81"/>
    </row>
    <row r="508" spans="17:50">
      <c r="Q508" s="7"/>
      <c r="AQ508" s="89"/>
      <c r="AR508" s="7"/>
      <c r="AS508" s="7"/>
      <c r="AT508" s="7"/>
      <c r="AU508" s="7"/>
      <c r="AV508" s="7"/>
      <c r="AW508" s="7"/>
      <c r="AX508" s="81"/>
    </row>
    <row r="509" spans="17:50">
      <c r="Q509" s="7"/>
      <c r="AQ509" s="89"/>
      <c r="AR509" s="7"/>
      <c r="AS509" s="7"/>
      <c r="AT509" s="7"/>
      <c r="AU509" s="7"/>
      <c r="AV509" s="7"/>
      <c r="AW509" s="7"/>
      <c r="AX509" s="81"/>
    </row>
    <row r="510" spans="17:50">
      <c r="Q510" s="7"/>
      <c r="AQ510" s="89"/>
      <c r="AR510" s="7"/>
      <c r="AS510" s="7"/>
      <c r="AT510" s="7"/>
      <c r="AU510" s="7"/>
      <c r="AV510" s="7"/>
      <c r="AW510" s="7"/>
      <c r="AX510" s="81"/>
    </row>
    <row r="511" spans="17:50">
      <c r="Q511" s="7"/>
      <c r="AQ511" s="89"/>
      <c r="AR511" s="7"/>
      <c r="AS511" s="7"/>
      <c r="AT511" s="7"/>
      <c r="AU511" s="7"/>
      <c r="AV511" s="7"/>
      <c r="AW511" s="7"/>
      <c r="AX511" s="81"/>
    </row>
    <row r="512" spans="17:50">
      <c r="Q512" s="7"/>
      <c r="AQ512" s="89"/>
      <c r="AR512" s="7"/>
      <c r="AS512" s="7"/>
      <c r="AT512" s="7"/>
      <c r="AU512" s="7"/>
      <c r="AV512" s="7"/>
      <c r="AW512" s="7"/>
      <c r="AX512" s="81"/>
    </row>
    <row r="513" spans="17:50">
      <c r="Q513" s="7"/>
      <c r="AQ513" s="89"/>
      <c r="AR513" s="7"/>
      <c r="AS513" s="7"/>
      <c r="AT513" s="7"/>
      <c r="AU513" s="7"/>
      <c r="AV513" s="7"/>
      <c r="AW513" s="7"/>
      <c r="AX513" s="81"/>
    </row>
    <row r="514" spans="17:50">
      <c r="Q514" s="7"/>
      <c r="AQ514" s="89"/>
      <c r="AR514" s="7"/>
      <c r="AS514" s="7"/>
      <c r="AT514" s="7"/>
      <c r="AU514" s="7"/>
      <c r="AV514" s="7"/>
      <c r="AW514" s="7"/>
      <c r="AX514" s="81"/>
    </row>
    <row r="515" spans="17:50">
      <c r="Q515" s="7"/>
      <c r="AQ515" s="89"/>
      <c r="AR515" s="7"/>
      <c r="AS515" s="7"/>
      <c r="AT515" s="7"/>
      <c r="AU515" s="7"/>
      <c r="AV515" s="7"/>
      <c r="AW515" s="7"/>
      <c r="AX515" s="81"/>
    </row>
    <row r="516" spans="17:50">
      <c r="Q516" s="7"/>
      <c r="AQ516" s="89"/>
      <c r="AR516" s="7"/>
      <c r="AS516" s="7"/>
      <c r="AT516" s="7"/>
      <c r="AU516" s="7"/>
      <c r="AV516" s="7"/>
      <c r="AW516" s="7"/>
      <c r="AX516" s="81"/>
    </row>
    <row r="517" spans="17:50">
      <c r="Q517" s="7"/>
      <c r="AQ517" s="89"/>
      <c r="AR517" s="7"/>
      <c r="AS517" s="7"/>
      <c r="AT517" s="7"/>
      <c r="AU517" s="7"/>
      <c r="AV517" s="7"/>
      <c r="AW517" s="7"/>
      <c r="AX517" s="81"/>
    </row>
    <row r="518" spans="17:50">
      <c r="Q518" s="7"/>
      <c r="AQ518" s="89"/>
      <c r="AR518" s="7"/>
      <c r="AS518" s="7"/>
      <c r="AT518" s="7"/>
      <c r="AU518" s="7"/>
      <c r="AV518" s="7"/>
      <c r="AW518" s="7"/>
      <c r="AX518" s="81"/>
    </row>
    <row r="519" spans="17:50">
      <c r="Q519" s="7"/>
      <c r="AQ519" s="89"/>
      <c r="AR519" s="7"/>
      <c r="AS519" s="7"/>
      <c r="AT519" s="7"/>
      <c r="AU519" s="7"/>
      <c r="AV519" s="7"/>
      <c r="AW519" s="7"/>
      <c r="AX519" s="81"/>
    </row>
    <row r="520" spans="17:50">
      <c r="Q520" s="7"/>
      <c r="AQ520" s="89"/>
      <c r="AR520" s="7"/>
      <c r="AS520" s="7"/>
      <c r="AT520" s="7"/>
      <c r="AU520" s="7"/>
      <c r="AV520" s="7"/>
      <c r="AW520" s="7"/>
      <c r="AX520" s="81"/>
    </row>
    <row r="521" spans="17:50">
      <c r="Q521" s="7"/>
      <c r="AQ521" s="89"/>
      <c r="AR521" s="7"/>
      <c r="AS521" s="7"/>
      <c r="AT521" s="7"/>
      <c r="AU521" s="7"/>
      <c r="AV521" s="7"/>
      <c r="AW521" s="7"/>
      <c r="AX521" s="81"/>
    </row>
    <row r="522" spans="17:50">
      <c r="Q522" s="7"/>
      <c r="AQ522" s="89"/>
      <c r="AR522" s="7"/>
      <c r="AS522" s="7"/>
      <c r="AT522" s="7"/>
      <c r="AU522" s="7"/>
      <c r="AV522" s="7"/>
      <c r="AW522" s="7"/>
      <c r="AX522" s="81"/>
    </row>
    <row r="523" spans="17:50">
      <c r="Q523" s="7"/>
      <c r="AQ523" s="89"/>
      <c r="AR523" s="7"/>
      <c r="AS523" s="7"/>
      <c r="AT523" s="7"/>
      <c r="AU523" s="7"/>
      <c r="AV523" s="7"/>
      <c r="AW523" s="7"/>
      <c r="AX523" s="81"/>
    </row>
    <row r="524" spans="17:50">
      <c r="Q524" s="7"/>
      <c r="AQ524" s="89"/>
      <c r="AR524" s="7"/>
      <c r="AS524" s="7"/>
      <c r="AT524" s="7"/>
      <c r="AU524" s="7"/>
      <c r="AV524" s="7"/>
      <c r="AW524" s="7"/>
      <c r="AX524" s="81"/>
    </row>
    <row r="525" spans="17:50">
      <c r="Q525" s="7"/>
      <c r="AQ525" s="89"/>
      <c r="AR525" s="7"/>
      <c r="AS525" s="7"/>
      <c r="AT525" s="7"/>
      <c r="AU525" s="7"/>
      <c r="AV525" s="7"/>
      <c r="AW525" s="7"/>
      <c r="AX525" s="81"/>
    </row>
    <row r="526" spans="17:50">
      <c r="Q526" s="7"/>
      <c r="AQ526" s="89"/>
      <c r="AR526" s="7"/>
      <c r="AS526" s="7"/>
      <c r="AT526" s="7"/>
      <c r="AU526" s="7"/>
      <c r="AV526" s="7"/>
      <c r="AW526" s="7"/>
      <c r="AX526" s="81"/>
    </row>
    <row r="527" spans="17:50">
      <c r="Q527" s="7"/>
      <c r="AQ527" s="89"/>
      <c r="AR527" s="7"/>
      <c r="AS527" s="7"/>
      <c r="AT527" s="7"/>
      <c r="AU527" s="7"/>
      <c r="AV527" s="7"/>
      <c r="AW527" s="7"/>
      <c r="AX527" s="81"/>
    </row>
    <row r="528" spans="17:50">
      <c r="Q528" s="7"/>
      <c r="AQ528" s="89"/>
      <c r="AR528" s="7"/>
      <c r="AS528" s="7"/>
      <c r="AT528" s="7"/>
      <c r="AU528" s="7"/>
      <c r="AV528" s="7"/>
      <c r="AW528" s="7"/>
      <c r="AX528" s="81"/>
    </row>
    <row r="529" spans="17:50">
      <c r="Q529" s="7"/>
      <c r="AQ529" s="89"/>
      <c r="AR529" s="7"/>
      <c r="AS529" s="7"/>
      <c r="AT529" s="7"/>
      <c r="AU529" s="7"/>
      <c r="AV529" s="7"/>
      <c r="AW529" s="7"/>
      <c r="AX529" s="81"/>
    </row>
    <row r="530" spans="17:50">
      <c r="Q530" s="7"/>
      <c r="AQ530" s="89"/>
      <c r="AR530" s="7"/>
      <c r="AS530" s="7"/>
      <c r="AT530" s="7"/>
      <c r="AU530" s="7"/>
      <c r="AV530" s="7"/>
      <c r="AW530" s="7"/>
      <c r="AX530" s="81"/>
    </row>
    <row r="531" spans="17:50">
      <c r="Q531" s="7"/>
      <c r="AQ531" s="89"/>
      <c r="AR531" s="7"/>
      <c r="AS531" s="7"/>
      <c r="AT531" s="7"/>
      <c r="AU531" s="7"/>
      <c r="AV531" s="7"/>
      <c r="AW531" s="7"/>
      <c r="AX531" s="81"/>
    </row>
    <row r="532" spans="17:50">
      <c r="Q532" s="7"/>
      <c r="AQ532" s="89"/>
      <c r="AR532" s="7"/>
      <c r="AS532" s="7"/>
      <c r="AT532" s="7"/>
      <c r="AU532" s="7"/>
      <c r="AV532" s="7"/>
      <c r="AW532" s="7"/>
      <c r="AX532" s="81"/>
    </row>
    <row r="533" spans="17:50">
      <c r="Q533" s="7"/>
      <c r="AQ533" s="89"/>
      <c r="AR533" s="7"/>
      <c r="AS533" s="7"/>
      <c r="AT533" s="7"/>
      <c r="AU533" s="7"/>
      <c r="AV533" s="7"/>
      <c r="AW533" s="7"/>
      <c r="AX533" s="81"/>
    </row>
    <row r="534" spans="17:50">
      <c r="Q534" s="7"/>
      <c r="AQ534" s="89"/>
      <c r="AR534" s="7"/>
      <c r="AS534" s="7"/>
      <c r="AT534" s="7"/>
      <c r="AU534" s="7"/>
      <c r="AV534" s="7"/>
      <c r="AW534" s="7"/>
      <c r="AX534" s="81"/>
    </row>
    <row r="535" spans="17:50">
      <c r="Q535" s="7"/>
      <c r="AQ535" s="89"/>
      <c r="AR535" s="7"/>
      <c r="AS535" s="7"/>
      <c r="AT535" s="7"/>
      <c r="AU535" s="7"/>
      <c r="AV535" s="7"/>
      <c r="AW535" s="7"/>
      <c r="AX535" s="81"/>
    </row>
    <row r="536" spans="17:50">
      <c r="Q536" s="7"/>
      <c r="AQ536" s="89"/>
      <c r="AR536" s="7"/>
      <c r="AS536" s="7"/>
      <c r="AT536" s="7"/>
      <c r="AU536" s="7"/>
      <c r="AV536" s="7"/>
      <c r="AW536" s="7"/>
      <c r="AX536" s="81"/>
    </row>
    <row r="537" spans="17:50">
      <c r="Q537" s="7"/>
      <c r="AQ537" s="89"/>
      <c r="AR537" s="7"/>
      <c r="AS537" s="7"/>
      <c r="AT537" s="7"/>
      <c r="AU537" s="7"/>
      <c r="AV537" s="7"/>
      <c r="AW537" s="7"/>
      <c r="AX537" s="81"/>
    </row>
    <row r="538" spans="17:50">
      <c r="Q538" s="7"/>
      <c r="AQ538" s="89"/>
      <c r="AR538" s="7"/>
      <c r="AS538" s="7"/>
      <c r="AT538" s="7"/>
      <c r="AU538" s="7"/>
      <c r="AV538" s="7"/>
      <c r="AW538" s="7"/>
      <c r="AX538" s="81"/>
    </row>
    <row r="539" spans="17:50">
      <c r="Q539" s="7"/>
      <c r="AQ539" s="89"/>
      <c r="AR539" s="7"/>
      <c r="AS539" s="7"/>
      <c r="AT539" s="7"/>
      <c r="AU539" s="7"/>
      <c r="AV539" s="7"/>
      <c r="AW539" s="7"/>
      <c r="AX539" s="81"/>
    </row>
    <row r="540" spans="17:50">
      <c r="Q540" s="7"/>
      <c r="AQ540" s="89"/>
      <c r="AR540" s="7"/>
      <c r="AS540" s="7"/>
      <c r="AT540" s="7"/>
      <c r="AU540" s="7"/>
      <c r="AV540" s="7"/>
      <c r="AW540" s="7"/>
      <c r="AX540" s="81"/>
    </row>
    <row r="541" spans="17:50">
      <c r="Q541" s="7"/>
      <c r="AQ541" s="89"/>
      <c r="AR541" s="7"/>
      <c r="AS541" s="7"/>
      <c r="AT541" s="7"/>
      <c r="AU541" s="7"/>
      <c r="AV541" s="7"/>
      <c r="AW541" s="7"/>
      <c r="AX541" s="81"/>
    </row>
    <row r="542" spans="17:50">
      <c r="Q542" s="7"/>
      <c r="AQ542" s="89"/>
      <c r="AR542" s="7"/>
      <c r="AS542" s="7"/>
      <c r="AT542" s="7"/>
      <c r="AU542" s="7"/>
      <c r="AV542" s="7"/>
      <c r="AW542" s="7"/>
      <c r="AX542" s="81"/>
    </row>
    <row r="543" spans="17:50">
      <c r="Q543" s="7"/>
      <c r="AQ543" s="89"/>
      <c r="AR543" s="7"/>
      <c r="AS543" s="7"/>
      <c r="AT543" s="7"/>
      <c r="AU543" s="7"/>
      <c r="AV543" s="7"/>
      <c r="AW543" s="7"/>
      <c r="AX543" s="81"/>
    </row>
    <row r="544" spans="17:50">
      <c r="Q544" s="7"/>
      <c r="AQ544" s="89"/>
      <c r="AR544" s="7"/>
      <c r="AS544" s="7"/>
      <c r="AT544" s="7"/>
      <c r="AU544" s="7"/>
      <c r="AV544" s="7"/>
      <c r="AW544" s="7"/>
      <c r="AX544" s="81"/>
    </row>
    <row r="545" spans="17:50">
      <c r="Q545" s="7"/>
      <c r="AQ545" s="89"/>
      <c r="AR545" s="7"/>
      <c r="AS545" s="7"/>
      <c r="AT545" s="7"/>
      <c r="AU545" s="7"/>
      <c r="AV545" s="7"/>
      <c r="AW545" s="7"/>
      <c r="AX545" s="81"/>
    </row>
    <row r="546" spans="17:50">
      <c r="Q546" s="7"/>
      <c r="AQ546" s="89"/>
      <c r="AR546" s="7"/>
      <c r="AS546" s="7"/>
      <c r="AT546" s="7"/>
      <c r="AU546" s="7"/>
      <c r="AV546" s="7"/>
      <c r="AW546" s="7"/>
      <c r="AX546" s="81"/>
    </row>
    <row r="547" spans="17:50">
      <c r="Q547" s="7"/>
      <c r="AQ547" s="89"/>
      <c r="AR547" s="7"/>
      <c r="AS547" s="7"/>
      <c r="AT547" s="7"/>
      <c r="AU547" s="7"/>
      <c r="AV547" s="7"/>
      <c r="AW547" s="7"/>
      <c r="AX547" s="81"/>
    </row>
    <row r="548" spans="17:50">
      <c r="Q548" s="7"/>
      <c r="AQ548" s="89"/>
      <c r="AR548" s="7"/>
      <c r="AS548" s="7"/>
      <c r="AT548" s="7"/>
      <c r="AU548" s="7"/>
      <c r="AV548" s="7"/>
      <c r="AW548" s="7"/>
      <c r="AX548" s="81"/>
    </row>
    <row r="549" spans="17:50">
      <c r="Q549" s="7"/>
      <c r="AQ549" s="89"/>
      <c r="AR549" s="7"/>
      <c r="AS549" s="7"/>
      <c r="AT549" s="7"/>
      <c r="AU549" s="7"/>
      <c r="AV549" s="7"/>
      <c r="AW549" s="7"/>
      <c r="AX549" s="81"/>
    </row>
    <row r="550" spans="17:50">
      <c r="Q550" s="7"/>
      <c r="AQ550" s="89"/>
      <c r="AR550" s="7"/>
      <c r="AS550" s="7"/>
      <c r="AT550" s="7"/>
      <c r="AU550" s="7"/>
      <c r="AV550" s="7"/>
      <c r="AW550" s="7"/>
      <c r="AX550" s="81"/>
    </row>
    <row r="551" spans="17:50">
      <c r="Q551" s="7"/>
      <c r="AQ551" s="89"/>
      <c r="AR551" s="7"/>
      <c r="AS551" s="7"/>
      <c r="AT551" s="7"/>
      <c r="AU551" s="7"/>
      <c r="AV551" s="7"/>
      <c r="AW551" s="7"/>
      <c r="AX551" s="81"/>
    </row>
    <row r="552" spans="17:50">
      <c r="Q552" s="7"/>
      <c r="AQ552" s="89"/>
      <c r="AR552" s="7"/>
      <c r="AS552" s="7"/>
      <c r="AT552" s="7"/>
      <c r="AU552" s="7"/>
      <c r="AV552" s="7"/>
      <c r="AW552" s="7"/>
      <c r="AX552" s="81"/>
    </row>
    <row r="553" spans="17:50">
      <c r="Q553" s="7"/>
      <c r="AQ553" s="89"/>
      <c r="AR553" s="7"/>
      <c r="AS553" s="7"/>
      <c r="AT553" s="7"/>
      <c r="AU553" s="7"/>
      <c r="AV553" s="7"/>
      <c r="AW553" s="7"/>
      <c r="AX553" s="81"/>
    </row>
    <row r="554" spans="17:50">
      <c r="Q554" s="7"/>
      <c r="AQ554" s="89"/>
      <c r="AR554" s="7"/>
      <c r="AS554" s="7"/>
      <c r="AT554" s="7"/>
      <c r="AU554" s="7"/>
      <c r="AV554" s="7"/>
      <c r="AW554" s="7"/>
      <c r="AX554" s="81"/>
    </row>
    <row r="555" spans="17:50">
      <c r="Q555" s="7"/>
      <c r="AQ555" s="89"/>
      <c r="AR555" s="7"/>
      <c r="AS555" s="7"/>
      <c r="AT555" s="7"/>
      <c r="AU555" s="7"/>
      <c r="AV555" s="7"/>
      <c r="AW555" s="7"/>
      <c r="AX555" s="81"/>
    </row>
    <row r="556" spans="17:50">
      <c r="Q556" s="7"/>
      <c r="AQ556" s="89"/>
      <c r="AR556" s="7"/>
      <c r="AS556" s="7"/>
      <c r="AT556" s="7"/>
      <c r="AU556" s="7"/>
      <c r="AV556" s="7"/>
      <c r="AW556" s="7"/>
      <c r="AX556" s="81"/>
    </row>
    <row r="557" spans="17:50">
      <c r="Q557" s="7"/>
      <c r="AQ557" s="89"/>
      <c r="AR557" s="7"/>
      <c r="AS557" s="7"/>
      <c r="AT557" s="7"/>
      <c r="AU557" s="7"/>
      <c r="AV557" s="7"/>
      <c r="AW557" s="7"/>
      <c r="AX557" s="81"/>
    </row>
    <row r="558" spans="17:50">
      <c r="Q558" s="7"/>
      <c r="AQ558" s="89"/>
      <c r="AR558" s="7"/>
      <c r="AS558" s="7"/>
      <c r="AT558" s="7"/>
      <c r="AU558" s="7"/>
      <c r="AV558" s="7"/>
      <c r="AW558" s="7"/>
      <c r="AX558" s="81"/>
    </row>
    <row r="559" spans="17:50">
      <c r="Q559" s="7"/>
      <c r="AQ559" s="89"/>
      <c r="AR559" s="7"/>
      <c r="AS559" s="7"/>
      <c r="AT559" s="7"/>
      <c r="AU559" s="7"/>
      <c r="AV559" s="7"/>
      <c r="AW559" s="7"/>
      <c r="AX559" s="81"/>
    </row>
    <row r="560" spans="17:50">
      <c r="Q560" s="7"/>
      <c r="AQ560" s="89"/>
      <c r="AR560" s="7"/>
      <c r="AS560" s="7"/>
      <c r="AT560" s="7"/>
      <c r="AU560" s="7"/>
      <c r="AV560" s="7"/>
      <c r="AW560" s="7"/>
      <c r="AX560" s="81"/>
    </row>
    <row r="561" spans="17:50">
      <c r="Q561" s="7"/>
      <c r="AQ561" s="89"/>
      <c r="AR561" s="7"/>
      <c r="AS561" s="7"/>
      <c r="AT561" s="7"/>
      <c r="AU561" s="7"/>
      <c r="AV561" s="7"/>
      <c r="AW561" s="7"/>
      <c r="AX561" s="81"/>
    </row>
    <row r="562" spans="17:50">
      <c r="Q562" s="7"/>
      <c r="AQ562" s="89"/>
      <c r="AR562" s="7"/>
      <c r="AS562" s="7"/>
      <c r="AT562" s="7"/>
      <c r="AU562" s="7"/>
      <c r="AV562" s="7"/>
      <c r="AW562" s="7"/>
      <c r="AX562" s="81"/>
    </row>
    <row r="563" spans="17:50">
      <c r="Q563" s="7"/>
      <c r="AQ563" s="89"/>
      <c r="AR563" s="7"/>
      <c r="AS563" s="7"/>
      <c r="AT563" s="7"/>
      <c r="AU563" s="7"/>
      <c r="AV563" s="7"/>
      <c r="AW563" s="7"/>
      <c r="AX563" s="81"/>
    </row>
    <row r="564" spans="17:50">
      <c r="Q564" s="7"/>
      <c r="AQ564" s="89"/>
      <c r="AR564" s="7"/>
      <c r="AS564" s="7"/>
      <c r="AT564" s="7"/>
      <c r="AU564" s="7"/>
      <c r="AV564" s="7"/>
      <c r="AW564" s="7"/>
      <c r="AX564" s="81"/>
    </row>
    <row r="565" spans="17:50">
      <c r="Q565" s="7"/>
      <c r="AQ565" s="89"/>
      <c r="AR565" s="7"/>
      <c r="AS565" s="7"/>
      <c r="AT565" s="7"/>
      <c r="AU565" s="7"/>
      <c r="AV565" s="7"/>
      <c r="AW565" s="7"/>
      <c r="AX565" s="81"/>
    </row>
    <row r="566" spans="17:50">
      <c r="Q566" s="7"/>
      <c r="AQ566" s="89"/>
      <c r="AR566" s="7"/>
      <c r="AS566" s="7"/>
      <c r="AT566" s="7"/>
      <c r="AU566" s="7"/>
      <c r="AV566" s="7"/>
      <c r="AW566" s="7"/>
      <c r="AX566" s="81"/>
    </row>
    <row r="567" spans="17:50">
      <c r="Q567" s="7"/>
      <c r="AQ567" s="89"/>
      <c r="AR567" s="7"/>
      <c r="AS567" s="7"/>
      <c r="AT567" s="7"/>
      <c r="AU567" s="7"/>
      <c r="AV567" s="7"/>
      <c r="AW567" s="7"/>
      <c r="AX567" s="81"/>
    </row>
    <row r="568" spans="17:50">
      <c r="Q568" s="7"/>
      <c r="AQ568" s="89"/>
      <c r="AR568" s="7"/>
      <c r="AS568" s="7"/>
      <c r="AT568" s="7"/>
      <c r="AU568" s="7"/>
      <c r="AV568" s="7"/>
      <c r="AW568" s="7"/>
      <c r="AX568" s="81"/>
    </row>
    <row r="569" spans="17:50">
      <c r="Q569" s="7"/>
      <c r="AQ569" s="89"/>
      <c r="AR569" s="7"/>
      <c r="AS569" s="7"/>
      <c r="AT569" s="7"/>
      <c r="AU569" s="7"/>
      <c r="AV569" s="7"/>
      <c r="AW569" s="7"/>
      <c r="AX569" s="81"/>
    </row>
    <row r="570" spans="17:50">
      <c r="Q570" s="7"/>
      <c r="AQ570" s="89"/>
      <c r="AR570" s="7"/>
      <c r="AS570" s="7"/>
      <c r="AT570" s="7"/>
      <c r="AU570" s="7"/>
      <c r="AV570" s="7"/>
      <c r="AW570" s="7"/>
      <c r="AX570" s="81"/>
    </row>
    <row r="571" spans="17:50">
      <c r="Q571" s="7"/>
      <c r="AQ571" s="89"/>
      <c r="AR571" s="7"/>
      <c r="AS571" s="7"/>
      <c r="AT571" s="7"/>
      <c r="AU571" s="7"/>
      <c r="AV571" s="7"/>
      <c r="AW571" s="7"/>
      <c r="AX571" s="81"/>
    </row>
    <row r="572" spans="17:50">
      <c r="Q572" s="7"/>
      <c r="AQ572" s="89"/>
      <c r="AR572" s="7"/>
      <c r="AS572" s="7"/>
      <c r="AT572" s="7"/>
      <c r="AU572" s="7"/>
      <c r="AV572" s="7"/>
      <c r="AW572" s="7"/>
      <c r="AX572" s="81"/>
    </row>
    <row r="573" spans="17:50">
      <c r="Q573" s="7"/>
      <c r="AQ573" s="89"/>
      <c r="AR573" s="7"/>
      <c r="AS573" s="7"/>
      <c r="AT573" s="7"/>
      <c r="AU573" s="7"/>
      <c r="AV573" s="7"/>
      <c r="AW573" s="7"/>
      <c r="AX573" s="81"/>
    </row>
    <row r="574" spans="17:50">
      <c r="Q574" s="7"/>
      <c r="AQ574" s="89"/>
      <c r="AR574" s="7"/>
      <c r="AS574" s="7"/>
      <c r="AT574" s="7"/>
      <c r="AU574" s="7"/>
      <c r="AV574" s="7"/>
      <c r="AW574" s="7"/>
      <c r="AX574" s="81"/>
    </row>
    <row r="575" spans="17:50">
      <c r="Q575" s="7"/>
      <c r="AQ575" s="89"/>
      <c r="AR575" s="7"/>
      <c r="AS575" s="7"/>
      <c r="AT575" s="7"/>
      <c r="AU575" s="7"/>
      <c r="AV575" s="7"/>
      <c r="AW575" s="7"/>
      <c r="AX575" s="81"/>
    </row>
    <row r="576" spans="17:50">
      <c r="Q576" s="7"/>
      <c r="AQ576" s="89"/>
      <c r="AR576" s="7"/>
      <c r="AS576" s="7"/>
      <c r="AT576" s="7"/>
      <c r="AU576" s="7"/>
      <c r="AV576" s="7"/>
      <c r="AW576" s="7"/>
      <c r="AX576" s="81"/>
    </row>
    <row r="577" spans="17:50">
      <c r="Q577" s="7"/>
      <c r="AQ577" s="89"/>
      <c r="AR577" s="7"/>
      <c r="AS577" s="7"/>
      <c r="AT577" s="7"/>
      <c r="AU577" s="7"/>
      <c r="AV577" s="7"/>
      <c r="AW577" s="7"/>
      <c r="AX577" s="81"/>
    </row>
    <row r="578" spans="17:50">
      <c r="Q578" s="7"/>
      <c r="AQ578" s="89"/>
      <c r="AR578" s="7"/>
      <c r="AS578" s="7"/>
      <c r="AT578" s="7"/>
      <c r="AU578" s="7"/>
      <c r="AV578" s="7"/>
      <c r="AW578" s="7"/>
      <c r="AX578" s="81"/>
    </row>
    <row r="579" spans="17:50">
      <c r="Q579" s="7"/>
      <c r="AQ579" s="89"/>
      <c r="AR579" s="7"/>
      <c r="AS579" s="7"/>
      <c r="AT579" s="7"/>
      <c r="AU579" s="7"/>
      <c r="AV579" s="7"/>
      <c r="AW579" s="7"/>
      <c r="AX579" s="81"/>
    </row>
    <row r="580" spans="17:50">
      <c r="Q580" s="7"/>
      <c r="AQ580" s="89"/>
      <c r="AR580" s="7"/>
      <c r="AS580" s="7"/>
      <c r="AT580" s="7"/>
      <c r="AU580" s="7"/>
      <c r="AV580" s="7"/>
      <c r="AW580" s="7"/>
      <c r="AX580" s="81"/>
    </row>
    <row r="581" spans="17:50">
      <c r="Q581" s="7"/>
      <c r="AQ581" s="89"/>
      <c r="AR581" s="7"/>
      <c r="AS581" s="7"/>
      <c r="AT581" s="7"/>
      <c r="AU581" s="7"/>
      <c r="AV581" s="7"/>
      <c r="AW581" s="7"/>
      <c r="AX581" s="81"/>
    </row>
    <row r="582" spans="17:50">
      <c r="Q582" s="7"/>
      <c r="AQ582" s="89"/>
      <c r="AR582" s="7"/>
      <c r="AS582" s="7"/>
      <c r="AT582" s="7"/>
      <c r="AU582" s="7"/>
      <c r="AV582" s="7"/>
      <c r="AW582" s="7"/>
      <c r="AX582" s="81"/>
    </row>
    <row r="583" spans="17:50">
      <c r="Q583" s="7"/>
      <c r="AQ583" s="89"/>
      <c r="AR583" s="7"/>
      <c r="AS583" s="7"/>
      <c r="AT583" s="7"/>
      <c r="AU583" s="7"/>
      <c r="AV583" s="7"/>
      <c r="AW583" s="7"/>
      <c r="AX583" s="81"/>
    </row>
    <row r="584" spans="17:50">
      <c r="Q584" s="7"/>
      <c r="AQ584" s="89"/>
      <c r="AR584" s="7"/>
      <c r="AS584" s="7"/>
      <c r="AT584" s="7"/>
      <c r="AU584" s="7"/>
      <c r="AV584" s="7"/>
      <c r="AW584" s="7"/>
      <c r="AX584" s="81"/>
    </row>
    <row r="585" spans="17:50">
      <c r="Q585" s="7"/>
      <c r="AQ585" s="89"/>
      <c r="AR585" s="7"/>
      <c r="AS585" s="7"/>
      <c r="AT585" s="7"/>
      <c r="AU585" s="7"/>
      <c r="AV585" s="7"/>
      <c r="AW585" s="7"/>
      <c r="AX585" s="81"/>
    </row>
    <row r="586" spans="17:50">
      <c r="Q586" s="7"/>
      <c r="AQ586" s="89"/>
      <c r="AR586" s="7"/>
      <c r="AS586" s="7"/>
      <c r="AT586" s="7"/>
      <c r="AU586" s="7"/>
      <c r="AV586" s="7"/>
      <c r="AW586" s="7"/>
      <c r="AX586" s="81"/>
    </row>
    <row r="587" spans="17:50">
      <c r="Q587" s="7"/>
      <c r="AQ587" s="89"/>
      <c r="AR587" s="7"/>
      <c r="AS587" s="7"/>
      <c r="AT587" s="7"/>
      <c r="AU587" s="7"/>
      <c r="AV587" s="7"/>
      <c r="AW587" s="7"/>
      <c r="AX587" s="81"/>
    </row>
    <row r="588" spans="17:50">
      <c r="Q588" s="7"/>
      <c r="AQ588" s="89"/>
      <c r="AR588" s="7"/>
      <c r="AS588" s="7"/>
      <c r="AT588" s="7"/>
      <c r="AU588" s="7"/>
      <c r="AV588" s="7"/>
      <c r="AW588" s="7"/>
      <c r="AX588" s="81"/>
    </row>
    <row r="589" spans="17:50">
      <c r="Q589" s="7"/>
      <c r="AQ589" s="89"/>
      <c r="AR589" s="7"/>
      <c r="AS589" s="7"/>
      <c r="AT589" s="7"/>
      <c r="AU589" s="7"/>
      <c r="AV589" s="7"/>
      <c r="AW589" s="7"/>
      <c r="AX589" s="81"/>
    </row>
    <row r="590" spans="17:50">
      <c r="Q590" s="7"/>
      <c r="AQ590" s="89"/>
      <c r="AR590" s="7"/>
      <c r="AS590" s="7"/>
      <c r="AT590" s="7"/>
      <c r="AU590" s="7"/>
      <c r="AV590" s="7"/>
      <c r="AW590" s="7"/>
      <c r="AX590" s="81"/>
    </row>
    <row r="591" spans="17:50">
      <c r="Q591" s="7"/>
      <c r="AQ591" s="89"/>
      <c r="AR591" s="7"/>
      <c r="AS591" s="7"/>
      <c r="AT591" s="7"/>
      <c r="AU591" s="7"/>
      <c r="AV591" s="7"/>
      <c r="AW591" s="7"/>
      <c r="AX591" s="81"/>
    </row>
    <row r="592" spans="17:50">
      <c r="Q592" s="7"/>
      <c r="AQ592" s="89"/>
      <c r="AR592" s="7"/>
      <c r="AS592" s="7"/>
      <c r="AT592" s="7"/>
      <c r="AU592" s="7"/>
      <c r="AV592" s="7"/>
      <c r="AW592" s="7"/>
      <c r="AX592" s="81"/>
    </row>
    <row r="593" spans="17:50">
      <c r="Q593" s="7"/>
      <c r="AQ593" s="89"/>
      <c r="AR593" s="7"/>
      <c r="AS593" s="7"/>
      <c r="AT593" s="7"/>
      <c r="AU593" s="7"/>
      <c r="AV593" s="7"/>
      <c r="AW593" s="7"/>
      <c r="AX593" s="81"/>
    </row>
    <row r="594" spans="17:50">
      <c r="Q594" s="7"/>
      <c r="AQ594" s="89"/>
      <c r="AR594" s="7"/>
      <c r="AS594" s="7"/>
      <c r="AT594" s="7"/>
      <c r="AU594" s="7"/>
      <c r="AV594" s="7"/>
      <c r="AW594" s="7"/>
      <c r="AX594" s="81"/>
    </row>
    <row r="595" spans="17:50">
      <c r="Q595" s="7"/>
      <c r="AQ595" s="89"/>
      <c r="AR595" s="7"/>
      <c r="AS595" s="7"/>
      <c r="AT595" s="7"/>
      <c r="AU595" s="7"/>
      <c r="AV595" s="7"/>
      <c r="AW595" s="7"/>
      <c r="AX595" s="81"/>
    </row>
    <row r="596" spans="17:50">
      <c r="Q596" s="7"/>
      <c r="AQ596" s="89"/>
      <c r="AR596" s="7"/>
      <c r="AS596" s="7"/>
      <c r="AT596" s="7"/>
      <c r="AU596" s="7"/>
      <c r="AV596" s="7"/>
      <c r="AW596" s="7"/>
      <c r="AX596" s="81"/>
    </row>
    <row r="597" spans="17:50">
      <c r="Q597" s="7"/>
      <c r="AQ597" s="89"/>
      <c r="AR597" s="7"/>
      <c r="AS597" s="7"/>
      <c r="AT597" s="7"/>
      <c r="AU597" s="7"/>
      <c r="AV597" s="7"/>
      <c r="AW597" s="7"/>
      <c r="AX597" s="81"/>
    </row>
    <row r="598" spans="17:50">
      <c r="Q598" s="7"/>
      <c r="AQ598" s="89"/>
      <c r="AR598" s="7"/>
      <c r="AS598" s="7"/>
      <c r="AT598" s="7"/>
      <c r="AU598" s="7"/>
      <c r="AV598" s="7"/>
      <c r="AW598" s="7"/>
      <c r="AX598" s="81"/>
    </row>
    <row r="599" spans="17:50">
      <c r="Q599" s="7"/>
      <c r="AQ599" s="89"/>
      <c r="AR599" s="7"/>
      <c r="AS599" s="7"/>
      <c r="AT599" s="7"/>
      <c r="AU599" s="7"/>
      <c r="AV599" s="7"/>
      <c r="AW599" s="7"/>
      <c r="AX599" s="81"/>
    </row>
    <row r="600" spans="17:50">
      <c r="Q600" s="7"/>
      <c r="AQ600" s="89"/>
      <c r="AR600" s="7"/>
      <c r="AS600" s="7"/>
      <c r="AT600" s="7"/>
      <c r="AU600" s="7"/>
      <c r="AV600" s="7"/>
      <c r="AW600" s="7"/>
      <c r="AX600" s="81"/>
    </row>
    <row r="601" spans="17:50">
      <c r="Q601" s="7"/>
      <c r="AQ601" s="89"/>
      <c r="AR601" s="7"/>
      <c r="AS601" s="7"/>
      <c r="AT601" s="7"/>
      <c r="AU601" s="7"/>
      <c r="AV601" s="7"/>
      <c r="AW601" s="7"/>
      <c r="AX601" s="81"/>
    </row>
    <row r="602" spans="17:50">
      <c r="Q602" s="7"/>
      <c r="AQ602" s="89"/>
      <c r="AR602" s="7"/>
      <c r="AS602" s="7"/>
      <c r="AT602" s="7"/>
      <c r="AU602" s="7"/>
      <c r="AV602" s="7"/>
      <c r="AW602" s="7"/>
      <c r="AX602" s="81"/>
    </row>
    <row r="603" spans="17:50">
      <c r="Q603" s="7"/>
      <c r="AQ603" s="89"/>
      <c r="AR603" s="7"/>
      <c r="AS603" s="7"/>
      <c r="AT603" s="7"/>
      <c r="AU603" s="7"/>
      <c r="AV603" s="7"/>
      <c r="AW603" s="7"/>
      <c r="AX603" s="81"/>
    </row>
    <row r="604" spans="17:50">
      <c r="Q604" s="7"/>
      <c r="AQ604" s="89"/>
      <c r="AR604" s="7"/>
      <c r="AS604" s="7"/>
      <c r="AT604" s="7"/>
      <c r="AU604" s="7"/>
      <c r="AV604" s="7"/>
      <c r="AW604" s="7"/>
      <c r="AX604" s="81"/>
    </row>
    <row r="605" spans="17:50">
      <c r="Q605" s="7"/>
      <c r="AQ605" s="89"/>
      <c r="AR605" s="7"/>
      <c r="AS605" s="7"/>
      <c r="AT605" s="7"/>
      <c r="AU605" s="7"/>
      <c r="AV605" s="7"/>
      <c r="AW605" s="7"/>
      <c r="AX605" s="81"/>
    </row>
    <row r="606" spans="17:50">
      <c r="Q606" s="7"/>
      <c r="AQ606" s="89"/>
      <c r="AR606" s="7"/>
      <c r="AS606" s="7"/>
      <c r="AT606" s="7"/>
      <c r="AU606" s="7"/>
      <c r="AV606" s="7"/>
      <c r="AW606" s="7"/>
      <c r="AX606" s="81"/>
    </row>
    <row r="607" spans="17:50">
      <c r="Q607" s="7"/>
      <c r="AQ607" s="89"/>
      <c r="AR607" s="7"/>
      <c r="AS607" s="7"/>
      <c r="AT607" s="7"/>
      <c r="AU607" s="7"/>
      <c r="AV607" s="7"/>
      <c r="AW607" s="7"/>
      <c r="AX607" s="81"/>
    </row>
    <row r="608" spans="17:50">
      <c r="Q608" s="7"/>
      <c r="AQ608" s="89"/>
      <c r="AR608" s="7"/>
      <c r="AS608" s="7"/>
      <c r="AT608" s="7"/>
      <c r="AU608" s="7"/>
      <c r="AV608" s="7"/>
      <c r="AW608" s="7"/>
      <c r="AX608" s="81"/>
    </row>
    <row r="609" spans="17:50">
      <c r="Q609" s="7"/>
      <c r="AQ609" s="89"/>
      <c r="AR609" s="7"/>
      <c r="AS609" s="7"/>
      <c r="AT609" s="7"/>
      <c r="AU609" s="7"/>
      <c r="AV609" s="7"/>
      <c r="AW609" s="7"/>
      <c r="AX609" s="81"/>
    </row>
    <row r="610" spans="17:50">
      <c r="Q610" s="7"/>
      <c r="AQ610" s="89"/>
      <c r="AR610" s="7"/>
      <c r="AS610" s="7"/>
      <c r="AT610" s="7"/>
      <c r="AU610" s="7"/>
      <c r="AV610" s="7"/>
      <c r="AW610" s="7"/>
      <c r="AX610" s="81"/>
    </row>
    <row r="611" spans="17:50">
      <c r="Q611" s="7"/>
      <c r="AQ611" s="89"/>
      <c r="AR611" s="7"/>
      <c r="AS611" s="7"/>
      <c r="AT611" s="7"/>
      <c r="AU611" s="7"/>
      <c r="AV611" s="7"/>
      <c r="AW611" s="7"/>
      <c r="AX611" s="81"/>
    </row>
    <row r="612" spans="17:50">
      <c r="Q612" s="7"/>
      <c r="AQ612" s="89"/>
      <c r="AR612" s="7"/>
      <c r="AS612" s="7"/>
      <c r="AT612" s="7"/>
      <c r="AU612" s="7"/>
      <c r="AV612" s="7"/>
      <c r="AW612" s="7"/>
      <c r="AX612" s="81"/>
    </row>
    <row r="613" spans="17:50">
      <c r="Q613" s="7"/>
      <c r="AQ613" s="89"/>
      <c r="AR613" s="7"/>
      <c r="AS613" s="7"/>
      <c r="AT613" s="7"/>
      <c r="AU613" s="7"/>
      <c r="AV613" s="7"/>
      <c r="AW613" s="7"/>
      <c r="AX613" s="81"/>
    </row>
    <row r="614" spans="17:50">
      <c r="Q614" s="7"/>
      <c r="AQ614" s="89"/>
      <c r="AR614" s="7"/>
      <c r="AS614" s="7"/>
      <c r="AT614" s="7"/>
      <c r="AU614" s="7"/>
      <c r="AV614" s="7"/>
      <c r="AW614" s="7"/>
      <c r="AX614" s="81"/>
    </row>
    <row r="615" spans="17:50">
      <c r="Q615" s="7"/>
      <c r="AQ615" s="89"/>
      <c r="AR615" s="7"/>
      <c r="AS615" s="7"/>
      <c r="AT615" s="7"/>
      <c r="AU615" s="7"/>
      <c r="AV615" s="7"/>
      <c r="AW615" s="7"/>
      <c r="AX615" s="81"/>
    </row>
    <row r="616" spans="17:50">
      <c r="Q616" s="7"/>
      <c r="AQ616" s="89"/>
      <c r="AR616" s="7"/>
      <c r="AS616" s="7"/>
      <c r="AT616" s="7"/>
      <c r="AU616" s="7"/>
      <c r="AV616" s="7"/>
      <c r="AW616" s="7"/>
      <c r="AX616" s="81"/>
    </row>
    <row r="617" spans="17:50">
      <c r="Q617" s="7"/>
      <c r="AQ617" s="89"/>
      <c r="AR617" s="7"/>
      <c r="AS617" s="7"/>
      <c r="AT617" s="7"/>
      <c r="AU617" s="7"/>
      <c r="AV617" s="7"/>
      <c r="AW617" s="7"/>
      <c r="AX617" s="81"/>
    </row>
    <row r="618" spans="17:50">
      <c r="Q618" s="7"/>
      <c r="AQ618" s="89"/>
      <c r="AR618" s="7"/>
      <c r="AS618" s="7"/>
      <c r="AT618" s="7"/>
      <c r="AU618" s="7"/>
      <c r="AV618" s="7"/>
      <c r="AW618" s="7"/>
      <c r="AX618" s="81"/>
    </row>
    <row r="619" spans="17:50">
      <c r="Q619" s="7"/>
      <c r="AQ619" s="89"/>
      <c r="AR619" s="7"/>
      <c r="AS619" s="7"/>
      <c r="AT619" s="7"/>
      <c r="AU619" s="7"/>
      <c r="AV619" s="7"/>
      <c r="AW619" s="7"/>
      <c r="AX619" s="81"/>
    </row>
    <row r="620" spans="17:50">
      <c r="Q620" s="7"/>
      <c r="AQ620" s="89"/>
      <c r="AR620" s="7"/>
      <c r="AS620" s="7"/>
      <c r="AT620" s="7"/>
      <c r="AU620" s="7"/>
      <c r="AV620" s="7"/>
      <c r="AW620" s="7"/>
      <c r="AX620" s="81"/>
    </row>
    <row r="621" spans="17:50">
      <c r="Q621" s="7"/>
      <c r="AQ621" s="89"/>
      <c r="AR621" s="7"/>
      <c r="AS621" s="7"/>
      <c r="AT621" s="7"/>
      <c r="AU621" s="7"/>
      <c r="AV621" s="7"/>
      <c r="AW621" s="7"/>
      <c r="AX621" s="81"/>
    </row>
    <row r="622" spans="17:50">
      <c r="Q622" s="7"/>
      <c r="AQ622" s="89"/>
      <c r="AR622" s="7"/>
      <c r="AS622" s="7"/>
      <c r="AT622" s="7"/>
      <c r="AU622" s="7"/>
      <c r="AV622" s="7"/>
      <c r="AW622" s="7"/>
      <c r="AX622" s="81"/>
    </row>
    <row r="623" spans="17:50">
      <c r="Q623" s="7"/>
      <c r="AQ623" s="89"/>
      <c r="AR623" s="7"/>
      <c r="AS623" s="7"/>
      <c r="AT623" s="7"/>
      <c r="AU623" s="7"/>
      <c r="AV623" s="7"/>
      <c r="AW623" s="7"/>
      <c r="AX623" s="81"/>
    </row>
    <row r="624" spans="17:50">
      <c r="Q624" s="7"/>
      <c r="AQ624" s="89"/>
      <c r="AR624" s="7"/>
      <c r="AS624" s="7"/>
      <c r="AT624" s="7"/>
      <c r="AU624" s="7"/>
      <c r="AV624" s="7"/>
      <c r="AW624" s="7"/>
      <c r="AX624" s="81"/>
    </row>
    <row r="625" spans="17:50">
      <c r="Q625" s="7"/>
      <c r="AQ625" s="89"/>
      <c r="AR625" s="7"/>
      <c r="AS625" s="7"/>
      <c r="AT625" s="7"/>
      <c r="AU625" s="7"/>
      <c r="AV625" s="7"/>
      <c r="AW625" s="7"/>
      <c r="AX625" s="81"/>
    </row>
    <row r="626" spans="17:50">
      <c r="Q626" s="7"/>
      <c r="AQ626" s="89"/>
      <c r="AR626" s="7"/>
      <c r="AS626" s="7"/>
      <c r="AT626" s="7"/>
      <c r="AU626" s="7"/>
      <c r="AV626" s="7"/>
      <c r="AW626" s="7"/>
      <c r="AX626" s="81"/>
    </row>
    <row r="627" spans="17:50">
      <c r="Q627" s="7"/>
      <c r="AQ627" s="89"/>
      <c r="AR627" s="7"/>
      <c r="AS627" s="7"/>
      <c r="AT627" s="7"/>
      <c r="AU627" s="7"/>
      <c r="AV627" s="7"/>
      <c r="AW627" s="7"/>
      <c r="AX627" s="81"/>
    </row>
    <row r="628" spans="17:50">
      <c r="Q628" s="7"/>
      <c r="AQ628" s="89"/>
      <c r="AR628" s="7"/>
      <c r="AS628" s="7"/>
      <c r="AT628" s="7"/>
      <c r="AU628" s="7"/>
      <c r="AV628" s="7"/>
      <c r="AW628" s="7"/>
      <c r="AX628" s="81"/>
    </row>
    <row r="629" spans="17:50">
      <c r="Q629" s="7"/>
      <c r="AQ629" s="89"/>
      <c r="AR629" s="7"/>
      <c r="AS629" s="7"/>
      <c r="AT629" s="7"/>
      <c r="AU629" s="7"/>
      <c r="AV629" s="7"/>
      <c r="AW629" s="7"/>
      <c r="AX629" s="81"/>
    </row>
    <row r="630" spans="17:50">
      <c r="Q630" s="7"/>
      <c r="AQ630" s="89"/>
      <c r="AR630" s="7"/>
      <c r="AS630" s="7"/>
      <c r="AT630" s="7"/>
      <c r="AU630" s="7"/>
      <c r="AV630" s="7"/>
      <c r="AW630" s="7"/>
      <c r="AX630" s="81"/>
    </row>
    <row r="631" spans="17:50">
      <c r="Q631" s="7"/>
      <c r="AQ631" s="89"/>
      <c r="AR631" s="7"/>
      <c r="AS631" s="7"/>
      <c r="AT631" s="7"/>
      <c r="AU631" s="7"/>
      <c r="AV631" s="7"/>
      <c r="AW631" s="7"/>
      <c r="AX631" s="81"/>
    </row>
    <row r="632" spans="17:50">
      <c r="Q632" s="7"/>
      <c r="AQ632" s="89"/>
      <c r="AR632" s="7"/>
      <c r="AS632" s="7"/>
      <c r="AT632" s="7"/>
      <c r="AU632" s="7"/>
      <c r="AV632" s="7"/>
      <c r="AW632" s="7"/>
      <c r="AX632" s="81"/>
    </row>
    <row r="633" spans="17:50">
      <c r="Q633" s="7"/>
      <c r="AQ633" s="89"/>
      <c r="AR633" s="7"/>
      <c r="AS633" s="7"/>
      <c r="AT633" s="7"/>
      <c r="AU633" s="7"/>
      <c r="AV633" s="7"/>
      <c r="AW633" s="7"/>
      <c r="AX633" s="81"/>
    </row>
    <row r="634" spans="17:50">
      <c r="Q634" s="7"/>
      <c r="AQ634" s="89"/>
      <c r="AR634" s="7"/>
      <c r="AS634" s="7"/>
      <c r="AT634" s="7"/>
      <c r="AU634" s="7"/>
      <c r="AV634" s="7"/>
      <c r="AW634" s="7"/>
      <c r="AX634" s="81"/>
    </row>
    <row r="635" spans="17:50">
      <c r="Q635" s="7"/>
      <c r="AQ635" s="89"/>
      <c r="AR635" s="7"/>
      <c r="AS635" s="7"/>
      <c r="AT635" s="7"/>
      <c r="AU635" s="7"/>
      <c r="AV635" s="7"/>
      <c r="AW635" s="7"/>
      <c r="AX635" s="81"/>
    </row>
    <row r="636" spans="17:50">
      <c r="Q636" s="7"/>
      <c r="AQ636" s="89"/>
      <c r="AR636" s="7"/>
      <c r="AS636" s="7"/>
      <c r="AT636" s="7"/>
      <c r="AU636" s="7"/>
      <c r="AV636" s="7"/>
      <c r="AW636" s="7"/>
      <c r="AX636" s="81"/>
    </row>
    <row r="637" spans="17:50">
      <c r="Q637" s="7"/>
      <c r="AQ637" s="89"/>
      <c r="AR637" s="7"/>
      <c r="AS637" s="7"/>
      <c r="AT637" s="7"/>
      <c r="AU637" s="7"/>
      <c r="AV637" s="7"/>
      <c r="AW637" s="7"/>
      <c r="AX637" s="81"/>
    </row>
    <row r="638" spans="17:50">
      <c r="Q638" s="7"/>
      <c r="AQ638" s="89"/>
      <c r="AR638" s="7"/>
      <c r="AS638" s="7"/>
      <c r="AT638" s="7"/>
      <c r="AU638" s="7"/>
      <c r="AV638" s="7"/>
      <c r="AW638" s="7"/>
      <c r="AX638" s="81"/>
    </row>
    <row r="639" spans="17:50">
      <c r="Q639" s="7"/>
      <c r="AQ639" s="89"/>
      <c r="AR639" s="7"/>
      <c r="AS639" s="7"/>
      <c r="AT639" s="7"/>
      <c r="AU639" s="7"/>
      <c r="AV639" s="7"/>
      <c r="AW639" s="7"/>
      <c r="AX639" s="81"/>
    </row>
    <row r="640" spans="17:50">
      <c r="Q640" s="7"/>
      <c r="AQ640" s="89"/>
      <c r="AR640" s="7"/>
      <c r="AS640" s="7"/>
      <c r="AT640" s="7"/>
      <c r="AU640" s="7"/>
      <c r="AV640" s="7"/>
      <c r="AW640" s="7"/>
      <c r="AX640" s="81"/>
    </row>
    <row r="641" spans="17:50">
      <c r="Q641" s="7"/>
      <c r="AQ641" s="89"/>
      <c r="AR641" s="7"/>
      <c r="AS641" s="7"/>
      <c r="AT641" s="7"/>
      <c r="AU641" s="7"/>
      <c r="AV641" s="7"/>
      <c r="AW641" s="7"/>
      <c r="AX641" s="81"/>
    </row>
    <row r="642" spans="17:50">
      <c r="Q642" s="7"/>
      <c r="AQ642" s="89"/>
      <c r="AR642" s="7"/>
      <c r="AS642" s="7"/>
      <c r="AT642" s="7"/>
      <c r="AU642" s="7"/>
      <c r="AV642" s="7"/>
      <c r="AW642" s="7"/>
      <c r="AX642" s="81"/>
    </row>
    <row r="643" spans="17:50">
      <c r="Q643" s="7"/>
      <c r="AQ643" s="89"/>
      <c r="AR643" s="7"/>
      <c r="AS643" s="7"/>
      <c r="AT643" s="7"/>
      <c r="AU643" s="7"/>
      <c r="AV643" s="7"/>
      <c r="AW643" s="7"/>
      <c r="AX643" s="81"/>
    </row>
    <row r="644" spans="17:50">
      <c r="Q644" s="7"/>
      <c r="AQ644" s="89"/>
      <c r="AR644" s="7"/>
      <c r="AS644" s="7"/>
      <c r="AT644" s="7"/>
      <c r="AU644" s="7"/>
      <c r="AV644" s="7"/>
      <c r="AW644" s="7"/>
      <c r="AX644" s="81"/>
    </row>
    <row r="645" spans="17:50">
      <c r="Q645" s="7"/>
      <c r="AQ645" s="89"/>
      <c r="AR645" s="7"/>
      <c r="AS645" s="7"/>
      <c r="AT645" s="7"/>
      <c r="AU645" s="7"/>
      <c r="AV645" s="7"/>
      <c r="AW645" s="7"/>
      <c r="AX645" s="81"/>
    </row>
    <row r="646" spans="17:50">
      <c r="Q646" s="7"/>
      <c r="AQ646" s="89"/>
      <c r="AR646" s="7"/>
      <c r="AS646" s="7"/>
      <c r="AT646" s="7"/>
      <c r="AU646" s="7"/>
      <c r="AV646" s="7"/>
      <c r="AW646" s="7"/>
      <c r="AX646" s="81"/>
    </row>
    <row r="647" spans="17:50">
      <c r="Q647" s="7"/>
      <c r="AQ647" s="89"/>
      <c r="AR647" s="7"/>
      <c r="AS647" s="7"/>
      <c r="AT647" s="7"/>
      <c r="AU647" s="7"/>
      <c r="AV647" s="7"/>
      <c r="AW647" s="7"/>
      <c r="AX647" s="81"/>
    </row>
    <row r="648" spans="17:50">
      <c r="Q648" s="7"/>
      <c r="AQ648" s="89"/>
      <c r="AR648" s="7"/>
      <c r="AS648" s="7"/>
      <c r="AT648" s="7"/>
      <c r="AU648" s="7"/>
      <c r="AV648" s="7"/>
      <c r="AW648" s="7"/>
      <c r="AX648" s="81"/>
    </row>
    <row r="649" spans="17:50">
      <c r="Q649" s="7"/>
      <c r="AQ649" s="89"/>
      <c r="AR649" s="7"/>
      <c r="AS649" s="7"/>
      <c r="AT649" s="7"/>
      <c r="AU649" s="7"/>
      <c r="AV649" s="7"/>
      <c r="AW649" s="7"/>
      <c r="AX649" s="81"/>
    </row>
    <row r="650" spans="17:50">
      <c r="Q650" s="7"/>
      <c r="AQ650" s="89"/>
      <c r="AR650" s="7"/>
      <c r="AS650" s="7"/>
      <c r="AT650" s="7"/>
      <c r="AU650" s="7"/>
      <c r="AV650" s="7"/>
      <c r="AW650" s="7"/>
      <c r="AX650" s="81"/>
    </row>
    <row r="651" spans="17:50">
      <c r="Q651" s="7"/>
      <c r="AQ651" s="89"/>
      <c r="AR651" s="7"/>
      <c r="AS651" s="7"/>
      <c r="AT651" s="7"/>
      <c r="AU651" s="7"/>
      <c r="AV651" s="7"/>
      <c r="AW651" s="7"/>
      <c r="AX651" s="81"/>
    </row>
    <row r="652" spans="17:50">
      <c r="Q652" s="7"/>
      <c r="AQ652" s="89"/>
      <c r="AR652" s="7"/>
      <c r="AS652" s="7"/>
      <c r="AT652" s="7"/>
      <c r="AU652" s="7"/>
      <c r="AV652" s="7"/>
      <c r="AW652" s="7"/>
      <c r="AX652" s="81"/>
    </row>
    <row r="653" spans="17:50">
      <c r="Q653" s="7"/>
      <c r="AQ653" s="89"/>
      <c r="AR653" s="7"/>
      <c r="AS653" s="7"/>
      <c r="AT653" s="7"/>
      <c r="AU653" s="7"/>
      <c r="AV653" s="7"/>
      <c r="AW653" s="7"/>
      <c r="AX653" s="81"/>
    </row>
    <row r="654" spans="17:50">
      <c r="Q654" s="7"/>
      <c r="AQ654" s="89"/>
      <c r="AR654" s="7"/>
      <c r="AS654" s="7"/>
      <c r="AT654" s="7"/>
      <c r="AU654" s="7"/>
      <c r="AV654" s="7"/>
      <c r="AW654" s="7"/>
      <c r="AX654" s="81"/>
    </row>
    <row r="655" spans="17:50">
      <c r="Q655" s="7"/>
      <c r="AQ655" s="89"/>
      <c r="AR655" s="7"/>
      <c r="AS655" s="7"/>
      <c r="AT655" s="7"/>
      <c r="AU655" s="7"/>
      <c r="AV655" s="7"/>
      <c r="AW655" s="7"/>
      <c r="AX655" s="81"/>
    </row>
    <row r="656" spans="17:50">
      <c r="Q656" s="7"/>
      <c r="AQ656" s="89"/>
      <c r="AR656" s="7"/>
      <c r="AS656" s="7"/>
      <c r="AT656" s="7"/>
      <c r="AU656" s="7"/>
      <c r="AV656" s="7"/>
      <c r="AW656" s="7"/>
      <c r="AX656" s="81"/>
    </row>
    <row r="657" spans="17:50">
      <c r="Q657" s="7"/>
      <c r="AQ657" s="89"/>
      <c r="AR657" s="7"/>
      <c r="AS657" s="7"/>
      <c r="AT657" s="7"/>
      <c r="AU657" s="7"/>
      <c r="AV657" s="7"/>
      <c r="AW657" s="7"/>
      <c r="AX657" s="81"/>
    </row>
    <row r="658" spans="17:50">
      <c r="Q658" s="7"/>
      <c r="AQ658" s="89"/>
      <c r="AR658" s="7"/>
      <c r="AS658" s="7"/>
      <c r="AT658" s="7"/>
      <c r="AU658" s="7"/>
      <c r="AV658" s="7"/>
      <c r="AW658" s="7"/>
      <c r="AX658" s="81"/>
    </row>
    <row r="659" spans="17:50">
      <c r="Q659" s="7"/>
      <c r="AQ659" s="89"/>
      <c r="AR659" s="7"/>
      <c r="AS659" s="7"/>
      <c r="AT659" s="7"/>
      <c r="AU659" s="7"/>
      <c r="AV659" s="7"/>
      <c r="AW659" s="7"/>
      <c r="AX659" s="81"/>
    </row>
    <row r="660" spans="17:50">
      <c r="Q660" s="7"/>
      <c r="AQ660" s="89"/>
      <c r="AR660" s="7"/>
      <c r="AS660" s="7"/>
      <c r="AT660" s="7"/>
      <c r="AU660" s="7"/>
      <c r="AV660" s="7"/>
      <c r="AW660" s="7"/>
      <c r="AX660" s="81"/>
    </row>
    <row r="661" spans="17:50">
      <c r="Q661" s="7"/>
      <c r="AQ661" s="89"/>
      <c r="AR661" s="7"/>
      <c r="AS661" s="7"/>
      <c r="AT661" s="7"/>
      <c r="AU661" s="7"/>
      <c r="AV661" s="7"/>
      <c r="AW661" s="7"/>
      <c r="AX661" s="81"/>
    </row>
    <row r="662" spans="17:50">
      <c r="Q662" s="7"/>
      <c r="AQ662" s="89"/>
      <c r="AR662" s="7"/>
      <c r="AS662" s="7"/>
      <c r="AT662" s="7"/>
      <c r="AU662" s="7"/>
      <c r="AV662" s="7"/>
      <c r="AW662" s="7"/>
      <c r="AX662" s="81"/>
    </row>
    <row r="663" spans="17:50">
      <c r="Q663" s="7"/>
      <c r="AQ663" s="89"/>
      <c r="AR663" s="7"/>
      <c r="AS663" s="7"/>
      <c r="AT663" s="7"/>
      <c r="AU663" s="7"/>
      <c r="AV663" s="7"/>
      <c r="AW663" s="7"/>
      <c r="AX663" s="81"/>
    </row>
    <row r="664" spans="17:50">
      <c r="Q664" s="7"/>
      <c r="AQ664" s="89"/>
      <c r="AR664" s="7"/>
      <c r="AS664" s="7"/>
      <c r="AT664" s="7"/>
      <c r="AU664" s="7"/>
      <c r="AV664" s="7"/>
      <c r="AW664" s="7"/>
      <c r="AX664" s="81"/>
    </row>
    <row r="665" spans="17:50">
      <c r="Q665" s="7"/>
      <c r="AQ665" s="89"/>
      <c r="AR665" s="7"/>
      <c r="AS665" s="7"/>
      <c r="AT665" s="7"/>
      <c r="AU665" s="7"/>
      <c r="AV665" s="7"/>
      <c r="AW665" s="7"/>
      <c r="AX665" s="81"/>
    </row>
    <row r="666" spans="17:50">
      <c r="Q666" s="7"/>
      <c r="AQ666" s="89"/>
      <c r="AR666" s="7"/>
      <c r="AS666" s="7"/>
      <c r="AT666" s="7"/>
      <c r="AU666" s="7"/>
      <c r="AV666" s="7"/>
      <c r="AW666" s="7"/>
      <c r="AX666" s="81"/>
    </row>
    <row r="667" spans="17:50">
      <c r="Q667" s="7"/>
      <c r="AQ667" s="89"/>
      <c r="AR667" s="7"/>
      <c r="AS667" s="7"/>
      <c r="AT667" s="7"/>
      <c r="AU667" s="7"/>
      <c r="AV667" s="7"/>
      <c r="AW667" s="7"/>
      <c r="AX667" s="81"/>
    </row>
    <row r="668" spans="17:50">
      <c r="Q668" s="7"/>
      <c r="AQ668" s="89"/>
      <c r="AR668" s="7"/>
      <c r="AS668" s="7"/>
      <c r="AT668" s="7"/>
      <c r="AU668" s="7"/>
      <c r="AV668" s="7"/>
      <c r="AW668" s="7"/>
      <c r="AX668" s="81"/>
    </row>
    <row r="669" spans="17:50">
      <c r="Q669" s="7"/>
      <c r="AQ669" s="89"/>
      <c r="AR669" s="7"/>
      <c r="AS669" s="7"/>
      <c r="AT669" s="7"/>
      <c r="AU669" s="7"/>
      <c r="AV669" s="7"/>
      <c r="AW669" s="7"/>
      <c r="AX669" s="81"/>
    </row>
    <row r="670" spans="17:50">
      <c r="Q670" s="7"/>
      <c r="AQ670" s="89"/>
      <c r="AR670" s="7"/>
      <c r="AS670" s="7"/>
      <c r="AT670" s="7"/>
      <c r="AU670" s="7"/>
      <c r="AV670" s="7"/>
      <c r="AW670" s="7"/>
      <c r="AX670" s="81"/>
    </row>
    <row r="671" spans="17:50">
      <c r="Q671" s="7"/>
      <c r="AQ671" s="89"/>
      <c r="AR671" s="7"/>
      <c r="AS671" s="7"/>
      <c r="AT671" s="7"/>
      <c r="AU671" s="7"/>
      <c r="AV671" s="7"/>
      <c r="AW671" s="7"/>
      <c r="AX671" s="81"/>
    </row>
    <row r="672" spans="17:50">
      <c r="Q672" s="7"/>
      <c r="AQ672" s="89"/>
      <c r="AR672" s="7"/>
      <c r="AS672" s="7"/>
      <c r="AT672" s="7"/>
      <c r="AU672" s="7"/>
      <c r="AV672" s="7"/>
      <c r="AW672" s="7"/>
      <c r="AX672" s="81"/>
    </row>
    <row r="673" spans="17:50">
      <c r="Q673" s="7"/>
      <c r="AQ673" s="89"/>
      <c r="AR673" s="7"/>
      <c r="AS673" s="7"/>
      <c r="AT673" s="7"/>
      <c r="AU673" s="7"/>
      <c r="AV673" s="7"/>
      <c r="AW673" s="7"/>
      <c r="AX673" s="81"/>
    </row>
    <row r="674" spans="17:50">
      <c r="Q674" s="7"/>
      <c r="AQ674" s="89"/>
      <c r="AR674" s="7"/>
      <c r="AS674" s="7"/>
      <c r="AT674" s="7"/>
      <c r="AU674" s="7"/>
      <c r="AV674" s="7"/>
      <c r="AW674" s="7"/>
      <c r="AX674" s="81"/>
    </row>
    <row r="675" spans="17:50">
      <c r="Q675" s="7"/>
      <c r="AQ675" s="89"/>
      <c r="AR675" s="7"/>
      <c r="AS675" s="7"/>
      <c r="AT675" s="7"/>
      <c r="AU675" s="7"/>
      <c r="AV675" s="7"/>
      <c r="AW675" s="7"/>
      <c r="AX675" s="81"/>
    </row>
    <row r="676" spans="17:50">
      <c r="Q676" s="7"/>
      <c r="AQ676" s="89"/>
      <c r="AR676" s="7"/>
      <c r="AS676" s="7"/>
      <c r="AT676" s="7"/>
      <c r="AU676" s="7"/>
      <c r="AV676" s="7"/>
      <c r="AW676" s="7"/>
      <c r="AX676" s="81"/>
    </row>
    <row r="677" spans="17:50">
      <c r="Q677" s="7"/>
      <c r="AQ677" s="89"/>
      <c r="AR677" s="7"/>
      <c r="AS677" s="7"/>
      <c r="AT677" s="7"/>
      <c r="AU677" s="7"/>
      <c r="AV677" s="7"/>
      <c r="AW677" s="7"/>
      <c r="AX677" s="81"/>
    </row>
    <row r="678" spans="17:50">
      <c r="Q678" s="7"/>
      <c r="AQ678" s="89"/>
      <c r="AR678" s="7"/>
      <c r="AS678" s="7"/>
      <c r="AT678" s="7"/>
      <c r="AU678" s="7"/>
      <c r="AV678" s="7"/>
      <c r="AW678" s="7"/>
      <c r="AX678" s="81"/>
    </row>
    <row r="679" spans="17:50">
      <c r="Q679" s="7"/>
      <c r="AQ679" s="89"/>
      <c r="AR679" s="7"/>
      <c r="AS679" s="7"/>
      <c r="AT679" s="7"/>
      <c r="AU679" s="7"/>
      <c r="AV679" s="7"/>
      <c r="AW679" s="7"/>
      <c r="AX679" s="81"/>
    </row>
    <row r="680" spans="17:50">
      <c r="Q680" s="7"/>
      <c r="AQ680" s="89"/>
      <c r="AR680" s="7"/>
      <c r="AS680" s="7"/>
      <c r="AT680" s="7"/>
      <c r="AU680" s="7"/>
      <c r="AV680" s="7"/>
      <c r="AW680" s="7"/>
      <c r="AX680" s="81"/>
    </row>
    <row r="681" spans="17:50">
      <c r="Q681" s="7"/>
      <c r="AQ681" s="89"/>
      <c r="AR681" s="7"/>
      <c r="AS681" s="7"/>
      <c r="AT681" s="7"/>
      <c r="AU681" s="7"/>
      <c r="AV681" s="7"/>
      <c r="AW681" s="7"/>
      <c r="AX681" s="81"/>
    </row>
    <row r="682" spans="17:50">
      <c r="Q682" s="7"/>
      <c r="AQ682" s="89"/>
      <c r="AR682" s="7"/>
      <c r="AS682" s="7"/>
      <c r="AT682" s="7"/>
      <c r="AU682" s="7"/>
      <c r="AV682" s="7"/>
      <c r="AW682" s="7"/>
      <c r="AX682" s="81"/>
    </row>
    <row r="683" spans="17:50">
      <c r="Q683" s="7"/>
      <c r="AQ683" s="89"/>
      <c r="AR683" s="7"/>
      <c r="AS683" s="7"/>
      <c r="AT683" s="7"/>
      <c r="AU683" s="7"/>
      <c r="AV683" s="7"/>
      <c r="AW683" s="7"/>
      <c r="AX683" s="81"/>
    </row>
    <row r="684" spans="17:50">
      <c r="Q684" s="7"/>
      <c r="AQ684" s="89"/>
      <c r="AR684" s="7"/>
      <c r="AS684" s="7"/>
      <c r="AT684" s="7"/>
      <c r="AU684" s="7"/>
      <c r="AV684" s="7"/>
      <c r="AW684" s="7"/>
      <c r="AX684" s="81"/>
    </row>
    <row r="685" spans="17:50">
      <c r="Q685" s="7"/>
      <c r="AQ685" s="89"/>
      <c r="AR685" s="7"/>
      <c r="AS685" s="7"/>
      <c r="AT685" s="7"/>
      <c r="AU685" s="7"/>
      <c r="AV685" s="7"/>
      <c r="AW685" s="7"/>
      <c r="AX685" s="81"/>
    </row>
    <row r="686" spans="17:50">
      <c r="Q686" s="7"/>
      <c r="AQ686" s="89"/>
      <c r="AR686" s="7"/>
      <c r="AS686" s="7"/>
      <c r="AT686" s="7"/>
      <c r="AU686" s="7"/>
      <c r="AV686" s="7"/>
      <c r="AW686" s="7"/>
      <c r="AX686" s="81"/>
    </row>
    <row r="687" spans="17:50">
      <c r="Q687" s="7"/>
      <c r="AQ687" s="89"/>
      <c r="AR687" s="7"/>
      <c r="AS687" s="7"/>
      <c r="AT687" s="7"/>
      <c r="AU687" s="7"/>
      <c r="AV687" s="7"/>
      <c r="AW687" s="7"/>
      <c r="AX687" s="81"/>
    </row>
    <row r="688" spans="17:50">
      <c r="Q688" s="7"/>
      <c r="AQ688" s="89"/>
      <c r="AR688" s="7"/>
      <c r="AS688" s="7"/>
      <c r="AT688" s="7"/>
      <c r="AU688" s="7"/>
      <c r="AV688" s="7"/>
      <c r="AW688" s="7"/>
      <c r="AX688" s="81"/>
    </row>
    <row r="689" spans="17:50">
      <c r="Q689" s="7"/>
      <c r="AQ689" s="89"/>
      <c r="AR689" s="7"/>
      <c r="AS689" s="7"/>
      <c r="AT689" s="7"/>
      <c r="AU689" s="7"/>
      <c r="AV689" s="7"/>
      <c r="AW689" s="7"/>
      <c r="AX689" s="81"/>
    </row>
    <row r="690" spans="17:50">
      <c r="Q690" s="7"/>
      <c r="AQ690" s="89"/>
      <c r="AR690" s="7"/>
      <c r="AS690" s="7"/>
      <c r="AT690" s="7"/>
      <c r="AU690" s="7"/>
      <c r="AV690" s="7"/>
      <c r="AW690" s="7"/>
      <c r="AX690" s="81"/>
    </row>
    <row r="691" spans="17:50">
      <c r="Q691" s="7"/>
      <c r="AQ691" s="89"/>
      <c r="AR691" s="7"/>
      <c r="AS691" s="7"/>
      <c r="AT691" s="7"/>
      <c r="AU691" s="7"/>
      <c r="AV691" s="7"/>
      <c r="AW691" s="7"/>
      <c r="AX691" s="81"/>
    </row>
    <row r="692" spans="17:50">
      <c r="Q692" s="7"/>
      <c r="AQ692" s="89"/>
      <c r="AR692" s="7"/>
      <c r="AS692" s="7"/>
      <c r="AT692" s="7"/>
      <c r="AU692" s="7"/>
      <c r="AV692" s="7"/>
      <c r="AW692" s="7"/>
      <c r="AX692" s="81"/>
    </row>
    <row r="693" spans="17:50">
      <c r="Q693" s="7"/>
      <c r="AQ693" s="89"/>
      <c r="AR693" s="7"/>
      <c r="AS693" s="7"/>
      <c r="AT693" s="7"/>
      <c r="AU693" s="7"/>
      <c r="AV693" s="7"/>
      <c r="AW693" s="7"/>
      <c r="AX693" s="81"/>
    </row>
    <row r="694" spans="17:50">
      <c r="Q694" s="7"/>
      <c r="AQ694" s="89"/>
      <c r="AR694" s="7"/>
      <c r="AS694" s="7"/>
      <c r="AT694" s="7"/>
      <c r="AU694" s="7"/>
      <c r="AV694" s="7"/>
      <c r="AW694" s="7"/>
      <c r="AX694" s="81"/>
    </row>
    <row r="695" spans="17:50">
      <c r="Q695" s="7"/>
      <c r="AQ695" s="89"/>
      <c r="AR695" s="7"/>
      <c r="AS695" s="7"/>
      <c r="AT695" s="7"/>
      <c r="AU695" s="7"/>
      <c r="AV695" s="7"/>
      <c r="AW695" s="7"/>
      <c r="AX695" s="81"/>
    </row>
    <row r="696" spans="17:50">
      <c r="Q696" s="7"/>
      <c r="AQ696" s="89"/>
      <c r="AR696" s="7"/>
      <c r="AS696" s="7"/>
      <c r="AT696" s="7"/>
      <c r="AU696" s="7"/>
      <c r="AV696" s="7"/>
      <c r="AW696" s="7"/>
      <c r="AX696" s="81"/>
    </row>
    <row r="697" spans="17:50">
      <c r="Q697" s="7"/>
      <c r="AQ697" s="89"/>
      <c r="AR697" s="7"/>
      <c r="AS697" s="7"/>
      <c r="AT697" s="7"/>
      <c r="AU697" s="7"/>
      <c r="AV697" s="7"/>
      <c r="AW697" s="7"/>
      <c r="AX697" s="81"/>
    </row>
    <row r="698" spans="17:50">
      <c r="Q698" s="7"/>
      <c r="AQ698" s="89"/>
      <c r="AR698" s="7"/>
      <c r="AS698" s="7"/>
      <c r="AT698" s="7"/>
      <c r="AU698" s="7"/>
      <c r="AV698" s="7"/>
      <c r="AW698" s="7"/>
      <c r="AX698" s="81"/>
    </row>
    <row r="699" spans="17:50">
      <c r="Q699" s="7"/>
      <c r="AQ699" s="89"/>
      <c r="AR699" s="7"/>
      <c r="AS699" s="7"/>
      <c r="AT699" s="7"/>
      <c r="AU699" s="7"/>
      <c r="AV699" s="7"/>
      <c r="AW699" s="7"/>
      <c r="AX699" s="81"/>
    </row>
    <row r="700" spans="17:50">
      <c r="Q700" s="7"/>
      <c r="AQ700" s="89"/>
      <c r="AR700" s="7"/>
      <c r="AS700" s="7"/>
      <c r="AT700" s="7"/>
      <c r="AU700" s="7"/>
      <c r="AV700" s="7"/>
      <c r="AW700" s="7"/>
      <c r="AX700" s="81"/>
    </row>
    <row r="701" spans="17:50">
      <c r="Q701" s="7"/>
      <c r="AQ701" s="89"/>
      <c r="AR701" s="7"/>
      <c r="AS701" s="7"/>
      <c r="AT701" s="7"/>
      <c r="AU701" s="7"/>
      <c r="AV701" s="7"/>
      <c r="AW701" s="7"/>
      <c r="AX701" s="81"/>
    </row>
    <row r="702" spans="17:50">
      <c r="Q702" s="7"/>
      <c r="AQ702" s="89"/>
      <c r="AR702" s="7"/>
      <c r="AS702" s="7"/>
      <c r="AT702" s="7"/>
      <c r="AU702" s="7"/>
      <c r="AV702" s="7"/>
      <c r="AW702" s="7"/>
      <c r="AX702" s="81"/>
    </row>
    <row r="703" spans="17:50">
      <c r="Q703" s="7"/>
      <c r="AQ703" s="89"/>
      <c r="AR703" s="7"/>
      <c r="AS703" s="7"/>
      <c r="AT703" s="7"/>
      <c r="AU703" s="7"/>
      <c r="AV703" s="7"/>
      <c r="AW703" s="7"/>
      <c r="AX703" s="81"/>
    </row>
    <row r="704" spans="17:50">
      <c r="Q704" s="7"/>
      <c r="AQ704" s="89"/>
      <c r="AR704" s="7"/>
      <c r="AS704" s="7"/>
      <c r="AT704" s="7"/>
      <c r="AU704" s="7"/>
      <c r="AV704" s="7"/>
      <c r="AW704" s="7"/>
      <c r="AX704" s="81"/>
    </row>
    <row r="705" spans="17:50">
      <c r="Q705" s="7"/>
      <c r="AQ705" s="89"/>
      <c r="AR705" s="7"/>
      <c r="AS705" s="7"/>
      <c r="AT705" s="7"/>
      <c r="AU705" s="7"/>
      <c r="AV705" s="7"/>
      <c r="AW705" s="7"/>
      <c r="AX705" s="81"/>
    </row>
    <row r="706" spans="17:50">
      <c r="Q706" s="7"/>
      <c r="AQ706" s="89"/>
      <c r="AR706" s="7"/>
      <c r="AS706" s="7"/>
      <c r="AT706" s="7"/>
      <c r="AU706" s="7"/>
      <c r="AV706" s="7"/>
      <c r="AW706" s="7"/>
      <c r="AX706" s="81"/>
    </row>
    <row r="707" spans="17:50">
      <c r="Q707" s="7"/>
      <c r="AQ707" s="89"/>
      <c r="AR707" s="7"/>
      <c r="AS707" s="7"/>
      <c r="AT707" s="7"/>
      <c r="AU707" s="7"/>
      <c r="AV707" s="7"/>
      <c r="AW707" s="7"/>
      <c r="AX707" s="81"/>
    </row>
    <row r="708" spans="17:50">
      <c r="Q708" s="7"/>
      <c r="AQ708" s="89"/>
      <c r="AR708" s="7"/>
      <c r="AS708" s="7"/>
      <c r="AT708" s="7"/>
      <c r="AU708" s="7"/>
      <c r="AV708" s="7"/>
      <c r="AW708" s="7"/>
      <c r="AX708" s="81"/>
    </row>
    <row r="709" spans="17:50">
      <c r="Q709" s="7"/>
      <c r="AQ709" s="89"/>
      <c r="AR709" s="7"/>
      <c r="AS709" s="7"/>
      <c r="AT709" s="7"/>
      <c r="AU709" s="7"/>
      <c r="AV709" s="7"/>
      <c r="AW709" s="7"/>
      <c r="AX709" s="81"/>
    </row>
    <row r="710" spans="17:50">
      <c r="Q710" s="7"/>
      <c r="AQ710" s="89"/>
      <c r="AR710" s="7"/>
      <c r="AS710" s="7"/>
      <c r="AT710" s="7"/>
      <c r="AU710" s="7"/>
      <c r="AV710" s="7"/>
      <c r="AW710" s="7"/>
      <c r="AX710" s="81"/>
    </row>
    <row r="711" spans="17:50">
      <c r="Q711" s="7"/>
      <c r="AQ711" s="89"/>
      <c r="AR711" s="7"/>
      <c r="AS711" s="7"/>
      <c r="AT711" s="7"/>
      <c r="AU711" s="7"/>
      <c r="AV711" s="7"/>
      <c r="AW711" s="7"/>
      <c r="AX711" s="81"/>
    </row>
    <row r="712" spans="17:50">
      <c r="Q712" s="7"/>
      <c r="AQ712" s="89"/>
      <c r="AR712" s="7"/>
      <c r="AS712" s="7"/>
      <c r="AT712" s="7"/>
      <c r="AU712" s="7"/>
      <c r="AV712" s="7"/>
      <c r="AW712" s="7"/>
      <c r="AX712" s="81"/>
    </row>
    <row r="713" spans="17:50">
      <c r="Q713" s="7"/>
      <c r="AQ713" s="89"/>
      <c r="AR713" s="7"/>
      <c r="AS713" s="7"/>
      <c r="AT713" s="7"/>
      <c r="AU713" s="7"/>
      <c r="AV713" s="7"/>
      <c r="AW713" s="7"/>
      <c r="AX713" s="81"/>
    </row>
    <row r="714" spans="17:50">
      <c r="Q714" s="7"/>
      <c r="AQ714" s="89"/>
      <c r="AR714" s="7"/>
      <c r="AS714" s="7"/>
      <c r="AT714" s="7"/>
      <c r="AU714" s="7"/>
      <c r="AV714" s="7"/>
      <c r="AW714" s="7"/>
      <c r="AX714" s="81"/>
    </row>
    <row r="715" spans="17:50">
      <c r="Q715" s="7"/>
      <c r="AQ715" s="89"/>
      <c r="AR715" s="7"/>
      <c r="AS715" s="7"/>
      <c r="AT715" s="7"/>
      <c r="AU715" s="7"/>
      <c r="AV715" s="7"/>
      <c r="AW715" s="7"/>
      <c r="AX715" s="81"/>
    </row>
    <row r="716" spans="17:50">
      <c r="Q716" s="7"/>
    </row>
    <row r="717" spans="17:50">
      <c r="Q717" s="7"/>
    </row>
    <row r="718" spans="17:50">
      <c r="Q718" s="7"/>
    </row>
    <row r="719" spans="17:50">
      <c r="Q719" s="7"/>
    </row>
    <row r="720" spans="17:50">
      <c r="Q720" s="7"/>
    </row>
    <row r="721" spans="17:17">
      <c r="Q721" s="7"/>
    </row>
    <row r="722" spans="17:17">
      <c r="Q722" s="7"/>
    </row>
    <row r="723" spans="17:17">
      <c r="Q723" s="7"/>
    </row>
    <row r="724" spans="17:17">
      <c r="Q724" s="7"/>
    </row>
    <row r="725" spans="17:17">
      <c r="Q725" s="7"/>
    </row>
    <row r="726" spans="17:17">
      <c r="Q726" s="7"/>
    </row>
    <row r="727" spans="17:17">
      <c r="Q727" s="7"/>
    </row>
    <row r="728" spans="17:17">
      <c r="Q728" s="7"/>
    </row>
    <row r="729" spans="17:17">
      <c r="Q729" s="7"/>
    </row>
    <row r="730" spans="17:17">
      <c r="Q730" s="7"/>
    </row>
    <row r="731" spans="17:17">
      <c r="Q731" s="7"/>
    </row>
    <row r="732" spans="17:17">
      <c r="Q732" s="7"/>
    </row>
    <row r="733" spans="17:17">
      <c r="Q733" s="7"/>
    </row>
    <row r="734" spans="17:17">
      <c r="Q734" s="7"/>
    </row>
    <row r="735" spans="17:17">
      <c r="Q735" s="7"/>
    </row>
    <row r="736" spans="17:17">
      <c r="Q736" s="7"/>
    </row>
    <row r="737" spans="17:17">
      <c r="Q737" s="7"/>
    </row>
    <row r="738" spans="17:17">
      <c r="Q738" s="7"/>
    </row>
    <row r="739" spans="17:17">
      <c r="Q739" s="7"/>
    </row>
    <row r="740" spans="17:17">
      <c r="Q740" s="7"/>
    </row>
    <row r="741" spans="17:17">
      <c r="Q741" s="7"/>
    </row>
    <row r="742" spans="17:17">
      <c r="Q742" s="7"/>
    </row>
    <row r="743" spans="17:17">
      <c r="Q743" s="7"/>
    </row>
    <row r="744" spans="17:17">
      <c r="Q744" s="7"/>
    </row>
    <row r="745" spans="17:17">
      <c r="Q745" s="7"/>
    </row>
    <row r="746" spans="17:17">
      <c r="Q746" s="7"/>
    </row>
    <row r="747" spans="17:17">
      <c r="Q747" s="7"/>
    </row>
    <row r="748" spans="17:17">
      <c r="Q748" s="7"/>
    </row>
    <row r="749" spans="17:17">
      <c r="Q749" s="7"/>
    </row>
    <row r="750" spans="17:17">
      <c r="Q750" s="7"/>
    </row>
    <row r="751" spans="17:17">
      <c r="Q751" s="7"/>
    </row>
    <row r="752" spans="17:17">
      <c r="Q752" s="7"/>
    </row>
    <row r="753" spans="17:17">
      <c r="Q753" s="7"/>
    </row>
    <row r="754" spans="17:17">
      <c r="Q754" s="7"/>
    </row>
    <row r="755" spans="17:17">
      <c r="Q755" s="7"/>
    </row>
    <row r="756" spans="17:17">
      <c r="Q756" s="7"/>
    </row>
    <row r="757" spans="17:17">
      <c r="Q757" s="7"/>
    </row>
    <row r="758" spans="17:17">
      <c r="Q758" s="7"/>
    </row>
    <row r="759" spans="17:17">
      <c r="Q759" s="7"/>
    </row>
    <row r="760" spans="17:17">
      <c r="Q760" s="7"/>
    </row>
    <row r="761" spans="17:17">
      <c r="Q761" s="7"/>
    </row>
    <row r="762" spans="17:17">
      <c r="Q762" s="7"/>
    </row>
    <row r="763" spans="17:17">
      <c r="Q763" s="7"/>
    </row>
    <row r="764" spans="17:17">
      <c r="Q764" s="7"/>
    </row>
    <row r="765" spans="17:17">
      <c r="Q765" s="7"/>
    </row>
    <row r="766" spans="17:17">
      <c r="Q766" s="7"/>
    </row>
    <row r="767" spans="17:17">
      <c r="Q767" s="7"/>
    </row>
    <row r="768" spans="17:17">
      <c r="Q768" s="7"/>
    </row>
    <row r="769" spans="17:17">
      <c r="Q769" s="7"/>
    </row>
    <row r="770" spans="17:17">
      <c r="Q770" s="7"/>
    </row>
    <row r="771" spans="17:17">
      <c r="Q771" s="7"/>
    </row>
    <row r="772" spans="17:17">
      <c r="Q772" s="7"/>
    </row>
    <row r="773" spans="17:17">
      <c r="Q773" s="7"/>
    </row>
    <row r="774" spans="17:17">
      <c r="Q774" s="7"/>
    </row>
    <row r="775" spans="17:17">
      <c r="Q775" s="7"/>
    </row>
    <row r="776" spans="17:17">
      <c r="Q776" s="7"/>
    </row>
    <row r="777" spans="17:17">
      <c r="Q777" s="7"/>
    </row>
    <row r="778" spans="17:17">
      <c r="Q778" s="7"/>
    </row>
    <row r="779" spans="17:17">
      <c r="Q779" s="7"/>
    </row>
    <row r="780" spans="17:17">
      <c r="Q780" s="7"/>
    </row>
    <row r="781" spans="17:17">
      <c r="Q781" s="7"/>
    </row>
    <row r="782" spans="17:17">
      <c r="Q782" s="7"/>
    </row>
    <row r="783" spans="17:17">
      <c r="Q783" s="7"/>
    </row>
    <row r="784" spans="17:17">
      <c r="Q784" s="7"/>
    </row>
    <row r="785" spans="17:17">
      <c r="Q785" s="7"/>
    </row>
    <row r="786" spans="17:17">
      <c r="Q786" s="7"/>
    </row>
    <row r="787" spans="17:17">
      <c r="Q787" s="7"/>
    </row>
    <row r="788" spans="17:17">
      <c r="Q788" s="7"/>
    </row>
    <row r="789" spans="17:17">
      <c r="Q789" s="7"/>
    </row>
    <row r="790" spans="17:17">
      <c r="Q790" s="7"/>
    </row>
    <row r="791" spans="17:17">
      <c r="Q791" s="7"/>
    </row>
    <row r="792" spans="17:17">
      <c r="Q792" s="7"/>
    </row>
    <row r="793" spans="17:17">
      <c r="Q793" s="7"/>
    </row>
    <row r="794" spans="17:17">
      <c r="Q794" s="7"/>
    </row>
    <row r="795" spans="17:17">
      <c r="Q795" s="7"/>
    </row>
    <row r="796" spans="17:17">
      <c r="Q796" s="7"/>
    </row>
    <row r="797" spans="17:17">
      <c r="Q797" s="7"/>
    </row>
    <row r="798" spans="17:17">
      <c r="Q798" s="7"/>
    </row>
    <row r="799" spans="17:17">
      <c r="Q799" s="7"/>
    </row>
    <row r="800" spans="17:17">
      <c r="Q800" s="7"/>
    </row>
    <row r="801" spans="17:17">
      <c r="Q801" s="7"/>
    </row>
    <row r="802" spans="17:17">
      <c r="Q802" s="7"/>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DDC274BF2620649A26EB7EA273056C7" ma:contentTypeVersion="4" ma:contentTypeDescription="Crée un document." ma:contentTypeScope="" ma:versionID="f713f347fc19473c8a564d2c9a605e2d">
  <xsd:schema xmlns:xsd="http://www.w3.org/2001/XMLSchema" xmlns:xs="http://www.w3.org/2001/XMLSchema" xmlns:p="http://schemas.microsoft.com/office/2006/metadata/properties" xmlns:ns3="34cd6434-7b09-4f7c-ac2e-5edc5eda1111" targetNamespace="http://schemas.microsoft.com/office/2006/metadata/properties" ma:root="true" ma:fieldsID="6a5848499a9169d36db3cede316f4b10" ns3:_="">
    <xsd:import namespace="34cd6434-7b09-4f7c-ac2e-5edc5eda1111"/>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cd6434-7b09-4f7c-ac2e-5edc5eda11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FE98927-82E9-4A95-912F-58F2CECBC79F}">
  <ds:schemaRefs>
    <ds:schemaRef ds:uri="http://schemas.microsoft.com/sharepoint/v3/contenttype/forms"/>
  </ds:schemaRefs>
</ds:datastoreItem>
</file>

<file path=customXml/itemProps2.xml><?xml version="1.0" encoding="utf-8"?>
<ds:datastoreItem xmlns:ds="http://schemas.openxmlformats.org/officeDocument/2006/customXml" ds:itemID="{FB10F773-8D78-4FFA-B468-A4D414314830}">
  <ds:schemaRefs>
    <ds:schemaRef ds:uri="http://purl.org/dc/elements/1.1/"/>
    <ds:schemaRef ds:uri="http://purl.org/dc/dcmitype/"/>
    <ds:schemaRef ds:uri="http://www.w3.org/XML/1998/namespace"/>
    <ds:schemaRef ds:uri="34cd6434-7b09-4f7c-ac2e-5edc5eda1111"/>
    <ds:schemaRef ds:uri="http://schemas.microsoft.com/office/2006/documentManagement/types"/>
    <ds:schemaRef ds:uri="http://schemas.openxmlformats.org/package/2006/metadata/core-properties"/>
    <ds:schemaRef ds:uri="http://schemas.microsoft.com/office/2006/metadata/properties"/>
    <ds:schemaRef ds:uri="http://purl.org/dc/terms/"/>
    <ds:schemaRef ds:uri="http://schemas.microsoft.com/office/infopath/2007/PartnerControls"/>
  </ds:schemaRefs>
</ds:datastoreItem>
</file>

<file path=customXml/itemProps3.xml><?xml version="1.0" encoding="utf-8"?>
<ds:datastoreItem xmlns:ds="http://schemas.openxmlformats.org/officeDocument/2006/customXml" ds:itemID="{095E936D-68BA-490A-97C9-EC8FB50B25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4cd6434-7b09-4f7c-ac2e-5edc5eda111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vt:i4>
      </vt:variant>
      <vt:variant>
        <vt:lpstr>Plages nommées</vt:lpstr>
      </vt:variant>
      <vt:variant>
        <vt:i4>2</vt:i4>
      </vt:variant>
    </vt:vector>
  </HeadingPairs>
  <TitlesOfParts>
    <vt:vector size="3" baseType="lpstr">
      <vt:lpstr>JDG</vt:lpstr>
      <vt:lpstr>JDG!_Hlk207369692</vt:lpstr>
      <vt:lpstr>Articles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Corinne ZAGNI</dc:creator>
  <cp:lastModifiedBy>Marie Maillot</cp:lastModifiedBy>
  <cp:lastPrinted>2025-05-23T13:40:10Z</cp:lastPrinted>
  <dcterms:created xsi:type="dcterms:W3CDTF">2024-10-29T09:03:32Z</dcterms:created>
  <dcterms:modified xsi:type="dcterms:W3CDTF">2025-12-17T13:52:41Z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0x010100CDDC274BF2620649A26EB7EA273056C7</vt:lpwstr>
  </property>
</Properties>
</file>