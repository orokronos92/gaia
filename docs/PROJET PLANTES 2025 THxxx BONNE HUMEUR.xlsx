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-data\s\Public\AROMATISATION\RECETTE\1 Essai en cours ENR PRO 037 (pour Aurélie)\JDG\PLANTES\"/>
    </mc:Choice>
  </mc:AlternateContent>
  <xr:revisionPtr revIDLastSave="0" documentId="13_ncr:1_{27519777-9F67-4BEF-9222-350ADCD56A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1" sheetId="2" r:id="rId1"/>
    <sheet name="Feuil1" sheetId="1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4" i="2" l="1"/>
  <c r="I73" i="2"/>
  <c r="I77" i="2" s="1"/>
  <c r="I72" i="2"/>
  <c r="I71" i="2"/>
  <c r="I70" i="2"/>
  <c r="I69" i="2"/>
  <c r="I68" i="2"/>
  <c r="G69" i="2"/>
  <c r="G70" i="2"/>
  <c r="G71" i="2"/>
  <c r="G72" i="2"/>
  <c r="I17" i="2"/>
  <c r="I18" i="2"/>
  <c r="I19" i="2"/>
  <c r="I20" i="2"/>
  <c r="I21" i="2"/>
  <c r="I22" i="2"/>
  <c r="I16" i="2"/>
  <c r="I25" i="2"/>
  <c r="E31" i="2" l="1"/>
  <c r="G16" i="2" l="1"/>
  <c r="G18" i="2"/>
  <c r="G22" i="2"/>
  <c r="G17" i="2"/>
  <c r="G19" i="2"/>
  <c r="G20" i="2"/>
  <c r="G24" i="2"/>
  <c r="G25" i="2"/>
  <c r="G26" i="2"/>
  <c r="G27" i="2"/>
  <c r="G21" i="2"/>
  <c r="G28" i="2"/>
  <c r="G29" i="2"/>
  <c r="G23" i="2"/>
  <c r="G30" i="2"/>
  <c r="G31" i="2"/>
  <c r="E175" i="2"/>
  <c r="E127" i="2"/>
  <c r="E80" i="2"/>
  <c r="G68" i="2" s="1"/>
  <c r="G174" i="2"/>
  <c r="G120" i="2" l="1"/>
  <c r="G126" i="2"/>
  <c r="G121" i="2"/>
  <c r="G127" i="2"/>
  <c r="G122" i="2"/>
  <c r="G116" i="2"/>
  <c r="G117" i="2"/>
  <c r="G123" i="2"/>
  <c r="G118" i="2"/>
  <c r="G124" i="2"/>
  <c r="G119" i="2"/>
  <c r="G125" i="2"/>
  <c r="G74" i="2"/>
  <c r="G80" i="2"/>
  <c r="G75" i="2"/>
  <c r="G76" i="2"/>
  <c r="G77" i="2"/>
  <c r="G78" i="2"/>
  <c r="G73" i="2"/>
  <c r="G79" i="2"/>
  <c r="G165" i="2"/>
  <c r="G167" i="2"/>
  <c r="G169" i="2"/>
  <c r="G171" i="2"/>
  <c r="G173" i="2"/>
  <c r="G164" i="2"/>
  <c r="G166" i="2"/>
  <c r="G168" i="2"/>
  <c r="G170" i="2"/>
  <c r="G172" i="2"/>
  <c r="C78" i="1"/>
  <c r="C183" i="1"/>
  <c r="C130" i="1"/>
  <c r="G175" i="2" l="1"/>
  <c r="C26" i="1"/>
  <c r="D76" i="1" l="1"/>
  <c r="D74" i="1"/>
  <c r="D72" i="1"/>
  <c r="D70" i="1"/>
  <c r="D68" i="1"/>
  <c r="D77" i="1"/>
  <c r="D75" i="1"/>
  <c r="D73" i="1"/>
  <c r="D71" i="1"/>
  <c r="D69" i="1"/>
  <c r="D67" i="1"/>
  <c r="D78" i="1" s="1"/>
  <c r="D16" i="1"/>
  <c r="D181" i="1"/>
  <c r="D179" i="1"/>
  <c r="D177" i="1"/>
  <c r="D175" i="1"/>
  <c r="D173" i="1"/>
  <c r="D128" i="1"/>
  <c r="D126" i="1"/>
  <c r="D122" i="1"/>
  <c r="D182" i="1"/>
  <c r="D180" i="1"/>
  <c r="D178" i="1"/>
  <c r="D176" i="1"/>
  <c r="D174" i="1"/>
  <c r="D172" i="1"/>
  <c r="D183" i="1" s="1"/>
  <c r="D129" i="1"/>
  <c r="D127" i="1"/>
  <c r="D125" i="1"/>
  <c r="D123" i="1"/>
  <c r="D121" i="1"/>
  <c r="D119" i="1"/>
  <c r="D130" i="1" s="1"/>
  <c r="D124" i="1"/>
  <c r="D120" i="1"/>
  <c r="D25" i="1"/>
  <c r="D23" i="1"/>
  <c r="D22" i="1"/>
  <c r="D15" i="1"/>
  <c r="D26" i="1" s="1"/>
  <c r="D24" i="1"/>
  <c r="D20" i="1"/>
  <c r="D18" i="1"/>
  <c r="D21" i="1"/>
  <c r="D19" i="1"/>
  <c r="D17" i="1"/>
</calcChain>
</file>

<file path=xl/sharedStrings.xml><?xml version="1.0" encoding="utf-8"?>
<sst xmlns="http://schemas.openxmlformats.org/spreadsheetml/2006/main" count="328" uniqueCount="85">
  <si>
    <t xml:space="preserve">N° de lot </t>
  </si>
  <si>
    <t>Quantité en %</t>
  </si>
  <si>
    <t>TOTAL</t>
  </si>
  <si>
    <t xml:space="preserve">Version : </t>
  </si>
  <si>
    <t xml:space="preserve">Date : </t>
  </si>
  <si>
    <t>Date de production :</t>
  </si>
  <si>
    <t>Quantité produite :</t>
  </si>
  <si>
    <t xml:space="preserve">                                  </t>
  </si>
  <si>
    <t xml:space="preserve">                               </t>
  </si>
  <si>
    <t xml:space="preserve">Code article </t>
  </si>
  <si>
    <t xml:space="preserve">Désignation </t>
  </si>
  <si>
    <t>Quantité en kg ou en litre</t>
  </si>
  <si>
    <t xml:space="preserve">Résultat dégustation :                </t>
  </si>
  <si>
    <t>Date de dégustation comparative recette essai et recette de validation :</t>
  </si>
  <si>
    <t xml:space="preserve">Résultat: </t>
  </si>
  <si>
    <t xml:space="preserve">Prélèvement échantillon de validation à faire à l'aromatisation : </t>
  </si>
  <si>
    <r>
      <t>Prélèvement échantillon validation</t>
    </r>
    <r>
      <rPr>
        <sz val="10"/>
        <rFont val="Calibri"/>
        <family val="2"/>
        <scheme val="minor"/>
      </rPr>
      <t xml:space="preserve"> (quantité par échantillon, nombre échantillon) : </t>
    </r>
  </si>
  <si>
    <t>Marque :</t>
  </si>
  <si>
    <t>Quantité par échantillon</t>
  </si>
  <si>
    <t>Nombre échantillon</t>
  </si>
  <si>
    <t>Conforme</t>
  </si>
  <si>
    <t>Non conforme</t>
  </si>
  <si>
    <t>Date :</t>
  </si>
  <si>
    <t>Noms des dégustateurs :</t>
  </si>
  <si>
    <t>N° : ENR-PRO-037</t>
  </si>
  <si>
    <t>Indice : v.0</t>
  </si>
  <si>
    <t>Désignation provisoire de la nouvelle recette :</t>
  </si>
  <si>
    <t>Page : 1/4</t>
  </si>
  <si>
    <t>Page : 2/4</t>
  </si>
  <si>
    <t>Page : 3/4</t>
  </si>
  <si>
    <t>Page : 4/4</t>
  </si>
  <si>
    <t>Recette essai laboratoire sur une base de 1 kg</t>
  </si>
  <si>
    <t>Production de la recette de validation à l'aromatisation</t>
  </si>
  <si>
    <t>Dégustation</t>
  </si>
  <si>
    <t>Résultats test de remplissage</t>
  </si>
  <si>
    <t>Validation de la recette par Les Jardins de Gaïa</t>
  </si>
  <si>
    <t xml:space="preserve">Recette essai laboratoire sur une base de 1 kg </t>
  </si>
  <si>
    <t>Code article provisoire :</t>
  </si>
  <si>
    <r>
      <t xml:space="preserve">OUI   </t>
    </r>
    <r>
      <rPr>
        <b/>
        <sz val="16"/>
        <color rgb="FFFF0000"/>
        <rFont val="Calibri"/>
        <family val="2"/>
        <scheme val="minor"/>
      </rPr>
      <t>=&gt;</t>
    </r>
    <r>
      <rPr>
        <sz val="10"/>
        <color theme="1"/>
        <rFont val="Calibri"/>
        <family val="2"/>
        <scheme val="minor"/>
      </rPr>
      <t xml:space="preserve">    Transcrire la recette dans EN-PRO- 023 Fiche recette et la diffuser à l'assistante qualité</t>
    </r>
  </si>
  <si>
    <t xml:space="preserve">Raison changement de recette : </t>
  </si>
  <si>
    <t>Version recette :</t>
  </si>
  <si>
    <r>
      <t>NON</t>
    </r>
    <r>
      <rPr>
        <b/>
        <sz val="16"/>
        <color rgb="FFFF0000"/>
        <rFont val="Calibri"/>
        <family val="2"/>
        <scheme val="minor"/>
      </rPr>
      <t xml:space="preserve"> =&gt;  </t>
    </r>
    <r>
      <rPr>
        <sz val="10"/>
        <color theme="1"/>
        <rFont val="Calibri"/>
        <family val="2"/>
        <scheme val="minor"/>
      </rPr>
      <t>Nouvel essai recette  ( voir page 2/4 et incrémenter la version)</t>
    </r>
  </si>
  <si>
    <r>
      <t>NON</t>
    </r>
    <r>
      <rPr>
        <b/>
        <sz val="16"/>
        <color rgb="FFFF0000"/>
        <rFont val="Calibri"/>
        <family val="2"/>
        <scheme val="minor"/>
      </rPr>
      <t xml:space="preserve"> =&gt;  </t>
    </r>
    <r>
      <rPr>
        <sz val="10"/>
        <color theme="1"/>
        <rFont val="Calibri"/>
        <family val="2"/>
        <scheme val="minor"/>
      </rPr>
      <t>Nouvel essai recette  ( voir page 3/4 et incrémenter la version)</t>
    </r>
  </si>
  <si>
    <r>
      <t>NON</t>
    </r>
    <r>
      <rPr>
        <b/>
        <sz val="16"/>
        <color rgb="FFFF0000"/>
        <rFont val="Calibri"/>
        <family val="2"/>
        <scheme val="minor"/>
      </rPr>
      <t xml:space="preserve"> =&gt;  </t>
    </r>
    <r>
      <rPr>
        <sz val="10"/>
        <color theme="1"/>
        <rFont val="Calibri"/>
        <family val="2"/>
        <scheme val="minor"/>
      </rPr>
      <t>Nouvel essai recette  ( voir page 4/4 et incrémenter la version)</t>
    </r>
  </si>
  <si>
    <t>FICHE DE SUIVI DES ESSAIS POUR LE DEVELOPPEMENT D'UNE NOUVELLE RECETTE</t>
  </si>
  <si>
    <t>A renseigner par le responsable aromatisation et à transmettre au Responsable négoce Private label avec les échantillons</t>
  </si>
  <si>
    <t>A renseigner par le Responsable négoce Private label</t>
  </si>
  <si>
    <r>
      <t>NON</t>
    </r>
    <r>
      <rPr>
        <b/>
        <sz val="16"/>
        <color rgb="FFFF0000"/>
        <rFont val="Calibri"/>
        <family val="2"/>
        <scheme val="minor"/>
      </rPr>
      <t xml:space="preserve"> =&gt;  </t>
    </r>
    <r>
      <rPr>
        <sz val="10"/>
        <color theme="1"/>
        <rFont val="Calibri"/>
        <family val="2"/>
        <scheme val="minor"/>
      </rPr>
      <t>Nouvel essai recette  reprendre une nouvelle fiche ENR-PRO-037</t>
    </r>
  </si>
  <si>
    <t>A renseigner par le Responsable négoce Private labelet et à diffuser au responsable aromatisation et au technicien aromatisation</t>
  </si>
  <si>
    <t>A1:E47A11AA1:E202</t>
  </si>
  <si>
    <t>Responsable :</t>
  </si>
  <si>
    <t>Indice : v.1</t>
  </si>
  <si>
    <r>
      <rPr>
        <sz val="10"/>
        <color theme="1"/>
        <rFont val="Wingdings"/>
        <charset val="2"/>
      </rPr>
      <t xml:space="preserve"> </t>
    </r>
    <r>
      <rPr>
        <sz val="10"/>
        <color theme="1"/>
        <rFont val="Calibri"/>
        <family val="2"/>
        <scheme val="minor"/>
      </rPr>
      <t>Non conforme</t>
    </r>
  </si>
  <si>
    <t xml:space="preserve"> Conforme</t>
  </si>
  <si>
    <r>
      <t xml:space="preserve">OUI   </t>
    </r>
    <r>
      <rPr>
        <b/>
        <sz val="16"/>
        <color rgb="FFFF0000"/>
        <rFont val="Calibri"/>
        <family val="2"/>
        <scheme val="minor"/>
      </rPr>
      <t>=&gt;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Transcrire la recette dans EN-PRO- 023 Fiche recette et la diffuser à l'assistante qualité</t>
    </r>
  </si>
  <si>
    <r>
      <t>NON</t>
    </r>
    <r>
      <rPr>
        <b/>
        <sz val="16"/>
        <color rgb="FFFF0000"/>
        <rFont val="Calibri"/>
        <family val="2"/>
        <scheme val="minor"/>
      </rPr>
      <t xml:space="preserve"> =&gt;  </t>
    </r>
    <r>
      <rPr>
        <sz val="9"/>
        <color theme="1"/>
        <rFont val="Calibri"/>
        <family val="2"/>
        <scheme val="minor"/>
      </rPr>
      <t>Nouvel essai recette  ( voir page 2/4 et incrémenter la version)</t>
    </r>
  </si>
  <si>
    <r>
      <t>NON</t>
    </r>
    <r>
      <rPr>
        <b/>
        <sz val="16"/>
        <color rgb="FFFF0000"/>
        <rFont val="Calibri"/>
        <family val="2"/>
        <scheme val="minor"/>
      </rPr>
      <t xml:space="preserve"> =&gt;  </t>
    </r>
    <r>
      <rPr>
        <sz val="9"/>
        <color theme="1"/>
        <rFont val="Calibri"/>
        <family val="2"/>
        <scheme val="minor"/>
      </rPr>
      <t>Nouvel essai recette  ( voir page 3/4 et incrémenter la version)</t>
    </r>
  </si>
  <si>
    <r>
      <t>NON</t>
    </r>
    <r>
      <rPr>
        <b/>
        <sz val="16"/>
        <color rgb="FFFF0000"/>
        <rFont val="Calibri"/>
        <family val="2"/>
        <scheme val="minor"/>
      </rPr>
      <t xml:space="preserve"> =&gt;  </t>
    </r>
    <r>
      <rPr>
        <sz val="9"/>
        <color theme="1"/>
        <rFont val="Calibri"/>
        <family val="2"/>
        <scheme val="minor"/>
      </rPr>
      <t>Nouvel essai recette  ( voir page 4/4 et incrémenter la version)</t>
    </r>
  </si>
  <si>
    <r>
      <t>NON</t>
    </r>
    <r>
      <rPr>
        <b/>
        <sz val="16"/>
        <color rgb="FFFF0000"/>
        <rFont val="Calibri"/>
        <family val="2"/>
        <scheme val="minor"/>
      </rPr>
      <t xml:space="preserve"> =&gt; </t>
    </r>
    <r>
      <rPr>
        <b/>
        <sz val="9"/>
        <color rgb="FFFF0000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Nouvel essai recette  reprendre une nouvelle fiche ENR-PRO-037</t>
    </r>
  </si>
  <si>
    <r>
      <t xml:space="preserve">OUI   </t>
    </r>
    <r>
      <rPr>
        <b/>
        <sz val="16"/>
        <color rgb="FFFF0000"/>
        <rFont val="Calibri"/>
        <family val="2"/>
        <scheme val="minor"/>
      </rPr>
      <t>=&gt;</t>
    </r>
    <r>
      <rPr>
        <sz val="9"/>
        <color theme="1"/>
        <rFont val="Calibri"/>
        <family val="2"/>
        <scheme val="minor"/>
      </rPr>
      <t xml:space="preserve"> Transcrire la recette dans EN-PRO- 023 Fiche recette et la diffuser à l'assistante qualité</t>
    </r>
  </si>
  <si>
    <t>AURELIE ROHMER</t>
  </si>
  <si>
    <t>Les Jardins de Gaia</t>
  </si>
  <si>
    <t>ORGANO ET VISUEL</t>
  </si>
  <si>
    <t>PROJET PLANTES 2025</t>
  </si>
  <si>
    <t>EF208</t>
  </si>
  <si>
    <t>EF505</t>
  </si>
  <si>
    <t>MAUVE FLEURS</t>
  </si>
  <si>
    <t>ACHILLE MILLEFEUILLE</t>
  </si>
  <si>
    <t>CAMOMILLE</t>
  </si>
  <si>
    <t>FENOUIL GRAINES</t>
  </si>
  <si>
    <t>MELISSE COUPE</t>
  </si>
  <si>
    <t>EF118</t>
  </si>
  <si>
    <t>NEW</t>
  </si>
  <si>
    <t>EF018</t>
  </si>
  <si>
    <t>MELISSE ENTIER</t>
  </si>
  <si>
    <t>EF206</t>
  </si>
  <si>
    <t>EF153</t>
  </si>
  <si>
    <t>ESSAI</t>
  </si>
  <si>
    <t>BONNE HUMEUR</t>
  </si>
  <si>
    <t>MAUVE =&gt; fleurs et feuille à utilsier</t>
  </si>
  <si>
    <t>le 06/02/2026</t>
  </si>
  <si>
    <t>v1</t>
  </si>
  <si>
    <t>refaire essai avec MAUVE FEUILLES ET FLEURS au lieu de uniquement FLEURS</t>
  </si>
  <si>
    <t>Efxx</t>
  </si>
  <si>
    <t>MAUVE FLEURS ET FEUILLES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</si>
</sst>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7"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94363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sz val="10"/>
      <color rgb="FF943634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i/>
      <sz val="10"/>
      <color rgb="FF0070C0"/>
      <name val="Calibri"/>
      <family val="2"/>
      <scheme val="minor"/>
    </font>
    <font>
      <b/>
      <sz val="1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Wingdings"/>
      <charset val="2"/>
    </font>
    <font>
      <sz val="10"/>
      <color theme="1"/>
      <name val="Calibri"/>
      <family val="2"/>
      <charset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</borders>
  <cellStyleXfs count="2">
    <xf numFmtId="0" fontId="0" fillId="0" borderId="0"/>
    <xf numFmtId="0" fontId="26" fillId="0" borderId="0">
      <alignment vertical="top"/>
    </xf>
  </cellStyleXfs>
  <cellXfs count="231">
    <xf numFmtId="0" fontId="0" fillId="0" borderId="0" xfId="0"/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/>
    <xf numFmtId="0" fontId="4" fillId="0" borderId="0" xfId="0" applyFont="1" applyBorder="1" applyAlignment="1">
      <alignment horizontal="center"/>
    </xf>
    <xf numFmtId="0" fontId="1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0" fillId="0" borderId="0" xfId="0" applyAlignment="1"/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5" fillId="0" borderId="0" xfId="0" applyFont="1" applyBorder="1"/>
    <xf numFmtId="0" fontId="12" fillId="0" borderId="0" xfId="0" applyFont="1" applyBorder="1"/>
    <xf numFmtId="0" fontId="5" fillId="0" borderId="0" xfId="0" applyFont="1" applyBorder="1" applyAlignment="1">
      <alignment horizontal="left"/>
    </xf>
    <xf numFmtId="0" fontId="14" fillId="0" borderId="0" xfId="0" applyFont="1"/>
    <xf numFmtId="0" fontId="14" fillId="0" borderId="0" xfId="0" applyFont="1" applyBorder="1"/>
    <xf numFmtId="0" fontId="5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right"/>
    </xf>
    <xf numFmtId="14" fontId="6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Border="1" applyAlignment="1">
      <alignment horizontal="right"/>
    </xf>
    <xf numFmtId="0" fontId="15" fillId="0" borderId="0" xfId="0" applyFont="1"/>
    <xf numFmtId="0" fontId="10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Border="1"/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1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/>
    <xf numFmtId="0" fontId="14" fillId="0" borderId="0" xfId="0" applyFont="1" applyAlignment="1"/>
    <xf numFmtId="0" fontId="7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8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/>
    <xf numFmtId="0" fontId="14" fillId="0" borderId="0" xfId="0" applyFont="1" applyAlignment="1"/>
    <xf numFmtId="0" fontId="7" fillId="0" borderId="0" xfId="0" applyFont="1" applyAlignment="1"/>
    <xf numFmtId="0" fontId="14" fillId="0" borderId="0" xfId="0" applyFont="1" applyAlignment="1"/>
    <xf numFmtId="0" fontId="7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15" fillId="0" borderId="0" xfId="0" applyFont="1" applyBorder="1" applyAlignment="1">
      <alignment vertical="center" wrapText="1"/>
    </xf>
    <xf numFmtId="0" fontId="22" fillId="0" borderId="0" xfId="0" applyFont="1" applyAlignment="1">
      <alignment horizontal="left"/>
    </xf>
    <xf numFmtId="0" fontId="5" fillId="0" borderId="3" xfId="0" applyFont="1" applyBorder="1"/>
    <xf numFmtId="0" fontId="5" fillId="0" borderId="17" xfId="0" applyFont="1" applyBorder="1" applyAlignment="1"/>
    <xf numFmtId="0" fontId="5" fillId="0" borderId="17" xfId="0" applyFont="1" applyBorder="1"/>
    <xf numFmtId="0" fontId="5" fillId="0" borderId="18" xfId="0" applyFont="1" applyBorder="1"/>
    <xf numFmtId="0" fontId="5" fillId="0" borderId="11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1" fillId="0" borderId="13" xfId="0" applyFont="1" applyBorder="1" applyAlignment="1">
      <alignment vertical="center" wrapText="1"/>
    </xf>
    <xf numFmtId="0" fontId="5" fillId="0" borderId="13" xfId="0" applyFont="1" applyBorder="1" applyAlignment="1"/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/>
    <xf numFmtId="0" fontId="5" fillId="0" borderId="10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3" xfId="0" applyFont="1" applyBorder="1" applyAlignment="1"/>
    <xf numFmtId="0" fontId="5" fillId="0" borderId="14" xfId="0" applyFont="1" applyBorder="1" applyAlignment="1"/>
    <xf numFmtId="0" fontId="5" fillId="0" borderId="10" xfId="0" applyFont="1" applyBorder="1" applyAlignment="1"/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/>
    <xf numFmtId="0" fontId="10" fillId="2" borderId="4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5" fillId="0" borderId="13" xfId="0" applyFont="1" applyBorder="1" applyAlignment="1"/>
    <xf numFmtId="0" fontId="5" fillId="0" borderId="14" xfId="0" applyFont="1" applyBorder="1" applyAlignment="1"/>
    <xf numFmtId="0" fontId="5" fillId="0" borderId="10" xfId="0" applyFont="1" applyBorder="1" applyAlignment="1"/>
    <xf numFmtId="0" fontId="5" fillId="0" borderId="1" xfId="0" applyFont="1" applyBorder="1" applyAlignment="1">
      <alignment horizontal="center"/>
    </xf>
    <xf numFmtId="0" fontId="0" fillId="0" borderId="0" xfId="0" applyFill="1"/>
    <xf numFmtId="0" fontId="5" fillId="0" borderId="0" xfId="0" applyFont="1" applyFill="1"/>
    <xf numFmtId="0" fontId="5" fillId="0" borderId="13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3" xfId="0" applyFont="1" applyFill="1" applyBorder="1" applyAlignment="1"/>
    <xf numFmtId="0" fontId="5" fillId="0" borderId="14" xfId="0" applyFont="1" applyFill="1" applyBorder="1" applyAlignment="1">
      <alignment horizontal="center" vertical="center"/>
    </xf>
    <xf numFmtId="0" fontId="5" fillId="0" borderId="10" xfId="0" applyFont="1" applyFill="1" applyBorder="1" applyAlignment="1"/>
    <xf numFmtId="164" fontId="0" fillId="4" borderId="1" xfId="0" applyNumberFormat="1" applyFill="1" applyBorder="1"/>
    <xf numFmtId="0" fontId="5" fillId="0" borderId="14" xfId="0" applyFont="1" applyBorder="1" applyAlignment="1"/>
    <xf numFmtId="0" fontId="5" fillId="0" borderId="10" xfId="0" applyFont="1" applyBorder="1" applyAlignment="1"/>
    <xf numFmtId="0" fontId="5" fillId="0" borderId="1" xfId="0" applyFont="1" applyBorder="1" applyAlignment="1">
      <alignment horizontal="center"/>
    </xf>
    <xf numFmtId="0" fontId="5" fillId="0" borderId="0" xfId="0" applyFont="1" applyFill="1" applyAlignment="1">
      <alignment horizontal="left"/>
    </xf>
    <xf numFmtId="0" fontId="5" fillId="0" borderId="17" xfId="0" applyFont="1" applyFill="1" applyBorder="1" applyAlignment="1"/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/>
    <xf numFmtId="0" fontId="5" fillId="0" borderId="10" xfId="0" applyFont="1" applyBorder="1" applyAlignment="1"/>
    <xf numFmtId="0" fontId="5" fillId="0" borderId="1" xfId="0" applyFont="1" applyBorder="1" applyAlignment="1">
      <alignment horizontal="center"/>
    </xf>
    <xf numFmtId="0" fontId="11" fillId="0" borderId="13" xfId="0" applyFont="1" applyBorder="1" applyAlignment="1"/>
    <xf numFmtId="165" fontId="5" fillId="0" borderId="1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/>
    <xf numFmtId="0" fontId="5" fillId="0" borderId="10" xfId="0" applyFont="1" applyBorder="1" applyAlignment="1"/>
    <xf numFmtId="0" fontId="5" fillId="0" borderId="1" xfId="0" applyFont="1" applyBorder="1" applyAlignment="1">
      <alignment horizontal="center"/>
    </xf>
    <xf numFmtId="0" fontId="5" fillId="5" borderId="13" xfId="0" applyFont="1" applyFill="1" applyBorder="1" applyAlignment="1"/>
    <xf numFmtId="0" fontId="11" fillId="5" borderId="13" xfId="0" applyFont="1" applyFill="1" applyBorder="1" applyAlignment="1">
      <alignment vertical="center" wrapText="1"/>
    </xf>
    <xf numFmtId="0" fontId="5" fillId="0" borderId="9" xfId="0" applyFont="1" applyBorder="1" applyAlignment="1"/>
    <xf numFmtId="0" fontId="5" fillId="0" borderId="5" xfId="0" applyFont="1" applyBorder="1" applyAlignment="1"/>
    <xf numFmtId="0" fontId="5" fillId="0" borderId="7" xfId="0" applyFont="1" applyBorder="1" applyAlignment="1"/>
    <xf numFmtId="0" fontId="5" fillId="0" borderId="13" xfId="0" applyFont="1" applyBorder="1" applyAlignment="1"/>
    <xf numFmtId="0" fontId="5" fillId="0" borderId="10" xfId="0" applyFont="1" applyBorder="1" applyAlignment="1"/>
    <xf numFmtId="0" fontId="5" fillId="0" borderId="8" xfId="0" applyFont="1" applyBorder="1" applyAlignment="1"/>
    <xf numFmtId="0" fontId="26" fillId="0" borderId="0" xfId="1" applyFont="1" applyFill="1" applyBorder="1" applyAlignment="1">
      <alignment horizontal="center" vertical="top" wrapText="1"/>
    </xf>
    <xf numFmtId="0" fontId="26" fillId="0" borderId="0" xfId="1" applyFill="1" applyBorder="1" applyAlignment="1">
      <alignment horizontal="center" vertical="top" wrapText="1"/>
    </xf>
    <xf numFmtId="0" fontId="5" fillId="0" borderId="17" xfId="0" applyFont="1" applyFill="1" applyBorder="1"/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/>
    <xf numFmtId="0" fontId="5" fillId="0" borderId="10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/>
    <xf numFmtId="0" fontId="5" fillId="0" borderId="10" xfId="0" applyFont="1" applyBorder="1" applyAlignment="1"/>
    <xf numFmtId="0" fontId="5" fillId="0" borderId="1" xfId="0" applyFont="1" applyBorder="1" applyAlignment="1">
      <alignment horizontal="center"/>
    </xf>
    <xf numFmtId="0" fontId="14" fillId="0" borderId="0" xfId="0" applyFont="1" applyAlignment="1"/>
    <xf numFmtId="0" fontId="7" fillId="0" borderId="0" xfId="0" applyFont="1" applyAlignment="1"/>
    <xf numFmtId="0" fontId="5" fillId="0" borderId="1" xfId="0" applyFont="1" applyBorder="1" applyAlignment="1">
      <alignment horizontal="center"/>
    </xf>
    <xf numFmtId="0" fontId="11" fillId="0" borderId="13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5" borderId="22" xfId="0" applyFont="1" applyFill="1" applyBorder="1" applyAlignment="1">
      <alignment vertical="center" wrapText="1"/>
    </xf>
    <xf numFmtId="0" fontId="11" fillId="5" borderId="14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3" fillId="0" borderId="0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5" fillId="0" borderId="13" xfId="0" applyFont="1" applyBorder="1" applyAlignment="1"/>
    <xf numFmtId="0" fontId="5" fillId="0" borderId="14" xfId="0" applyFont="1" applyBorder="1" applyAlignment="1"/>
    <xf numFmtId="0" fontId="5" fillId="0" borderId="10" xfId="0" applyFont="1" applyBorder="1" applyAlignment="1"/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5" fillId="5" borderId="22" xfId="0" applyFont="1" applyFill="1" applyBorder="1" applyAlignment="1"/>
    <xf numFmtId="0" fontId="5" fillId="5" borderId="14" xfId="0" applyFont="1" applyFill="1" applyBorder="1" applyAlignment="1"/>
    <xf numFmtId="0" fontId="5" fillId="5" borderId="10" xfId="0" applyFont="1" applyFill="1" applyBorder="1" applyAlignment="1"/>
    <xf numFmtId="0" fontId="17" fillId="0" borderId="13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/>
    <xf numFmtId="0" fontId="15" fillId="0" borderId="0" xfId="0" applyFont="1" applyBorder="1" applyAlignment="1">
      <alignment vertical="center" wrapText="1"/>
    </xf>
    <xf numFmtId="0" fontId="13" fillId="0" borderId="16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5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1" fillId="0" borderId="13" xfId="0" applyFont="1" applyBorder="1" applyAlignment="1"/>
    <xf numFmtId="0" fontId="11" fillId="0" borderId="10" xfId="0" applyFont="1" applyBorder="1" applyAlignment="1"/>
    <xf numFmtId="0" fontId="11" fillId="0" borderId="13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10" fillId="2" borderId="14" xfId="0" applyFont="1" applyFill="1" applyBorder="1" applyAlignment="1">
      <alignment horizontal="center"/>
    </xf>
    <xf numFmtId="0" fontId="15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14" fontId="17" fillId="0" borderId="13" xfId="0" applyNumberFormat="1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5" fillId="0" borderId="2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15" fillId="0" borderId="0" xfId="0" applyFont="1" applyBorder="1" applyAlignment="1">
      <alignment horizontal="left" vertical="center" wrapText="1"/>
    </xf>
    <xf numFmtId="0" fontId="13" fillId="3" borderId="15" xfId="0" applyFont="1" applyFill="1" applyBorder="1" applyAlignment="1">
      <alignment horizontal="left" vertical="center" wrapText="1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1" fillId="0" borderId="13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5" fillId="0" borderId="22" xfId="0" applyFont="1" applyBorder="1" applyAlignment="1"/>
    <xf numFmtId="0" fontId="11" fillId="0" borderId="22" xfId="0" applyFont="1" applyBorder="1" applyAlignment="1">
      <alignment vertical="center" wrapText="1"/>
    </xf>
    <xf numFmtId="0" fontId="11" fillId="0" borderId="8" xfId="0" applyFont="1" applyBorder="1" applyAlignment="1"/>
    <xf numFmtId="0" fontId="11" fillId="0" borderId="9" xfId="0" applyFont="1" applyBorder="1" applyAlignment="1"/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3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11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Fill="1" applyAlignment="1"/>
    <xf numFmtId="0" fontId="5" fillId="6" borderId="0" xfId="0" applyFont="1" applyFill="1" applyAlignment="1">
      <alignment horizontal="left"/>
    </xf>
    <xf numFmtId="0" fontId="5" fillId="6" borderId="0" xfId="0" applyFont="1" applyFill="1" applyBorder="1" applyAlignment="1">
      <alignment horizontal="left"/>
    </xf>
    <xf numFmtId="0" fontId="0" fillId="6" borderId="0" xfId="0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362957</xdr:colOff>
      <xdr:row>0</xdr:row>
      <xdr:rowOff>44375</xdr:rowOff>
    </xdr:from>
    <xdr:to>
      <xdr:col>0</xdr:col>
      <xdr:colOff>905882</xdr:colOff>
      <xdr:row>3</xdr:row>
      <xdr:rowOff>82475</xdr:rowOff>
    </xdr:to>
    <xdr:pic>
      <xdr:nvPicPr>
        <xdr:cNvPr id="3" name="Image 1" descr="Logo JDG grands thés bio">
          <a:extLst>
            <a:ext uri="{FF2B5EF4-FFF2-40B4-BE49-F238E27FC236}">
              <a16:creationId xmlns:a16="http://schemas.microsoft.com/office/drawing/2014/main" id="{A0FAC09B-2119-48C6-A4F0-4E3172E0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57" y="44375"/>
          <a:ext cx="542925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363854</xdr:colOff>
      <xdr:row>54</xdr:row>
      <xdr:rowOff>53340</xdr:rowOff>
    </xdr:from>
    <xdr:to>
      <xdr:col>0</xdr:col>
      <xdr:colOff>906779</xdr:colOff>
      <xdr:row>57</xdr:row>
      <xdr:rowOff>91440</xdr:rowOff>
    </xdr:to>
    <xdr:pic>
      <xdr:nvPicPr>
        <xdr:cNvPr id="9" name="Image 1" descr="Logo JDG grands thés bio">
          <a:extLst>
            <a:ext uri="{FF2B5EF4-FFF2-40B4-BE49-F238E27FC236}">
              <a16:creationId xmlns:a16="http://schemas.microsoft.com/office/drawing/2014/main" id="{EBA3DC73-36C8-4D62-BC76-B778F7436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4" y="9037320"/>
          <a:ext cx="542925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302894</xdr:colOff>
      <xdr:row>102</xdr:row>
      <xdr:rowOff>60960</xdr:rowOff>
    </xdr:from>
    <xdr:to>
      <xdr:col>0</xdr:col>
      <xdr:colOff>845819</xdr:colOff>
      <xdr:row>105</xdr:row>
      <xdr:rowOff>99060</xdr:rowOff>
    </xdr:to>
    <xdr:pic>
      <xdr:nvPicPr>
        <xdr:cNvPr id="11" name="Image 1" descr="Logo JDG grands thés bio">
          <a:extLst>
            <a:ext uri="{FF2B5EF4-FFF2-40B4-BE49-F238E27FC236}">
              <a16:creationId xmlns:a16="http://schemas.microsoft.com/office/drawing/2014/main" id="{A2F48F25-31E5-47CA-A32C-70546384A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4" y="17609820"/>
          <a:ext cx="542925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371474</xdr:colOff>
      <xdr:row>150</xdr:row>
      <xdr:rowOff>76200</xdr:rowOff>
    </xdr:from>
    <xdr:to>
      <xdr:col>0</xdr:col>
      <xdr:colOff>914399</xdr:colOff>
      <xdr:row>153</xdr:row>
      <xdr:rowOff>114300</xdr:rowOff>
    </xdr:to>
    <xdr:pic>
      <xdr:nvPicPr>
        <xdr:cNvPr id="16" name="Image 1" descr="Logo JDG grands thés bio">
          <a:extLst>
            <a:ext uri="{FF2B5EF4-FFF2-40B4-BE49-F238E27FC236}">
              <a16:creationId xmlns:a16="http://schemas.microsoft.com/office/drawing/2014/main" id="{F37B3716-8D3F-4F7A-A804-6F998C2E7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26471880"/>
          <a:ext cx="542925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1543050</xdr:colOff>
      <xdr:row>41</xdr:row>
      <xdr:rowOff>104776</xdr:rowOff>
    </xdr:from>
    <xdr:to>
      <xdr:col>1</xdr:col>
      <xdr:colOff>1695450</xdr:colOff>
      <xdr:row>41</xdr:row>
      <xdr:rowOff>219076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28925" y="7534276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263897</xdr:colOff>
      <xdr:row>0</xdr:row>
      <xdr:rowOff>67235</xdr:rowOff>
    </xdr:from>
    <xdr:to>
      <xdr:col>0</xdr:col>
      <xdr:colOff>806822</xdr:colOff>
      <xdr:row>3</xdr:row>
      <xdr:rowOff>105335</xdr:rowOff>
    </xdr:to>
    <xdr:pic>
      <xdr:nvPicPr>
        <xdr:cNvPr id="8" name="Image 1" descr="Logo JDG grands thés bi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97" y="67235"/>
          <a:ext cx="5429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1476375</xdr:colOff>
      <xdr:row>41</xdr:row>
      <xdr:rowOff>123825</xdr:rowOff>
    </xdr:from>
    <xdr:to>
      <xdr:col>2</xdr:col>
      <xdr:colOff>1628775</xdr:colOff>
      <xdr:row>41</xdr:row>
      <xdr:rowOff>238125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524375" y="956310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50</xdr:row>
      <xdr:rowOff>66675</xdr:rowOff>
    </xdr:from>
    <xdr:to>
      <xdr:col>0</xdr:col>
      <xdr:colOff>704850</xdr:colOff>
      <xdr:row>50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52450" y="931545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51</xdr:row>
      <xdr:rowOff>76200</xdr:rowOff>
    </xdr:from>
    <xdr:to>
      <xdr:col>0</xdr:col>
      <xdr:colOff>704850</xdr:colOff>
      <xdr:row>51</xdr:row>
      <xdr:rowOff>190500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52450" y="9553575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102</xdr:row>
      <xdr:rowOff>66675</xdr:rowOff>
    </xdr:from>
    <xdr:to>
      <xdr:col>0</xdr:col>
      <xdr:colOff>704850</xdr:colOff>
      <xdr:row>102</xdr:row>
      <xdr:rowOff>180975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3720DD8-0545-44AB-B8E7-2A2B05F4F8C4}"/>
            </a:ext>
          </a:extLst>
        </xdr:cNvPr>
        <xdr:cNvSpPr/>
      </xdr:nvSpPr>
      <xdr:spPr>
        <a:xfrm>
          <a:off x="552450" y="1015365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103</xdr:row>
      <xdr:rowOff>76200</xdr:rowOff>
    </xdr:from>
    <xdr:to>
      <xdr:col>0</xdr:col>
      <xdr:colOff>704850</xdr:colOff>
      <xdr:row>103</xdr:row>
      <xdr:rowOff>190500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521E24-5F51-4471-AC7A-523C31BB8ED3}"/>
            </a:ext>
          </a:extLst>
        </xdr:cNvPr>
        <xdr:cNvSpPr/>
      </xdr:nvSpPr>
      <xdr:spPr>
        <a:xfrm>
          <a:off x="552450" y="10391775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371474</xdr:colOff>
      <xdr:row>53</xdr:row>
      <xdr:rowOff>76200</xdr:rowOff>
    </xdr:from>
    <xdr:to>
      <xdr:col>0</xdr:col>
      <xdr:colOff>914399</xdr:colOff>
      <xdr:row>56</xdr:row>
      <xdr:rowOff>114300</xdr:rowOff>
    </xdr:to>
    <xdr:pic>
      <xdr:nvPicPr>
        <xdr:cNvPr id="23" name="Image 1" descr="Logo JDG grands thés bio">
          <a:extLst>
            <a:ext uri="{FF2B5EF4-FFF2-40B4-BE49-F238E27FC236}">
              <a16:creationId xmlns:a16="http://schemas.microsoft.com/office/drawing/2014/main" id="{780313B9-7389-492D-95E8-D7DEB801D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76200"/>
          <a:ext cx="5429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552450</xdr:colOff>
      <xdr:row>154</xdr:row>
      <xdr:rowOff>66675</xdr:rowOff>
    </xdr:from>
    <xdr:to>
      <xdr:col>0</xdr:col>
      <xdr:colOff>704850</xdr:colOff>
      <xdr:row>154</xdr:row>
      <xdr:rowOff>180975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D7562AA-94CF-4861-969B-CEE1501271BB}"/>
            </a:ext>
          </a:extLst>
        </xdr:cNvPr>
        <xdr:cNvSpPr/>
      </xdr:nvSpPr>
      <xdr:spPr>
        <a:xfrm>
          <a:off x="552450" y="18821400"/>
          <a:ext cx="152400" cy="9525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371474</xdr:colOff>
      <xdr:row>105</xdr:row>
      <xdr:rowOff>76200</xdr:rowOff>
    </xdr:from>
    <xdr:to>
      <xdr:col>0</xdr:col>
      <xdr:colOff>914399</xdr:colOff>
      <xdr:row>108</xdr:row>
      <xdr:rowOff>114300</xdr:rowOff>
    </xdr:to>
    <xdr:pic>
      <xdr:nvPicPr>
        <xdr:cNvPr id="28" name="Image 1" descr="Logo JDG grands thés bio">
          <a:extLst>
            <a:ext uri="{FF2B5EF4-FFF2-40B4-BE49-F238E27FC236}">
              <a16:creationId xmlns:a16="http://schemas.microsoft.com/office/drawing/2014/main" id="{3DD9A8BF-A33D-47C4-ABD2-7A1813BA5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10620375"/>
          <a:ext cx="5429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1543050</xdr:colOff>
      <xdr:row>198</xdr:row>
      <xdr:rowOff>104776</xdr:rowOff>
    </xdr:from>
    <xdr:to>
      <xdr:col>1</xdr:col>
      <xdr:colOff>1695450</xdr:colOff>
      <xdr:row>198</xdr:row>
      <xdr:rowOff>219076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F4FACED-0201-473E-9F61-274E2F669AF8}"/>
            </a:ext>
          </a:extLst>
        </xdr:cNvPr>
        <xdr:cNvSpPr/>
      </xdr:nvSpPr>
      <xdr:spPr>
        <a:xfrm>
          <a:off x="2828925" y="17202151"/>
          <a:ext cx="152400" cy="5715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1476375</xdr:colOff>
      <xdr:row>198</xdr:row>
      <xdr:rowOff>123825</xdr:rowOff>
    </xdr:from>
    <xdr:to>
      <xdr:col>2</xdr:col>
      <xdr:colOff>1628775</xdr:colOff>
      <xdr:row>198</xdr:row>
      <xdr:rowOff>238125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855E3C9-765E-4ED9-8EE9-4E4F09725D70}"/>
            </a:ext>
          </a:extLst>
        </xdr:cNvPr>
        <xdr:cNvSpPr/>
      </xdr:nvSpPr>
      <xdr:spPr>
        <a:xfrm>
          <a:off x="4524375" y="17221200"/>
          <a:ext cx="152400" cy="381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208</xdr:row>
      <xdr:rowOff>66675</xdr:rowOff>
    </xdr:from>
    <xdr:to>
      <xdr:col>0</xdr:col>
      <xdr:colOff>704850</xdr:colOff>
      <xdr:row>208</xdr:row>
      <xdr:rowOff>180975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BFCEBF8-A412-4AFD-B668-37CA56C5D6A2}"/>
            </a:ext>
          </a:extLst>
        </xdr:cNvPr>
        <xdr:cNvSpPr/>
      </xdr:nvSpPr>
      <xdr:spPr>
        <a:xfrm>
          <a:off x="552450" y="18821400"/>
          <a:ext cx="152400" cy="9525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209</xdr:row>
      <xdr:rowOff>76200</xdr:rowOff>
    </xdr:from>
    <xdr:to>
      <xdr:col>0</xdr:col>
      <xdr:colOff>704850</xdr:colOff>
      <xdr:row>209</xdr:row>
      <xdr:rowOff>190500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AD9FAF5-669E-40A1-9160-7A66C23152C6}"/>
            </a:ext>
          </a:extLst>
        </xdr:cNvPr>
        <xdr:cNvSpPr/>
      </xdr:nvSpPr>
      <xdr:spPr>
        <a:xfrm>
          <a:off x="552450" y="18992850"/>
          <a:ext cx="152400" cy="85725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371474</xdr:colOff>
      <xdr:row>158</xdr:row>
      <xdr:rowOff>76200</xdr:rowOff>
    </xdr:from>
    <xdr:to>
      <xdr:col>0</xdr:col>
      <xdr:colOff>914399</xdr:colOff>
      <xdr:row>161</xdr:row>
      <xdr:rowOff>114300</xdr:rowOff>
    </xdr:to>
    <xdr:pic>
      <xdr:nvPicPr>
        <xdr:cNvPr id="33" name="Image 1" descr="Logo JDG grands thés bio">
          <a:extLst>
            <a:ext uri="{FF2B5EF4-FFF2-40B4-BE49-F238E27FC236}">
              <a16:creationId xmlns:a16="http://schemas.microsoft.com/office/drawing/2014/main" id="{EA1191A0-6FAE-4560-A381-72E6B2315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10620375"/>
          <a:ext cx="5429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1543050</xdr:colOff>
      <xdr:row>93</xdr:row>
      <xdr:rowOff>104776</xdr:rowOff>
    </xdr:from>
    <xdr:to>
      <xdr:col>1</xdr:col>
      <xdr:colOff>1695450</xdr:colOff>
      <xdr:row>93</xdr:row>
      <xdr:rowOff>219076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AD3AECF-E9AC-42F1-B5A5-1D49172DD1C3}"/>
            </a:ext>
          </a:extLst>
        </xdr:cNvPr>
        <xdr:cNvSpPr/>
      </xdr:nvSpPr>
      <xdr:spPr>
        <a:xfrm>
          <a:off x="2828925" y="8324851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1476375</xdr:colOff>
      <xdr:row>93</xdr:row>
      <xdr:rowOff>123825</xdr:rowOff>
    </xdr:from>
    <xdr:to>
      <xdr:col>2</xdr:col>
      <xdr:colOff>1628775</xdr:colOff>
      <xdr:row>93</xdr:row>
      <xdr:rowOff>238125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83CC014-4449-48BB-9F2B-9247CAA3B7E3}"/>
            </a:ext>
          </a:extLst>
        </xdr:cNvPr>
        <xdr:cNvSpPr/>
      </xdr:nvSpPr>
      <xdr:spPr>
        <a:xfrm>
          <a:off x="4524375" y="834390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1543050</xdr:colOff>
      <xdr:row>145</xdr:row>
      <xdr:rowOff>104776</xdr:rowOff>
    </xdr:from>
    <xdr:to>
      <xdr:col>1</xdr:col>
      <xdr:colOff>1695450</xdr:colOff>
      <xdr:row>145</xdr:row>
      <xdr:rowOff>219076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F099C1D-6384-4151-B7A8-EA8B8CF58D7C}"/>
            </a:ext>
          </a:extLst>
        </xdr:cNvPr>
        <xdr:cNvSpPr/>
      </xdr:nvSpPr>
      <xdr:spPr>
        <a:xfrm>
          <a:off x="2828925" y="8324851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1476375</xdr:colOff>
      <xdr:row>145</xdr:row>
      <xdr:rowOff>123825</xdr:rowOff>
    </xdr:from>
    <xdr:to>
      <xdr:col>2</xdr:col>
      <xdr:colOff>1628775</xdr:colOff>
      <xdr:row>145</xdr:row>
      <xdr:rowOff>238125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A614C9BF-911D-49FF-AB3E-5FEF6775DAFF}"/>
            </a:ext>
          </a:extLst>
        </xdr:cNvPr>
        <xdr:cNvSpPr/>
      </xdr:nvSpPr>
      <xdr:spPr>
        <a:xfrm>
          <a:off x="4524375" y="834390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102</xdr:row>
      <xdr:rowOff>66675</xdr:rowOff>
    </xdr:from>
    <xdr:to>
      <xdr:col>0</xdr:col>
      <xdr:colOff>704850</xdr:colOff>
      <xdr:row>102</xdr:row>
      <xdr:rowOff>180975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40D1CAC9-5CD9-45D3-879F-B62E9A506C02}"/>
            </a:ext>
          </a:extLst>
        </xdr:cNvPr>
        <xdr:cNvSpPr/>
      </xdr:nvSpPr>
      <xdr:spPr>
        <a:xfrm>
          <a:off x="552450" y="1015196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103</xdr:row>
      <xdr:rowOff>76200</xdr:rowOff>
    </xdr:from>
    <xdr:to>
      <xdr:col>0</xdr:col>
      <xdr:colOff>704850</xdr:colOff>
      <xdr:row>103</xdr:row>
      <xdr:rowOff>190500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FF3F366-2E14-44FD-A1BC-2E7653AED0A8}"/>
            </a:ext>
          </a:extLst>
        </xdr:cNvPr>
        <xdr:cNvSpPr/>
      </xdr:nvSpPr>
      <xdr:spPr>
        <a:xfrm>
          <a:off x="552450" y="10385612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102</xdr:row>
      <xdr:rowOff>66675</xdr:rowOff>
    </xdr:from>
    <xdr:to>
      <xdr:col>0</xdr:col>
      <xdr:colOff>704850</xdr:colOff>
      <xdr:row>102</xdr:row>
      <xdr:rowOff>180975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C779EDD-19C5-4DA2-BAB8-36A3CE8B526D}"/>
            </a:ext>
          </a:extLst>
        </xdr:cNvPr>
        <xdr:cNvSpPr/>
      </xdr:nvSpPr>
      <xdr:spPr>
        <a:xfrm>
          <a:off x="552450" y="1015196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103</xdr:row>
      <xdr:rowOff>76200</xdr:rowOff>
    </xdr:from>
    <xdr:to>
      <xdr:col>0</xdr:col>
      <xdr:colOff>704850</xdr:colOff>
      <xdr:row>103</xdr:row>
      <xdr:rowOff>190500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1DA200B-9A48-478E-AAEF-9CA95FA6263D}"/>
            </a:ext>
          </a:extLst>
        </xdr:cNvPr>
        <xdr:cNvSpPr/>
      </xdr:nvSpPr>
      <xdr:spPr>
        <a:xfrm>
          <a:off x="552450" y="10385612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102</xdr:row>
      <xdr:rowOff>66675</xdr:rowOff>
    </xdr:from>
    <xdr:to>
      <xdr:col>0</xdr:col>
      <xdr:colOff>704850</xdr:colOff>
      <xdr:row>102</xdr:row>
      <xdr:rowOff>180975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591666FA-AC0F-43EC-9FD1-1F520A60BDD6}"/>
            </a:ext>
          </a:extLst>
        </xdr:cNvPr>
        <xdr:cNvSpPr/>
      </xdr:nvSpPr>
      <xdr:spPr>
        <a:xfrm>
          <a:off x="552450" y="1015196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103</xdr:row>
      <xdr:rowOff>76200</xdr:rowOff>
    </xdr:from>
    <xdr:to>
      <xdr:col>0</xdr:col>
      <xdr:colOff>704850</xdr:colOff>
      <xdr:row>103</xdr:row>
      <xdr:rowOff>190500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9778041-75B7-4A04-A483-46CB2A178E22}"/>
            </a:ext>
          </a:extLst>
        </xdr:cNvPr>
        <xdr:cNvSpPr/>
      </xdr:nvSpPr>
      <xdr:spPr>
        <a:xfrm>
          <a:off x="552450" y="10385612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1543050</xdr:colOff>
      <xdr:row>93</xdr:row>
      <xdr:rowOff>104776</xdr:rowOff>
    </xdr:from>
    <xdr:to>
      <xdr:col>1</xdr:col>
      <xdr:colOff>1695450</xdr:colOff>
      <xdr:row>93</xdr:row>
      <xdr:rowOff>219076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548D727-8019-4A9C-9FA0-AEBDDCF0BAED}"/>
            </a:ext>
          </a:extLst>
        </xdr:cNvPr>
        <xdr:cNvSpPr/>
      </xdr:nvSpPr>
      <xdr:spPr>
        <a:xfrm>
          <a:off x="2831726" y="8329894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1476375</xdr:colOff>
      <xdr:row>93</xdr:row>
      <xdr:rowOff>123825</xdr:rowOff>
    </xdr:from>
    <xdr:to>
      <xdr:col>2</xdr:col>
      <xdr:colOff>1628775</xdr:colOff>
      <xdr:row>93</xdr:row>
      <xdr:rowOff>238125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961B521-9CA9-4865-AE1D-BEA6DE896821}"/>
            </a:ext>
          </a:extLst>
        </xdr:cNvPr>
        <xdr:cNvSpPr/>
      </xdr:nvSpPr>
      <xdr:spPr>
        <a:xfrm>
          <a:off x="4524375" y="8348943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102</xdr:row>
      <xdr:rowOff>66675</xdr:rowOff>
    </xdr:from>
    <xdr:to>
      <xdr:col>0</xdr:col>
      <xdr:colOff>704850</xdr:colOff>
      <xdr:row>102</xdr:row>
      <xdr:rowOff>180975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39DC6EA6-C0E9-40FA-A557-66A330128652}"/>
            </a:ext>
          </a:extLst>
        </xdr:cNvPr>
        <xdr:cNvSpPr/>
      </xdr:nvSpPr>
      <xdr:spPr>
        <a:xfrm>
          <a:off x="552450" y="1015196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103</xdr:row>
      <xdr:rowOff>76200</xdr:rowOff>
    </xdr:from>
    <xdr:to>
      <xdr:col>0</xdr:col>
      <xdr:colOff>704850</xdr:colOff>
      <xdr:row>103</xdr:row>
      <xdr:rowOff>190500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8663C46B-FD76-4864-9FB8-883C16C4407B}"/>
            </a:ext>
          </a:extLst>
        </xdr:cNvPr>
        <xdr:cNvSpPr/>
      </xdr:nvSpPr>
      <xdr:spPr>
        <a:xfrm>
          <a:off x="552450" y="10385612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102</xdr:row>
      <xdr:rowOff>66675</xdr:rowOff>
    </xdr:from>
    <xdr:to>
      <xdr:col>0</xdr:col>
      <xdr:colOff>704850</xdr:colOff>
      <xdr:row>102</xdr:row>
      <xdr:rowOff>180975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187B4933-B3E2-4661-925B-EE2C479E2281}"/>
            </a:ext>
          </a:extLst>
        </xdr:cNvPr>
        <xdr:cNvSpPr/>
      </xdr:nvSpPr>
      <xdr:spPr>
        <a:xfrm>
          <a:off x="552450" y="1020799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103</xdr:row>
      <xdr:rowOff>76200</xdr:rowOff>
    </xdr:from>
    <xdr:to>
      <xdr:col>0</xdr:col>
      <xdr:colOff>704850</xdr:colOff>
      <xdr:row>103</xdr:row>
      <xdr:rowOff>190500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44F66A4-47CF-4C93-A395-469B59059579}"/>
            </a:ext>
          </a:extLst>
        </xdr:cNvPr>
        <xdr:cNvSpPr/>
      </xdr:nvSpPr>
      <xdr:spPr>
        <a:xfrm>
          <a:off x="552450" y="10441641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154</xdr:row>
      <xdr:rowOff>66675</xdr:rowOff>
    </xdr:from>
    <xdr:to>
      <xdr:col>0</xdr:col>
      <xdr:colOff>704850</xdr:colOff>
      <xdr:row>154</xdr:row>
      <xdr:rowOff>180975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8927142-3F02-4B3B-96B6-6EB6BB1F9C80}"/>
            </a:ext>
          </a:extLst>
        </xdr:cNvPr>
        <xdr:cNvSpPr/>
      </xdr:nvSpPr>
      <xdr:spPr>
        <a:xfrm>
          <a:off x="552450" y="2057344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155</xdr:row>
      <xdr:rowOff>76200</xdr:rowOff>
    </xdr:from>
    <xdr:to>
      <xdr:col>0</xdr:col>
      <xdr:colOff>704850</xdr:colOff>
      <xdr:row>155</xdr:row>
      <xdr:rowOff>190500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D7F7201E-62A8-4B28-9524-CEB9EBA8406E}"/>
            </a:ext>
          </a:extLst>
        </xdr:cNvPr>
        <xdr:cNvSpPr/>
      </xdr:nvSpPr>
      <xdr:spPr>
        <a:xfrm>
          <a:off x="552450" y="20807082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154</xdr:row>
      <xdr:rowOff>66675</xdr:rowOff>
    </xdr:from>
    <xdr:to>
      <xdr:col>0</xdr:col>
      <xdr:colOff>704850</xdr:colOff>
      <xdr:row>154</xdr:row>
      <xdr:rowOff>180975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5C04D4E-17A7-4D88-8904-1C5FE5EBDD11}"/>
            </a:ext>
          </a:extLst>
        </xdr:cNvPr>
        <xdr:cNvSpPr/>
      </xdr:nvSpPr>
      <xdr:spPr>
        <a:xfrm>
          <a:off x="552450" y="2057344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155</xdr:row>
      <xdr:rowOff>76200</xdr:rowOff>
    </xdr:from>
    <xdr:to>
      <xdr:col>0</xdr:col>
      <xdr:colOff>704850</xdr:colOff>
      <xdr:row>155</xdr:row>
      <xdr:rowOff>190500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97D362B-8657-430E-8C87-2C97F88C6340}"/>
            </a:ext>
          </a:extLst>
        </xdr:cNvPr>
        <xdr:cNvSpPr/>
      </xdr:nvSpPr>
      <xdr:spPr>
        <a:xfrm>
          <a:off x="552450" y="20807082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154</xdr:row>
      <xdr:rowOff>66675</xdr:rowOff>
    </xdr:from>
    <xdr:to>
      <xdr:col>0</xdr:col>
      <xdr:colOff>704850</xdr:colOff>
      <xdr:row>154</xdr:row>
      <xdr:rowOff>180975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7D73A51-3083-43DB-8E3D-6D62D86C3E07}"/>
            </a:ext>
          </a:extLst>
        </xdr:cNvPr>
        <xdr:cNvSpPr/>
      </xdr:nvSpPr>
      <xdr:spPr>
        <a:xfrm>
          <a:off x="552450" y="2057344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155</xdr:row>
      <xdr:rowOff>76200</xdr:rowOff>
    </xdr:from>
    <xdr:to>
      <xdr:col>0</xdr:col>
      <xdr:colOff>704850</xdr:colOff>
      <xdr:row>155</xdr:row>
      <xdr:rowOff>190500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FF66804-E369-4F42-9653-E1D0B12EAA6A}"/>
            </a:ext>
          </a:extLst>
        </xdr:cNvPr>
        <xdr:cNvSpPr/>
      </xdr:nvSpPr>
      <xdr:spPr>
        <a:xfrm>
          <a:off x="552450" y="20807082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154</xdr:row>
      <xdr:rowOff>66675</xdr:rowOff>
    </xdr:from>
    <xdr:to>
      <xdr:col>0</xdr:col>
      <xdr:colOff>704850</xdr:colOff>
      <xdr:row>154</xdr:row>
      <xdr:rowOff>180975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CA03CB6-702C-44EF-8AD6-4BC0B1947F0A}"/>
            </a:ext>
          </a:extLst>
        </xdr:cNvPr>
        <xdr:cNvSpPr/>
      </xdr:nvSpPr>
      <xdr:spPr>
        <a:xfrm>
          <a:off x="552450" y="2057344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155</xdr:row>
      <xdr:rowOff>76200</xdr:rowOff>
    </xdr:from>
    <xdr:to>
      <xdr:col>0</xdr:col>
      <xdr:colOff>704850</xdr:colOff>
      <xdr:row>155</xdr:row>
      <xdr:rowOff>190500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E1912C8E-2BB1-4599-9E8A-C653800EBF0B}"/>
            </a:ext>
          </a:extLst>
        </xdr:cNvPr>
        <xdr:cNvSpPr/>
      </xdr:nvSpPr>
      <xdr:spPr>
        <a:xfrm>
          <a:off x="552450" y="20807082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154</xdr:row>
      <xdr:rowOff>66675</xdr:rowOff>
    </xdr:from>
    <xdr:to>
      <xdr:col>0</xdr:col>
      <xdr:colOff>704850</xdr:colOff>
      <xdr:row>154</xdr:row>
      <xdr:rowOff>180975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3515E638-895C-442F-8E97-7A1CEB6D8668}"/>
            </a:ext>
          </a:extLst>
        </xdr:cNvPr>
        <xdr:cNvSpPr/>
      </xdr:nvSpPr>
      <xdr:spPr>
        <a:xfrm>
          <a:off x="552450" y="2057344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155</xdr:row>
      <xdr:rowOff>76200</xdr:rowOff>
    </xdr:from>
    <xdr:to>
      <xdr:col>0</xdr:col>
      <xdr:colOff>704850</xdr:colOff>
      <xdr:row>155</xdr:row>
      <xdr:rowOff>190500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570CBC36-55ED-4F50-B6EA-D7B490F2EB76}"/>
            </a:ext>
          </a:extLst>
        </xdr:cNvPr>
        <xdr:cNvSpPr/>
      </xdr:nvSpPr>
      <xdr:spPr>
        <a:xfrm>
          <a:off x="552450" y="20807082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154</xdr:row>
      <xdr:rowOff>66675</xdr:rowOff>
    </xdr:from>
    <xdr:to>
      <xdr:col>0</xdr:col>
      <xdr:colOff>704850</xdr:colOff>
      <xdr:row>154</xdr:row>
      <xdr:rowOff>180975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F5333C71-779E-45D7-8F18-344963260B80}"/>
            </a:ext>
          </a:extLst>
        </xdr:cNvPr>
        <xdr:cNvSpPr/>
      </xdr:nvSpPr>
      <xdr:spPr>
        <a:xfrm>
          <a:off x="552450" y="20573440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155</xdr:row>
      <xdr:rowOff>76200</xdr:rowOff>
    </xdr:from>
    <xdr:to>
      <xdr:col>0</xdr:col>
      <xdr:colOff>704850</xdr:colOff>
      <xdr:row>155</xdr:row>
      <xdr:rowOff>190500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426B4BE3-308F-40CE-99ED-2B8038BF40D8}"/>
            </a:ext>
          </a:extLst>
        </xdr:cNvPr>
        <xdr:cNvSpPr/>
      </xdr:nvSpPr>
      <xdr:spPr>
        <a:xfrm>
          <a:off x="552450" y="20807082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208</xdr:row>
      <xdr:rowOff>66675</xdr:rowOff>
    </xdr:from>
    <xdr:to>
      <xdr:col>0</xdr:col>
      <xdr:colOff>704850</xdr:colOff>
      <xdr:row>208</xdr:row>
      <xdr:rowOff>180975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5C67B75-EDD9-40C5-972B-03337BC1209A}"/>
            </a:ext>
          </a:extLst>
        </xdr:cNvPr>
        <xdr:cNvSpPr/>
      </xdr:nvSpPr>
      <xdr:spPr>
        <a:xfrm>
          <a:off x="552450" y="31196616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208</xdr:row>
      <xdr:rowOff>66675</xdr:rowOff>
    </xdr:from>
    <xdr:to>
      <xdr:col>0</xdr:col>
      <xdr:colOff>704850</xdr:colOff>
      <xdr:row>208</xdr:row>
      <xdr:rowOff>180975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EED45FB9-96C7-43CE-A293-E8259E4E5E38}"/>
            </a:ext>
          </a:extLst>
        </xdr:cNvPr>
        <xdr:cNvSpPr/>
      </xdr:nvSpPr>
      <xdr:spPr>
        <a:xfrm>
          <a:off x="552450" y="31196616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209</xdr:row>
      <xdr:rowOff>76200</xdr:rowOff>
    </xdr:from>
    <xdr:to>
      <xdr:col>0</xdr:col>
      <xdr:colOff>704850</xdr:colOff>
      <xdr:row>209</xdr:row>
      <xdr:rowOff>190500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6C99EB9-6249-4B13-97CD-CAC9AA9D2530}"/>
            </a:ext>
          </a:extLst>
        </xdr:cNvPr>
        <xdr:cNvSpPr/>
      </xdr:nvSpPr>
      <xdr:spPr>
        <a:xfrm>
          <a:off x="552450" y="3143025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208</xdr:row>
      <xdr:rowOff>66675</xdr:rowOff>
    </xdr:from>
    <xdr:to>
      <xdr:col>0</xdr:col>
      <xdr:colOff>704850</xdr:colOff>
      <xdr:row>208</xdr:row>
      <xdr:rowOff>180975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811D371-F6D6-4F83-ABF2-C5AB1E5F921B}"/>
            </a:ext>
          </a:extLst>
        </xdr:cNvPr>
        <xdr:cNvSpPr/>
      </xdr:nvSpPr>
      <xdr:spPr>
        <a:xfrm>
          <a:off x="552450" y="31196616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209</xdr:row>
      <xdr:rowOff>76200</xdr:rowOff>
    </xdr:from>
    <xdr:to>
      <xdr:col>0</xdr:col>
      <xdr:colOff>704850</xdr:colOff>
      <xdr:row>209</xdr:row>
      <xdr:rowOff>190500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2BCCC49-A1B8-4B7A-BDF1-ACD05A522D21}"/>
            </a:ext>
          </a:extLst>
        </xdr:cNvPr>
        <xdr:cNvSpPr/>
      </xdr:nvSpPr>
      <xdr:spPr>
        <a:xfrm>
          <a:off x="552450" y="3143025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208</xdr:row>
      <xdr:rowOff>66675</xdr:rowOff>
    </xdr:from>
    <xdr:to>
      <xdr:col>0</xdr:col>
      <xdr:colOff>704850</xdr:colOff>
      <xdr:row>208</xdr:row>
      <xdr:rowOff>180975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59E2E10C-C00D-439F-99CA-E3E22D7A9503}"/>
            </a:ext>
          </a:extLst>
        </xdr:cNvPr>
        <xdr:cNvSpPr/>
      </xdr:nvSpPr>
      <xdr:spPr>
        <a:xfrm>
          <a:off x="552450" y="31196616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209</xdr:row>
      <xdr:rowOff>76200</xdr:rowOff>
    </xdr:from>
    <xdr:to>
      <xdr:col>0</xdr:col>
      <xdr:colOff>704850</xdr:colOff>
      <xdr:row>209</xdr:row>
      <xdr:rowOff>190500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B707381F-3598-4C7F-A083-F1C0BEE51F04}"/>
            </a:ext>
          </a:extLst>
        </xdr:cNvPr>
        <xdr:cNvSpPr/>
      </xdr:nvSpPr>
      <xdr:spPr>
        <a:xfrm>
          <a:off x="552450" y="3143025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208</xdr:row>
      <xdr:rowOff>66675</xdr:rowOff>
    </xdr:from>
    <xdr:to>
      <xdr:col>0</xdr:col>
      <xdr:colOff>704850</xdr:colOff>
      <xdr:row>208</xdr:row>
      <xdr:rowOff>180975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ED09DE84-AC74-4B55-AFD3-6F0B9A480010}"/>
            </a:ext>
          </a:extLst>
        </xdr:cNvPr>
        <xdr:cNvSpPr/>
      </xdr:nvSpPr>
      <xdr:spPr>
        <a:xfrm>
          <a:off x="552450" y="31196616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209</xdr:row>
      <xdr:rowOff>76200</xdr:rowOff>
    </xdr:from>
    <xdr:to>
      <xdr:col>0</xdr:col>
      <xdr:colOff>704850</xdr:colOff>
      <xdr:row>209</xdr:row>
      <xdr:rowOff>190500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D2B5080-3246-4CCF-B9DF-1044679731A6}"/>
            </a:ext>
          </a:extLst>
        </xdr:cNvPr>
        <xdr:cNvSpPr/>
      </xdr:nvSpPr>
      <xdr:spPr>
        <a:xfrm>
          <a:off x="552450" y="3143025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208</xdr:row>
      <xdr:rowOff>66675</xdr:rowOff>
    </xdr:from>
    <xdr:to>
      <xdr:col>0</xdr:col>
      <xdr:colOff>704850</xdr:colOff>
      <xdr:row>208</xdr:row>
      <xdr:rowOff>180975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3D3483B-3A02-4AE5-8CAE-6C7E00E4CD49}"/>
            </a:ext>
          </a:extLst>
        </xdr:cNvPr>
        <xdr:cNvSpPr/>
      </xdr:nvSpPr>
      <xdr:spPr>
        <a:xfrm>
          <a:off x="552450" y="31196616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209</xdr:row>
      <xdr:rowOff>76200</xdr:rowOff>
    </xdr:from>
    <xdr:to>
      <xdr:col>0</xdr:col>
      <xdr:colOff>704850</xdr:colOff>
      <xdr:row>209</xdr:row>
      <xdr:rowOff>190500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FFA0C591-6594-4CAF-BDE9-1D5006B1714C}"/>
            </a:ext>
          </a:extLst>
        </xdr:cNvPr>
        <xdr:cNvSpPr/>
      </xdr:nvSpPr>
      <xdr:spPr>
        <a:xfrm>
          <a:off x="552450" y="3143025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208</xdr:row>
      <xdr:rowOff>66675</xdr:rowOff>
    </xdr:from>
    <xdr:to>
      <xdr:col>0</xdr:col>
      <xdr:colOff>704850</xdr:colOff>
      <xdr:row>208</xdr:row>
      <xdr:rowOff>180975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731D8782-C3D4-4E8C-8468-7D68C62E2166}"/>
            </a:ext>
          </a:extLst>
        </xdr:cNvPr>
        <xdr:cNvSpPr/>
      </xdr:nvSpPr>
      <xdr:spPr>
        <a:xfrm>
          <a:off x="552450" y="31196616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552450</xdr:colOff>
      <xdr:row>209</xdr:row>
      <xdr:rowOff>76200</xdr:rowOff>
    </xdr:from>
    <xdr:to>
      <xdr:col>0</xdr:col>
      <xdr:colOff>704850</xdr:colOff>
      <xdr:row>209</xdr:row>
      <xdr:rowOff>190500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AF77949A-2E1F-4AC4-A7D7-1EE7429BF927}"/>
            </a:ext>
          </a:extLst>
        </xdr:cNvPr>
        <xdr:cNvSpPr/>
      </xdr:nvSpPr>
      <xdr:spPr>
        <a:xfrm>
          <a:off x="552450" y="31430259"/>
          <a:ext cx="152400" cy="114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6"/>
  <sheetViews>
    <sheetView tabSelected="1" topLeftCell="A53" workbookViewId="0">
      <selection activeCell="N70" sqref="N70"/>
    </sheetView>
  </sheetViews>
  <sheetFormatPr baseColWidth="10" defaultRowHeight="11.25"/>
  <cols>
    <col min="1" max="1" width="17.6640625" customWidth="1"/>
    <col min="2" max="2" width="3.5" style="32" hidden="1" customWidth="1"/>
    <col min="3" max="3" width="32.33203125" customWidth="1"/>
    <col min="4" max="4" width="2" style="32" customWidth="1"/>
    <col min="5" max="5" width="26.1640625" customWidth="1"/>
    <col min="6" max="6" width="2" style="32" customWidth="1"/>
    <col min="7" max="7" width="17" customWidth="1"/>
    <col min="8" max="8" width="12.1640625" customWidth="1"/>
    <col min="9" max="9" width="12.33203125" bestFit="1" customWidth="1"/>
  </cols>
  <sheetData>
    <row r="1" spans="1:12" ht="13.9" customHeight="1">
      <c r="A1" s="166"/>
      <c r="B1" s="150" t="s">
        <v>44</v>
      </c>
      <c r="C1" s="151"/>
      <c r="D1" s="151"/>
      <c r="E1" s="151"/>
      <c r="F1" s="151"/>
      <c r="G1" s="152"/>
      <c r="H1" s="14" t="s">
        <v>24</v>
      </c>
    </row>
    <row r="2" spans="1:12" ht="13.9" customHeight="1">
      <c r="A2" s="166"/>
      <c r="B2" s="153"/>
      <c r="C2" s="154"/>
      <c r="D2" s="154"/>
      <c r="E2" s="154"/>
      <c r="F2" s="154"/>
      <c r="G2" s="155"/>
      <c r="H2" s="14" t="s">
        <v>51</v>
      </c>
    </row>
    <row r="3" spans="1:12" ht="13.9" customHeight="1">
      <c r="A3" s="166"/>
      <c r="B3" s="153"/>
      <c r="C3" s="154"/>
      <c r="D3" s="154"/>
      <c r="E3" s="154"/>
      <c r="F3" s="154"/>
      <c r="G3" s="155"/>
      <c r="H3" s="25">
        <v>44008</v>
      </c>
    </row>
    <row r="4" spans="1:12" ht="13.9" customHeight="1">
      <c r="A4" s="166"/>
      <c r="B4" s="156"/>
      <c r="C4" s="157"/>
      <c r="D4" s="157"/>
      <c r="E4" s="157"/>
      <c r="F4" s="157"/>
      <c r="G4" s="158"/>
      <c r="H4" s="15" t="s">
        <v>27</v>
      </c>
    </row>
    <row r="5" spans="1:12" ht="15.75">
      <c r="A5" s="190" t="s">
        <v>36</v>
      </c>
      <c r="B5" s="190"/>
      <c r="C5" s="190"/>
      <c r="D5" s="190"/>
      <c r="E5" s="190"/>
      <c r="F5" s="190"/>
      <c r="G5" s="190"/>
      <c r="H5" s="190"/>
    </row>
    <row r="6" spans="1:12" ht="12.75">
      <c r="A6" s="191"/>
      <c r="B6" s="191"/>
      <c r="C6" s="191"/>
      <c r="D6" s="191"/>
      <c r="E6" s="191"/>
      <c r="F6" s="191"/>
      <c r="G6" s="191"/>
      <c r="H6" s="191"/>
      <c r="K6" s="32"/>
      <c r="L6" s="32"/>
    </row>
    <row r="7" spans="1:12" s="32" customFormat="1" ht="12.75">
      <c r="A7" s="170" t="s">
        <v>50</v>
      </c>
      <c r="B7" s="171"/>
      <c r="C7" s="172"/>
      <c r="D7" s="192" t="s">
        <v>60</v>
      </c>
      <c r="E7" s="193"/>
      <c r="F7" s="193"/>
      <c r="G7" s="193"/>
      <c r="H7" s="172"/>
      <c r="K7"/>
      <c r="L7"/>
    </row>
    <row r="8" spans="1:12" ht="12.75">
      <c r="A8" s="170" t="s">
        <v>22</v>
      </c>
      <c r="B8" s="171"/>
      <c r="C8" s="177"/>
      <c r="D8" s="194">
        <v>46002</v>
      </c>
      <c r="E8" s="171"/>
      <c r="F8" s="171"/>
      <c r="G8" s="171"/>
      <c r="H8" s="177"/>
    </row>
    <row r="9" spans="1:12" ht="12.75">
      <c r="A9" s="170" t="s">
        <v>26</v>
      </c>
      <c r="B9" s="171"/>
      <c r="C9" s="177"/>
      <c r="D9" s="170" t="s">
        <v>78</v>
      </c>
      <c r="E9" s="171"/>
      <c r="F9" s="171"/>
      <c r="G9" s="171"/>
      <c r="H9" s="177"/>
    </row>
    <row r="10" spans="1:12" ht="12.75">
      <c r="A10" s="195" t="s">
        <v>37</v>
      </c>
      <c r="B10" s="196"/>
      <c r="C10" s="197"/>
      <c r="D10" s="178" t="s">
        <v>65</v>
      </c>
      <c r="E10" s="179"/>
      <c r="F10" s="179"/>
      <c r="G10" s="179"/>
      <c r="H10" s="180"/>
    </row>
    <row r="11" spans="1:12" ht="12.75">
      <c r="A11" s="170" t="s">
        <v>17</v>
      </c>
      <c r="B11" s="171"/>
      <c r="C11" s="177"/>
      <c r="D11" s="170" t="s">
        <v>61</v>
      </c>
      <c r="E11" s="171"/>
      <c r="F11" s="171"/>
      <c r="G11" s="171"/>
      <c r="H11" s="177"/>
    </row>
    <row r="12" spans="1:12" ht="12.75">
      <c r="A12" s="182" t="s">
        <v>3</v>
      </c>
      <c r="B12" s="183"/>
      <c r="C12" s="184"/>
      <c r="D12" s="182" t="s">
        <v>63</v>
      </c>
      <c r="E12" s="183"/>
      <c r="F12" s="183"/>
      <c r="G12" s="183"/>
      <c r="H12" s="184"/>
    </row>
    <row r="13" spans="1:12">
      <c r="A13" s="32"/>
      <c r="C13" s="32"/>
      <c r="E13" s="32"/>
      <c r="G13" s="32"/>
      <c r="H13" s="32"/>
    </row>
    <row r="14" spans="1:12" ht="12.75">
      <c r="A14" s="17"/>
      <c r="B14" s="17"/>
      <c r="C14" s="17"/>
      <c r="D14" s="17"/>
      <c r="E14" s="17"/>
      <c r="F14" s="17"/>
      <c r="G14" s="17"/>
      <c r="H14" s="17"/>
      <c r="K14" s="125"/>
      <c r="L14" s="126"/>
    </row>
    <row r="15" spans="1:12" ht="12.75">
      <c r="A15" s="159" t="s">
        <v>9</v>
      </c>
      <c r="B15" s="160"/>
      <c r="C15" s="29" t="s">
        <v>10</v>
      </c>
      <c r="D15" s="159" t="s">
        <v>11</v>
      </c>
      <c r="E15" s="189"/>
      <c r="F15" s="160"/>
      <c r="G15" s="29" t="s">
        <v>1</v>
      </c>
      <c r="H15" s="29" t="s">
        <v>0</v>
      </c>
      <c r="I15" s="78" t="s">
        <v>77</v>
      </c>
    </row>
    <row r="16" spans="1:12" ht="12.75">
      <c r="A16" s="164" t="s">
        <v>73</v>
      </c>
      <c r="B16" s="165"/>
      <c r="C16" s="50" t="s">
        <v>66</v>
      </c>
      <c r="D16" s="70"/>
      <c r="E16" s="76">
        <v>3</v>
      </c>
      <c r="F16" s="71"/>
      <c r="G16" s="106">
        <f>SUM(E16*100/$E$31)</f>
        <v>30</v>
      </c>
      <c r="H16" s="50"/>
      <c r="I16" s="94">
        <f>E16/40</f>
        <v>7.4999999999999997E-2</v>
      </c>
      <c r="K16" s="32"/>
      <c r="L16" s="32"/>
    </row>
    <row r="17" spans="1:12" s="32" customFormat="1" ht="12.75">
      <c r="A17" s="100" t="s">
        <v>64</v>
      </c>
      <c r="B17" s="101"/>
      <c r="C17" s="104" t="s">
        <v>74</v>
      </c>
      <c r="D17" s="102"/>
      <c r="E17" s="76">
        <v>1</v>
      </c>
      <c r="F17" s="103"/>
      <c r="G17" s="106">
        <f t="shared" ref="G17:G31" si="0">SUM(E17*100/$E$31)</f>
        <v>10</v>
      </c>
      <c r="H17" s="104"/>
      <c r="I17" s="94">
        <f t="shared" ref="I17:I22" si="1">E17/40</f>
        <v>2.5000000000000001E-2</v>
      </c>
      <c r="K17"/>
      <c r="L17"/>
    </row>
    <row r="18" spans="1:12" s="32" customFormat="1" ht="12.75">
      <c r="A18" s="128" t="s">
        <v>71</v>
      </c>
      <c r="B18" s="129"/>
      <c r="C18" s="132" t="s">
        <v>70</v>
      </c>
      <c r="D18" s="130"/>
      <c r="E18" s="76">
        <v>2</v>
      </c>
      <c r="F18" s="131"/>
      <c r="G18" s="106">
        <f t="shared" si="0"/>
        <v>20</v>
      </c>
      <c r="H18" s="132"/>
      <c r="I18" s="94">
        <f t="shared" si="1"/>
        <v>0.05</v>
      </c>
    </row>
    <row r="19" spans="1:12" ht="12.75">
      <c r="A19" s="164" t="s">
        <v>72</v>
      </c>
      <c r="B19" s="165"/>
      <c r="C19" s="50" t="s">
        <v>67</v>
      </c>
      <c r="D19" s="70"/>
      <c r="E19" s="76">
        <v>2</v>
      </c>
      <c r="F19" s="71"/>
      <c r="G19" s="106">
        <f t="shared" si="0"/>
        <v>20</v>
      </c>
      <c r="H19" s="50"/>
      <c r="I19" s="94">
        <f t="shared" si="1"/>
        <v>0.05</v>
      </c>
    </row>
    <row r="20" spans="1:12" ht="12.75">
      <c r="A20" s="164" t="s">
        <v>75</v>
      </c>
      <c r="B20" s="165"/>
      <c r="C20" s="85" t="s">
        <v>68</v>
      </c>
      <c r="D20" s="70"/>
      <c r="E20" s="76">
        <v>1.5</v>
      </c>
      <c r="F20" s="71"/>
      <c r="G20" s="106">
        <f t="shared" si="0"/>
        <v>15</v>
      </c>
      <c r="H20" s="50"/>
      <c r="I20" s="94">
        <f t="shared" si="1"/>
        <v>3.7499999999999999E-2</v>
      </c>
      <c r="K20" s="32"/>
      <c r="L20" s="32"/>
    </row>
    <row r="21" spans="1:12" s="32" customFormat="1" ht="12.75">
      <c r="A21" s="79" t="s">
        <v>76</v>
      </c>
      <c r="B21" s="80"/>
      <c r="C21" s="85" t="s">
        <v>69</v>
      </c>
      <c r="D21" s="82"/>
      <c r="E21" s="76">
        <v>0.5</v>
      </c>
      <c r="F21" s="84"/>
      <c r="G21" s="106">
        <f t="shared" si="0"/>
        <v>5</v>
      </c>
      <c r="H21" s="85"/>
      <c r="I21" s="94">
        <f t="shared" si="1"/>
        <v>1.2500000000000001E-2</v>
      </c>
    </row>
    <row r="22" spans="1:12" s="32" customFormat="1" ht="12.75">
      <c r="A22" s="107"/>
      <c r="B22" s="108"/>
      <c r="C22" s="109"/>
      <c r="D22" s="105"/>
      <c r="E22" s="110"/>
      <c r="F22" s="103"/>
      <c r="G22" s="106">
        <f t="shared" si="0"/>
        <v>0</v>
      </c>
      <c r="H22" s="104"/>
      <c r="I22" s="94">
        <f t="shared" si="1"/>
        <v>0</v>
      </c>
      <c r="K22"/>
      <c r="L22"/>
    </row>
    <row r="23" spans="1:12" ht="12.75">
      <c r="A23" s="164"/>
      <c r="B23" s="165"/>
      <c r="C23" s="90"/>
      <c r="D23" s="70"/>
      <c r="E23" s="76"/>
      <c r="F23" s="71"/>
      <c r="G23" s="106">
        <f t="shared" si="0"/>
        <v>0</v>
      </c>
      <c r="H23" s="50"/>
      <c r="I23" s="94"/>
      <c r="K23" s="86"/>
      <c r="L23" s="86"/>
    </row>
    <row r="24" spans="1:12" s="86" customFormat="1" ht="12.75">
      <c r="A24" s="88"/>
      <c r="B24" s="89"/>
      <c r="C24" s="90"/>
      <c r="D24" s="91"/>
      <c r="E24" s="92"/>
      <c r="F24" s="93"/>
      <c r="G24" s="106">
        <f t="shared" si="0"/>
        <v>0</v>
      </c>
      <c r="H24" s="90"/>
      <c r="I24" s="94"/>
      <c r="K24"/>
      <c r="L24"/>
    </row>
    <row r="25" spans="1:12" ht="12.75">
      <c r="A25" s="164"/>
      <c r="B25" s="165"/>
      <c r="C25" s="85"/>
      <c r="D25" s="70"/>
      <c r="E25" s="76"/>
      <c r="F25" s="71"/>
      <c r="G25" s="106">
        <f t="shared" si="0"/>
        <v>0</v>
      </c>
      <c r="H25" s="50"/>
      <c r="I25" s="94">
        <f>SUM(I16:I24)</f>
        <v>0.25</v>
      </c>
    </row>
    <row r="26" spans="1:12" ht="12.75">
      <c r="A26" s="164"/>
      <c r="B26" s="165"/>
      <c r="C26" s="50"/>
      <c r="D26" s="70"/>
      <c r="E26" s="76"/>
      <c r="F26" s="71"/>
      <c r="G26" s="106">
        <f t="shared" si="0"/>
        <v>0</v>
      </c>
      <c r="H26" s="50"/>
      <c r="I26" s="94"/>
    </row>
    <row r="27" spans="1:12" ht="12.75">
      <c r="A27" s="164"/>
      <c r="B27" s="165"/>
      <c r="C27" s="50"/>
      <c r="D27" s="70"/>
      <c r="E27" s="83"/>
      <c r="F27" s="71"/>
      <c r="G27" s="106">
        <f t="shared" si="0"/>
        <v>0</v>
      </c>
      <c r="H27" s="50"/>
      <c r="I27" s="94"/>
    </row>
    <row r="28" spans="1:12" ht="12.75">
      <c r="A28" s="164"/>
      <c r="B28" s="165"/>
      <c r="C28" s="50"/>
      <c r="D28" s="73"/>
      <c r="E28" s="83"/>
      <c r="F28" s="75"/>
      <c r="G28" s="85">
        <f t="shared" si="0"/>
        <v>0</v>
      </c>
      <c r="H28" s="50"/>
      <c r="I28" s="94"/>
    </row>
    <row r="29" spans="1:12" ht="12.75">
      <c r="A29" s="164"/>
      <c r="B29" s="165"/>
      <c r="C29" s="50"/>
      <c r="D29" s="73"/>
      <c r="E29" s="74"/>
      <c r="F29" s="75"/>
      <c r="G29" s="85">
        <f t="shared" si="0"/>
        <v>0</v>
      </c>
      <c r="H29" s="50"/>
      <c r="I29" s="94"/>
    </row>
    <row r="30" spans="1:12" ht="12.75">
      <c r="A30" s="164"/>
      <c r="B30" s="165"/>
      <c r="C30" s="65"/>
      <c r="D30" s="73"/>
      <c r="E30" s="74"/>
      <c r="F30" s="75"/>
      <c r="G30" s="72">
        <f t="shared" si="0"/>
        <v>0</v>
      </c>
      <c r="H30" s="50"/>
    </row>
    <row r="31" spans="1:12" ht="12.75">
      <c r="A31" s="34"/>
      <c r="B31" s="34"/>
      <c r="C31" s="66" t="s">
        <v>2</v>
      </c>
      <c r="D31" s="74"/>
      <c r="E31" s="74">
        <f>SUM(E16:E30)</f>
        <v>10</v>
      </c>
      <c r="F31" s="75"/>
      <c r="G31" s="72">
        <f t="shared" si="0"/>
        <v>100</v>
      </c>
      <c r="H31" s="50"/>
    </row>
    <row r="32" spans="1:12" ht="12.75">
      <c r="A32" s="34"/>
      <c r="B32" s="34"/>
      <c r="C32" s="34"/>
      <c r="D32" s="34"/>
      <c r="E32" s="34"/>
      <c r="F32" s="34"/>
      <c r="G32" s="34"/>
      <c r="H32" s="34"/>
    </row>
    <row r="33" spans="1:9" ht="12.75">
      <c r="A33" s="26" t="s">
        <v>15</v>
      </c>
      <c r="B33" s="26"/>
      <c r="C33" s="24"/>
      <c r="D33" s="24"/>
      <c r="E33" s="34"/>
      <c r="F33" s="34"/>
      <c r="G33" s="34"/>
      <c r="H33" s="34"/>
    </row>
    <row r="34" spans="1:9" ht="12.75">
      <c r="A34" s="23"/>
      <c r="B34" s="23"/>
      <c r="C34" s="27" t="s">
        <v>18</v>
      </c>
      <c r="D34" s="27"/>
      <c r="E34" s="50"/>
      <c r="F34" s="34"/>
      <c r="G34" s="34"/>
      <c r="H34" s="34"/>
    </row>
    <row r="35" spans="1:9" ht="12.75">
      <c r="A35" s="23"/>
      <c r="B35" s="23"/>
      <c r="C35" s="27" t="s">
        <v>19</v>
      </c>
      <c r="D35" s="27"/>
      <c r="E35" s="50"/>
      <c r="F35" s="34"/>
      <c r="G35" s="34"/>
      <c r="H35" s="34"/>
    </row>
    <row r="36" spans="1:9" ht="12.75">
      <c r="A36" s="51"/>
      <c r="B36" s="57"/>
      <c r="C36" s="22"/>
      <c r="D36" s="22"/>
      <c r="E36" s="34"/>
      <c r="F36" s="34"/>
      <c r="G36" s="34"/>
      <c r="H36" s="34"/>
    </row>
    <row r="37" spans="1:9" ht="15.75">
      <c r="A37" s="20" t="s">
        <v>33</v>
      </c>
      <c r="B37" s="20"/>
      <c r="C37" s="34"/>
      <c r="D37" s="34"/>
      <c r="E37" s="19"/>
      <c r="F37" s="19"/>
      <c r="G37" s="19"/>
      <c r="H37" s="34"/>
    </row>
    <row r="38" spans="1:9" ht="12.75">
      <c r="A38" s="149"/>
      <c r="B38" s="149"/>
      <c r="C38" s="149"/>
      <c r="D38" s="149"/>
      <c r="E38" s="149"/>
      <c r="F38" s="149"/>
      <c r="G38" s="149"/>
      <c r="H38" s="149"/>
    </row>
    <row r="39" spans="1:9" ht="12.75">
      <c r="A39" s="51" t="s">
        <v>13</v>
      </c>
      <c r="B39" s="57"/>
      <c r="C39" s="51"/>
      <c r="D39" s="57"/>
      <c r="E39" s="51"/>
      <c r="F39" s="87"/>
      <c r="G39" s="87"/>
      <c r="H39" s="51"/>
    </row>
    <row r="40" spans="1:9" ht="13.5" thickBot="1">
      <c r="A40" s="26" t="s">
        <v>23</v>
      </c>
      <c r="B40" s="26"/>
      <c r="C40" s="51"/>
      <c r="D40" s="57"/>
      <c r="E40" s="87"/>
      <c r="F40" s="87"/>
      <c r="G40" s="87"/>
      <c r="H40" s="51"/>
    </row>
    <row r="41" spans="1:9" ht="13.5" thickBot="1">
      <c r="A41" s="52" t="s">
        <v>12</v>
      </c>
      <c r="B41" s="58"/>
      <c r="C41" s="52"/>
      <c r="D41" s="99"/>
      <c r="E41" s="87" t="s">
        <v>20</v>
      </c>
      <c r="F41" s="127"/>
      <c r="G41" s="228" t="s">
        <v>21</v>
      </c>
      <c r="H41" s="229" t="s">
        <v>79</v>
      </c>
      <c r="I41" s="230"/>
    </row>
    <row r="42" spans="1:9" ht="12.75">
      <c r="A42" s="52"/>
      <c r="B42" s="58"/>
      <c r="C42" s="52"/>
      <c r="D42" s="227"/>
      <c r="E42" s="87" t="s">
        <v>62</v>
      </c>
      <c r="F42" s="87"/>
      <c r="G42" s="98"/>
      <c r="H42" s="19"/>
    </row>
    <row r="43" spans="1:9" ht="15.75">
      <c r="A43" s="28" t="s">
        <v>34</v>
      </c>
      <c r="B43" s="28"/>
      <c r="C43" s="52"/>
      <c r="D43" s="58"/>
      <c r="E43" s="35"/>
      <c r="F43" s="35"/>
      <c r="G43" s="35"/>
      <c r="H43" s="19"/>
    </row>
    <row r="44" spans="1:9" ht="12.75">
      <c r="A44" s="149"/>
      <c r="B44" s="149"/>
      <c r="C44" s="149"/>
      <c r="D44" s="149"/>
      <c r="E44" s="149"/>
      <c r="F44" s="149"/>
      <c r="G44" s="149"/>
      <c r="H44" s="149"/>
    </row>
    <row r="45" spans="1:9" ht="12.75">
      <c r="A45" s="185" t="s">
        <v>4</v>
      </c>
      <c r="B45" s="186"/>
      <c r="C45" s="164"/>
      <c r="D45" s="181"/>
      <c r="E45" s="181"/>
      <c r="F45" s="181"/>
      <c r="G45" s="181"/>
      <c r="H45" s="165"/>
    </row>
    <row r="46" spans="1:9" ht="12.75">
      <c r="A46" s="187" t="s">
        <v>14</v>
      </c>
      <c r="B46" s="188"/>
      <c r="C46" s="164"/>
      <c r="D46" s="181"/>
      <c r="E46" s="181"/>
      <c r="F46" s="181"/>
      <c r="G46" s="181"/>
      <c r="H46" s="165"/>
    </row>
    <row r="47" spans="1:9" ht="12.75">
      <c r="A47" s="52"/>
      <c r="B47" s="58"/>
      <c r="C47" s="52"/>
      <c r="D47" s="58"/>
      <c r="E47" s="35"/>
      <c r="F47" s="35"/>
      <c r="G47" s="35"/>
      <c r="H47" s="19"/>
    </row>
    <row r="48" spans="1:9" ht="15.75">
      <c r="A48" s="53" t="s">
        <v>35</v>
      </c>
      <c r="B48" s="55"/>
      <c r="C48" s="54"/>
      <c r="D48" s="56"/>
      <c r="E48" s="54"/>
      <c r="F48" s="56"/>
      <c r="G48" s="35"/>
      <c r="H48" s="19"/>
    </row>
    <row r="49" spans="1:12" ht="13.5" thickBot="1">
      <c r="A49" s="149"/>
      <c r="B49" s="149"/>
      <c r="C49" s="149"/>
      <c r="D49" s="149"/>
      <c r="E49" s="149"/>
      <c r="F49" s="149"/>
      <c r="G49" s="149"/>
      <c r="H49" s="149"/>
    </row>
    <row r="50" spans="1:12" ht="15" customHeight="1" thickBot="1">
      <c r="A50" s="17" t="s">
        <v>7</v>
      </c>
      <c r="B50" s="64"/>
      <c r="C50" s="198" t="s">
        <v>54</v>
      </c>
      <c r="D50" s="199"/>
      <c r="E50" s="199"/>
      <c r="F50" s="199"/>
      <c r="G50" s="199"/>
      <c r="H50" s="199"/>
      <c r="K50" s="32"/>
      <c r="L50" s="32"/>
    </row>
    <row r="51" spans="1:12" s="32" customFormat="1" ht="16.149999999999999" customHeight="1" thickBot="1">
      <c r="A51" s="17"/>
      <c r="B51" s="17"/>
      <c r="C51" s="43"/>
      <c r="D51" s="43"/>
      <c r="E51" s="43"/>
      <c r="F51" s="43"/>
      <c r="G51" s="43"/>
      <c r="H51" s="43"/>
      <c r="K51"/>
      <c r="L51"/>
    </row>
    <row r="52" spans="1:12" ht="18.600000000000001" customHeight="1" thickBot="1">
      <c r="A52" s="51" t="s">
        <v>8</v>
      </c>
      <c r="B52" s="63"/>
      <c r="C52" s="228" t="s">
        <v>55</v>
      </c>
      <c r="D52" s="228"/>
      <c r="E52" s="228"/>
      <c r="F52" s="228"/>
      <c r="G52" s="228"/>
      <c r="H52" s="43"/>
      <c r="K52" s="32"/>
      <c r="L52" s="32"/>
    </row>
    <row r="53" spans="1:12" s="32" customFormat="1" ht="18" customHeight="1">
      <c r="A53" s="57"/>
      <c r="B53" s="17"/>
      <c r="C53" s="43"/>
      <c r="D53" s="43"/>
      <c r="E53" s="43"/>
      <c r="F53" s="43"/>
      <c r="G53" s="43"/>
      <c r="H53" s="43"/>
      <c r="K53"/>
      <c r="L53"/>
    </row>
    <row r="54" spans="1:12" ht="12.75">
      <c r="A54" s="51"/>
      <c r="B54" s="57"/>
      <c r="C54" s="43"/>
      <c r="D54" s="43"/>
      <c r="E54" s="43"/>
      <c r="F54" s="43"/>
      <c r="G54" s="43"/>
      <c r="H54" s="43"/>
    </row>
    <row r="55" spans="1:12" ht="13.9" customHeight="1">
      <c r="A55" s="166"/>
      <c r="B55" s="150" t="s">
        <v>44</v>
      </c>
      <c r="C55" s="151"/>
      <c r="D55" s="151"/>
      <c r="E55" s="151"/>
      <c r="F55" s="151"/>
      <c r="G55" s="152"/>
      <c r="H55" s="14" t="s">
        <v>24</v>
      </c>
    </row>
    <row r="56" spans="1:12" ht="13.9" customHeight="1">
      <c r="A56" s="166"/>
      <c r="B56" s="153"/>
      <c r="C56" s="154"/>
      <c r="D56" s="154"/>
      <c r="E56" s="154"/>
      <c r="F56" s="154"/>
      <c r="G56" s="155"/>
      <c r="H56" s="14" t="s">
        <v>51</v>
      </c>
    </row>
    <row r="57" spans="1:12" ht="13.9" customHeight="1">
      <c r="A57" s="166"/>
      <c r="B57" s="153"/>
      <c r="C57" s="154"/>
      <c r="D57" s="154"/>
      <c r="E57" s="154"/>
      <c r="F57" s="154"/>
      <c r="G57" s="155"/>
      <c r="H57" s="25">
        <v>44008</v>
      </c>
    </row>
    <row r="58" spans="1:12" ht="13.9" customHeight="1">
      <c r="A58" s="166"/>
      <c r="B58" s="156"/>
      <c r="C58" s="157"/>
      <c r="D58" s="157"/>
      <c r="E58" s="157"/>
      <c r="F58" s="157"/>
      <c r="G58" s="158"/>
      <c r="H58" s="15" t="s">
        <v>28</v>
      </c>
    </row>
    <row r="59" spans="1:12" ht="26.25">
      <c r="A59" s="16"/>
      <c r="B59" s="16"/>
      <c r="C59" s="48"/>
      <c r="D59" s="48"/>
      <c r="E59" s="48"/>
      <c r="F59" s="48"/>
      <c r="G59" s="48"/>
      <c r="H59" s="12"/>
    </row>
    <row r="60" spans="1:12" ht="12.75">
      <c r="A60" s="161" t="s">
        <v>22</v>
      </c>
      <c r="B60" s="162"/>
      <c r="C60" s="163"/>
      <c r="D60" s="117"/>
      <c r="E60" s="167" t="s">
        <v>80</v>
      </c>
      <c r="F60" s="168"/>
      <c r="G60" s="168"/>
      <c r="H60" s="169"/>
    </row>
    <row r="61" spans="1:12" ht="12.75">
      <c r="A61" s="146" t="s">
        <v>40</v>
      </c>
      <c r="B61" s="147"/>
      <c r="C61" s="148"/>
      <c r="D61" s="118"/>
      <c r="E61" s="143" t="s">
        <v>81</v>
      </c>
      <c r="F61" s="144"/>
      <c r="G61" s="144"/>
      <c r="H61" s="145"/>
    </row>
    <row r="62" spans="1:12" ht="25.5" customHeight="1">
      <c r="A62" s="146" t="s">
        <v>39</v>
      </c>
      <c r="B62" s="147"/>
      <c r="C62" s="148"/>
      <c r="D62" s="118"/>
      <c r="E62" s="143" t="s">
        <v>82</v>
      </c>
      <c r="F62" s="144"/>
      <c r="G62" s="144"/>
      <c r="H62" s="145"/>
    </row>
    <row r="63" spans="1:12" ht="12.75">
      <c r="A63" s="49"/>
      <c r="B63" s="49"/>
      <c r="C63" s="49"/>
      <c r="D63" s="49"/>
      <c r="E63" s="49"/>
      <c r="F63" s="49"/>
      <c r="G63" s="49"/>
      <c r="H63" s="49"/>
    </row>
    <row r="64" spans="1:12" ht="15.75">
      <c r="A64" s="200" t="s">
        <v>31</v>
      </c>
      <c r="B64" s="200"/>
      <c r="C64" s="200"/>
      <c r="D64" s="200"/>
      <c r="E64" s="200"/>
      <c r="F64" s="200"/>
      <c r="G64" s="200"/>
      <c r="H64" s="200"/>
    </row>
    <row r="65" spans="1:9" ht="12.75">
      <c r="A65" s="201"/>
      <c r="B65" s="201"/>
      <c r="C65" s="201"/>
      <c r="D65" s="201"/>
      <c r="E65" s="201"/>
      <c r="F65" s="201"/>
      <c r="G65" s="201"/>
      <c r="H65" s="201"/>
    </row>
    <row r="66" spans="1:9" ht="12.75">
      <c r="A66" s="17"/>
      <c r="B66" s="17"/>
      <c r="C66" s="17"/>
      <c r="D66" s="17"/>
      <c r="E66" s="17"/>
      <c r="F66" s="17"/>
      <c r="G66" s="17"/>
      <c r="H66" s="17"/>
    </row>
    <row r="67" spans="1:9" ht="12.75">
      <c r="A67" s="159" t="s">
        <v>9</v>
      </c>
      <c r="B67" s="160"/>
      <c r="C67" s="159" t="s">
        <v>10</v>
      </c>
      <c r="D67" s="160"/>
      <c r="E67" s="159" t="s">
        <v>11</v>
      </c>
      <c r="F67" s="160"/>
      <c r="G67" s="29" t="s">
        <v>1</v>
      </c>
      <c r="H67" s="81" t="s">
        <v>0</v>
      </c>
      <c r="I67" s="78" t="s">
        <v>77</v>
      </c>
    </row>
    <row r="68" spans="1:9" ht="12.75">
      <c r="A68" s="164" t="s">
        <v>73</v>
      </c>
      <c r="B68" s="165"/>
      <c r="C68" s="137" t="s">
        <v>66</v>
      </c>
      <c r="D68" s="135"/>
      <c r="E68" s="76">
        <v>0.5</v>
      </c>
      <c r="F68" s="77"/>
      <c r="G68" s="50">
        <f>SUM(E68*100/$E$80)</f>
        <v>5</v>
      </c>
      <c r="H68" s="79"/>
      <c r="I68" s="94">
        <f>E68/40</f>
        <v>1.2500000000000001E-2</v>
      </c>
    </row>
    <row r="69" spans="1:9" s="32" customFormat="1" ht="12.75">
      <c r="A69" s="133" t="s">
        <v>83</v>
      </c>
      <c r="B69" s="134"/>
      <c r="C69" s="137" t="s">
        <v>84</v>
      </c>
      <c r="D69" s="135"/>
      <c r="E69" s="76">
        <v>2.5</v>
      </c>
      <c r="F69" s="136"/>
      <c r="G69" s="137">
        <f t="shared" ref="G69:G72" si="2">SUM(E69*100/$E$80)</f>
        <v>25</v>
      </c>
      <c r="H69" s="133"/>
      <c r="I69" s="94">
        <f t="shared" ref="I69:I74" si="3">E69/40</f>
        <v>6.25E-2</v>
      </c>
    </row>
    <row r="70" spans="1:9" ht="12.75">
      <c r="A70" s="133" t="s">
        <v>64</v>
      </c>
      <c r="B70" s="134"/>
      <c r="C70" s="137" t="s">
        <v>74</v>
      </c>
      <c r="D70" s="135"/>
      <c r="E70" s="76">
        <v>1</v>
      </c>
      <c r="F70" s="77"/>
      <c r="G70" s="137">
        <f t="shared" si="2"/>
        <v>10</v>
      </c>
      <c r="H70" s="79"/>
      <c r="I70" s="94">
        <f t="shared" si="3"/>
        <v>2.5000000000000001E-2</v>
      </c>
    </row>
    <row r="71" spans="1:9" ht="12.75">
      <c r="A71" s="133" t="s">
        <v>71</v>
      </c>
      <c r="B71" s="134"/>
      <c r="C71" s="137" t="s">
        <v>70</v>
      </c>
      <c r="D71" s="135"/>
      <c r="E71" s="76">
        <v>2</v>
      </c>
      <c r="F71" s="77"/>
      <c r="G71" s="137">
        <f t="shared" si="2"/>
        <v>20</v>
      </c>
      <c r="H71" s="79"/>
      <c r="I71" s="94">
        <f t="shared" si="3"/>
        <v>0.05</v>
      </c>
    </row>
    <row r="72" spans="1:9" ht="12.75">
      <c r="A72" s="164" t="s">
        <v>72</v>
      </c>
      <c r="B72" s="165"/>
      <c r="C72" s="137" t="s">
        <v>67</v>
      </c>
      <c r="D72" s="135"/>
      <c r="E72" s="76">
        <v>2</v>
      </c>
      <c r="F72" s="77"/>
      <c r="G72" s="137">
        <f t="shared" si="2"/>
        <v>20</v>
      </c>
      <c r="H72" s="79"/>
      <c r="I72" s="94">
        <f t="shared" si="3"/>
        <v>0.05</v>
      </c>
    </row>
    <row r="73" spans="1:9" ht="12.75">
      <c r="A73" s="164" t="s">
        <v>75</v>
      </c>
      <c r="B73" s="165"/>
      <c r="C73" s="137" t="s">
        <v>68</v>
      </c>
      <c r="D73" s="135"/>
      <c r="E73" s="76">
        <v>1.5</v>
      </c>
      <c r="F73" s="96"/>
      <c r="G73" s="97">
        <f t="shared" ref="G70:G80" si="4">SUM(E73*100/$E$80)</f>
        <v>15</v>
      </c>
      <c r="H73" s="79"/>
      <c r="I73" s="94">
        <f t="shared" si="3"/>
        <v>3.7499999999999999E-2</v>
      </c>
    </row>
    <row r="74" spans="1:9" ht="12.75">
      <c r="A74" s="133" t="s">
        <v>76</v>
      </c>
      <c r="B74" s="134"/>
      <c r="C74" s="137" t="s">
        <v>69</v>
      </c>
      <c r="D74" s="135"/>
      <c r="E74" s="76">
        <v>0.5</v>
      </c>
      <c r="F74" s="96"/>
      <c r="G74" s="97">
        <f t="shared" si="4"/>
        <v>5</v>
      </c>
      <c r="H74" s="79"/>
      <c r="I74" s="94">
        <f t="shared" si="3"/>
        <v>1.2500000000000001E-2</v>
      </c>
    </row>
    <row r="75" spans="1:9" ht="12.75">
      <c r="A75" s="164"/>
      <c r="B75" s="165"/>
      <c r="C75" s="90"/>
      <c r="D75" s="120"/>
      <c r="E75" s="76"/>
      <c r="F75" s="96"/>
      <c r="G75" s="97">
        <f t="shared" si="4"/>
        <v>0</v>
      </c>
      <c r="H75" s="50"/>
      <c r="I75" s="94"/>
    </row>
    <row r="76" spans="1:9" ht="12.75">
      <c r="A76" s="88"/>
      <c r="B76" s="89"/>
      <c r="C76" s="90"/>
      <c r="D76" s="120"/>
      <c r="E76" s="92"/>
      <c r="F76" s="96"/>
      <c r="G76" s="97">
        <f t="shared" si="4"/>
        <v>0</v>
      </c>
      <c r="H76" s="50"/>
      <c r="I76" s="94"/>
    </row>
    <row r="77" spans="1:9" ht="12.75">
      <c r="A77" s="164"/>
      <c r="B77" s="165"/>
      <c r="C77" s="111"/>
      <c r="D77" s="121"/>
      <c r="E77" s="76"/>
      <c r="F77" s="96"/>
      <c r="G77" s="97">
        <f t="shared" si="4"/>
        <v>0</v>
      </c>
      <c r="H77" s="50"/>
      <c r="I77" s="94">
        <f>SUM(I68:I76)</f>
        <v>0.25</v>
      </c>
    </row>
    <row r="78" spans="1:9" ht="12.75">
      <c r="A78" s="164"/>
      <c r="B78" s="165"/>
      <c r="C78" s="122"/>
      <c r="D78" s="123"/>
      <c r="E78" s="122"/>
      <c r="F78" s="123"/>
      <c r="G78" s="97">
        <f t="shared" si="4"/>
        <v>0</v>
      </c>
      <c r="H78" s="50"/>
    </row>
    <row r="79" spans="1:9" ht="12.75">
      <c r="A79" s="164"/>
      <c r="B79" s="165"/>
      <c r="C79" s="124"/>
      <c r="D79" s="119"/>
      <c r="E79" s="122"/>
      <c r="F79" s="123"/>
      <c r="G79" s="97">
        <f t="shared" si="4"/>
        <v>0</v>
      </c>
      <c r="H79" s="50"/>
    </row>
    <row r="80" spans="1:9" ht="12.75">
      <c r="A80" s="34"/>
      <c r="B80" s="34"/>
      <c r="C80" s="202" t="s">
        <v>2</v>
      </c>
      <c r="D80" s="203"/>
      <c r="E80" s="95">
        <f>SUM(E68:E79)</f>
        <v>10</v>
      </c>
      <c r="F80" s="96"/>
      <c r="G80" s="97">
        <f t="shared" si="4"/>
        <v>100</v>
      </c>
      <c r="H80" s="50"/>
    </row>
    <row r="81" spans="1:8" ht="12.75">
      <c r="A81" s="34"/>
      <c r="B81" s="34"/>
      <c r="C81" s="34"/>
      <c r="D81" s="34"/>
      <c r="E81" s="34"/>
      <c r="F81" s="34"/>
      <c r="G81" s="34"/>
      <c r="H81" s="34"/>
    </row>
    <row r="82" spans="1:8" ht="12.75">
      <c r="A82" s="26" t="s">
        <v>15</v>
      </c>
      <c r="B82" s="26"/>
      <c r="C82" s="24"/>
      <c r="D82" s="24"/>
      <c r="E82" s="34"/>
      <c r="F82" s="34"/>
      <c r="G82" s="34"/>
      <c r="H82" s="34"/>
    </row>
    <row r="83" spans="1:8" ht="12.75">
      <c r="A83" s="23"/>
      <c r="B83" s="23"/>
      <c r="C83" s="27" t="s">
        <v>18</v>
      </c>
      <c r="D83" s="27"/>
      <c r="E83" s="50"/>
      <c r="F83" s="34"/>
      <c r="G83" s="34"/>
      <c r="H83" s="34"/>
    </row>
    <row r="84" spans="1:8" ht="12.75">
      <c r="A84" s="23"/>
      <c r="B84" s="23"/>
      <c r="C84" s="27" t="s">
        <v>19</v>
      </c>
      <c r="D84" s="27"/>
      <c r="E84" s="50"/>
      <c r="F84" s="34"/>
      <c r="G84" s="34"/>
      <c r="H84" s="34"/>
    </row>
    <row r="85" spans="1:8" ht="12.75">
      <c r="A85" s="51"/>
      <c r="B85" s="57"/>
      <c r="C85" s="34"/>
      <c r="D85" s="34"/>
      <c r="E85" s="19"/>
      <c r="F85" s="19"/>
      <c r="G85" s="19"/>
      <c r="H85" s="34"/>
    </row>
    <row r="86" spans="1:8" ht="15.75">
      <c r="A86" s="20" t="s">
        <v>33</v>
      </c>
      <c r="B86" s="20"/>
      <c r="C86" s="34"/>
      <c r="D86" s="34"/>
      <c r="E86" s="19"/>
      <c r="F86" s="19"/>
      <c r="G86" s="19"/>
      <c r="H86" s="34"/>
    </row>
    <row r="87" spans="1:8" ht="12.75">
      <c r="A87" s="149"/>
      <c r="B87" s="149"/>
      <c r="C87" s="149"/>
      <c r="D87" s="149"/>
      <c r="E87" s="149"/>
      <c r="F87" s="149"/>
      <c r="G87" s="149"/>
      <c r="H87" s="149"/>
    </row>
    <row r="88" spans="1:8" ht="12.75">
      <c r="A88" s="51" t="s">
        <v>13</v>
      </c>
      <c r="B88" s="57"/>
      <c r="C88" s="51"/>
      <c r="D88" s="57"/>
      <c r="E88" s="51"/>
      <c r="F88" s="87"/>
      <c r="G88" s="87"/>
      <c r="H88" s="51"/>
    </row>
    <row r="89" spans="1:8" ht="13.5" thickBot="1">
      <c r="A89" s="26" t="s">
        <v>23</v>
      </c>
      <c r="B89" s="26"/>
      <c r="C89" s="51"/>
      <c r="D89" s="57"/>
      <c r="E89" s="51"/>
      <c r="F89" s="87"/>
      <c r="G89" s="87"/>
      <c r="H89" s="51"/>
    </row>
    <row r="90" spans="1:8" ht="13.5" thickBot="1">
      <c r="A90" s="52" t="s">
        <v>12</v>
      </c>
      <c r="B90" s="58"/>
      <c r="C90" s="52"/>
      <c r="D90" s="99"/>
      <c r="E90" s="87" t="s">
        <v>20</v>
      </c>
      <c r="F90" s="62"/>
      <c r="G90" s="43" t="s">
        <v>21</v>
      </c>
      <c r="H90" s="19"/>
    </row>
    <row r="91" spans="1:8" ht="12.75">
      <c r="A91" s="52"/>
      <c r="B91" s="58"/>
      <c r="C91" s="52"/>
      <c r="D91" s="58"/>
      <c r="E91" s="51"/>
      <c r="F91" s="57"/>
      <c r="G91" s="43"/>
      <c r="H91" s="19"/>
    </row>
    <row r="92" spans="1:8" ht="15.75">
      <c r="A92" s="28" t="s">
        <v>34</v>
      </c>
      <c r="B92" s="28"/>
      <c r="C92" s="52"/>
      <c r="D92" s="58"/>
      <c r="E92" s="35"/>
      <c r="F92" s="35"/>
      <c r="G92" s="35"/>
      <c r="H92" s="19"/>
    </row>
    <row r="93" spans="1:8" ht="12.75">
      <c r="A93" s="149"/>
      <c r="B93" s="149"/>
      <c r="C93" s="149"/>
      <c r="D93" s="149"/>
      <c r="E93" s="149"/>
      <c r="F93" s="149"/>
      <c r="G93" s="149"/>
      <c r="H93" s="149"/>
    </row>
    <row r="94" spans="1:8" ht="12.75">
      <c r="A94" s="204" t="s">
        <v>4</v>
      </c>
      <c r="B94" s="205"/>
      <c r="C94" s="140"/>
      <c r="D94" s="140"/>
      <c r="E94" s="140"/>
      <c r="F94" s="140"/>
      <c r="G94" s="140"/>
      <c r="H94" s="140"/>
    </row>
    <row r="95" spans="1:8" ht="12.75">
      <c r="A95" s="141" t="s">
        <v>14</v>
      </c>
      <c r="B95" s="142"/>
      <c r="C95" s="140"/>
      <c r="D95" s="140"/>
      <c r="E95" s="140"/>
      <c r="F95" s="140"/>
      <c r="G95" s="140"/>
      <c r="H95" s="140"/>
    </row>
    <row r="96" spans="1:8" ht="12.75">
      <c r="A96" s="52"/>
      <c r="B96" s="58"/>
      <c r="C96" s="52"/>
      <c r="D96" s="58"/>
      <c r="E96" s="35"/>
      <c r="F96" s="35"/>
      <c r="G96" s="35"/>
      <c r="H96" s="19"/>
    </row>
    <row r="97" spans="1:12" ht="15.75">
      <c r="A97" s="53" t="s">
        <v>35</v>
      </c>
      <c r="B97" s="55"/>
      <c r="C97" s="54"/>
      <c r="D97" s="56"/>
      <c r="E97" s="54"/>
      <c r="F97" s="56"/>
      <c r="G97" s="35"/>
      <c r="H97" s="19"/>
    </row>
    <row r="98" spans="1:12" ht="13.5" thickBot="1">
      <c r="A98" s="149"/>
      <c r="B98" s="149"/>
      <c r="C98" s="149"/>
      <c r="D98" s="149"/>
      <c r="E98" s="149"/>
      <c r="F98" s="149"/>
      <c r="G98" s="149"/>
      <c r="H98" s="149"/>
    </row>
    <row r="99" spans="1:12" ht="16.899999999999999" customHeight="1" thickBot="1">
      <c r="A99" s="51" t="s">
        <v>7</v>
      </c>
      <c r="B99" s="64"/>
      <c r="C99" s="43" t="s">
        <v>54</v>
      </c>
      <c r="D99" s="43"/>
      <c r="E99" s="43"/>
      <c r="F99" s="43"/>
      <c r="G99" s="43"/>
      <c r="H99" s="43"/>
      <c r="K99" s="32"/>
      <c r="L99" s="32"/>
    </row>
    <row r="100" spans="1:12" s="32" customFormat="1" ht="13.5" thickBot="1">
      <c r="A100" s="57"/>
      <c r="B100" s="17"/>
      <c r="C100" s="43"/>
      <c r="D100" s="43"/>
      <c r="E100" s="43"/>
      <c r="F100" s="43"/>
      <c r="G100" s="43"/>
      <c r="H100" s="43"/>
      <c r="K100"/>
      <c r="L100"/>
    </row>
    <row r="101" spans="1:12" ht="16.899999999999999" customHeight="1" thickBot="1">
      <c r="A101" s="51" t="s">
        <v>8</v>
      </c>
      <c r="B101" s="64"/>
      <c r="C101" s="43" t="s">
        <v>56</v>
      </c>
      <c r="D101" s="43"/>
      <c r="E101" s="43"/>
      <c r="F101" s="43"/>
      <c r="G101" s="43"/>
      <c r="H101" s="43"/>
    </row>
    <row r="102" spans="1:12" ht="12.75">
      <c r="A102" s="51"/>
      <c r="B102" s="57"/>
      <c r="C102" s="43"/>
      <c r="D102" s="43"/>
      <c r="E102" s="43"/>
      <c r="F102" s="43"/>
      <c r="G102" s="43"/>
      <c r="H102" s="43"/>
    </row>
    <row r="103" spans="1:12" ht="13.9" customHeight="1">
      <c r="A103" s="166"/>
      <c r="B103" s="150" t="s">
        <v>44</v>
      </c>
      <c r="C103" s="151"/>
      <c r="D103" s="151"/>
      <c r="E103" s="151"/>
      <c r="F103" s="151"/>
      <c r="G103" s="152"/>
      <c r="H103" s="14" t="s">
        <v>24</v>
      </c>
    </row>
    <row r="104" spans="1:12" ht="13.9" customHeight="1">
      <c r="A104" s="166"/>
      <c r="B104" s="153"/>
      <c r="C104" s="154"/>
      <c r="D104" s="154"/>
      <c r="E104" s="154"/>
      <c r="F104" s="154"/>
      <c r="G104" s="155"/>
      <c r="H104" s="14" t="s">
        <v>51</v>
      </c>
    </row>
    <row r="105" spans="1:12" ht="13.9" customHeight="1">
      <c r="A105" s="166"/>
      <c r="B105" s="153"/>
      <c r="C105" s="154"/>
      <c r="D105" s="154"/>
      <c r="E105" s="154"/>
      <c r="F105" s="154"/>
      <c r="G105" s="155"/>
      <c r="H105" s="25">
        <v>44008</v>
      </c>
    </row>
    <row r="106" spans="1:12" ht="13.9" customHeight="1">
      <c r="A106" s="166"/>
      <c r="B106" s="156"/>
      <c r="C106" s="157"/>
      <c r="D106" s="157"/>
      <c r="E106" s="157"/>
      <c r="F106" s="157"/>
      <c r="G106" s="158"/>
      <c r="H106" s="15" t="s">
        <v>29</v>
      </c>
    </row>
    <row r="107" spans="1:12" ht="26.25">
      <c r="A107" s="16"/>
      <c r="B107" s="16"/>
      <c r="C107" s="48"/>
      <c r="D107" s="48"/>
      <c r="E107" s="48"/>
      <c r="F107" s="48"/>
      <c r="G107" s="48"/>
      <c r="H107" s="12"/>
    </row>
    <row r="108" spans="1:12" ht="12.75">
      <c r="A108" s="161" t="s">
        <v>22</v>
      </c>
      <c r="B108" s="162"/>
      <c r="C108" s="163"/>
      <c r="D108" s="117"/>
      <c r="E108" s="167"/>
      <c r="F108" s="168"/>
      <c r="G108" s="168"/>
      <c r="H108" s="169"/>
    </row>
    <row r="109" spans="1:12" ht="12.75">
      <c r="A109" s="146" t="s">
        <v>40</v>
      </c>
      <c r="B109" s="147"/>
      <c r="C109" s="148"/>
      <c r="D109" s="118"/>
      <c r="E109" s="143"/>
      <c r="F109" s="144"/>
      <c r="G109" s="144"/>
      <c r="H109" s="145"/>
    </row>
    <row r="110" spans="1:12" ht="13.9" customHeight="1">
      <c r="A110" s="146" t="s">
        <v>39</v>
      </c>
      <c r="B110" s="147"/>
      <c r="C110" s="148"/>
      <c r="D110" s="118"/>
      <c r="E110" s="143"/>
      <c r="F110" s="144"/>
      <c r="G110" s="144"/>
      <c r="H110" s="145"/>
    </row>
    <row r="111" spans="1:12" ht="26.25">
      <c r="A111" s="16"/>
      <c r="B111" s="16"/>
      <c r="C111" s="48"/>
      <c r="D111" s="48"/>
      <c r="E111" s="48"/>
      <c r="F111" s="48"/>
      <c r="G111" s="48"/>
      <c r="H111" s="12"/>
    </row>
    <row r="112" spans="1:12" ht="15.75">
      <c r="A112" s="175" t="s">
        <v>31</v>
      </c>
      <c r="B112" s="175"/>
      <c r="C112" s="175"/>
      <c r="D112" s="175"/>
      <c r="E112" s="175"/>
      <c r="F112" s="59"/>
      <c r="G112" s="16"/>
      <c r="H112" s="12"/>
    </row>
    <row r="113" spans="1:8" ht="12.75">
      <c r="A113" s="176"/>
      <c r="B113" s="176"/>
      <c r="C113" s="176"/>
      <c r="D113" s="176"/>
      <c r="E113" s="176"/>
      <c r="F113" s="176"/>
      <c r="G113" s="176"/>
      <c r="H113" s="176"/>
    </row>
    <row r="114" spans="1:8" ht="12.75">
      <c r="A114" s="17"/>
      <c r="B114" s="17"/>
      <c r="C114" s="17"/>
      <c r="D114" s="17"/>
      <c r="E114" s="17"/>
      <c r="F114" s="17"/>
      <c r="G114" s="17"/>
      <c r="H114" s="17"/>
    </row>
    <row r="115" spans="1:8" ht="12.75">
      <c r="A115" s="159" t="s">
        <v>9</v>
      </c>
      <c r="B115" s="160"/>
      <c r="C115" s="159" t="s">
        <v>10</v>
      </c>
      <c r="D115" s="160"/>
      <c r="E115" s="159" t="s">
        <v>11</v>
      </c>
      <c r="F115" s="160"/>
      <c r="G115" s="29" t="s">
        <v>1</v>
      </c>
      <c r="H115" s="29" t="s">
        <v>0</v>
      </c>
    </row>
    <row r="116" spans="1:8" ht="12.75">
      <c r="A116" s="164"/>
      <c r="B116" s="165"/>
      <c r="C116" s="164"/>
      <c r="D116" s="165"/>
      <c r="E116" s="114"/>
      <c r="F116" s="115"/>
      <c r="G116" s="50" t="e">
        <f>SUM(E116*100/$E$127)</f>
        <v>#DIV/0!</v>
      </c>
      <c r="H116" s="50"/>
    </row>
    <row r="117" spans="1:8" ht="12.75">
      <c r="A117" s="112"/>
      <c r="B117" s="113"/>
      <c r="C117" s="164"/>
      <c r="D117" s="165"/>
      <c r="E117" s="114"/>
      <c r="F117" s="115"/>
      <c r="G117" s="116" t="e">
        <f t="shared" ref="G117:G127" si="5">SUM(E117*100/$E$127)</f>
        <v>#DIV/0!</v>
      </c>
      <c r="H117" s="50"/>
    </row>
    <row r="118" spans="1:8" ht="12.75">
      <c r="A118" s="164"/>
      <c r="B118" s="165"/>
      <c r="C118" s="164"/>
      <c r="D118" s="165"/>
      <c r="E118" s="114"/>
      <c r="F118" s="115"/>
      <c r="G118" s="116" t="e">
        <f t="shared" si="5"/>
        <v>#DIV/0!</v>
      </c>
      <c r="H118" s="50"/>
    </row>
    <row r="119" spans="1:8" ht="12.75">
      <c r="A119" s="164"/>
      <c r="B119" s="165"/>
      <c r="C119" s="164"/>
      <c r="D119" s="165"/>
      <c r="E119" s="114"/>
      <c r="F119" s="115"/>
      <c r="G119" s="116" t="e">
        <f t="shared" si="5"/>
        <v>#DIV/0!</v>
      </c>
      <c r="H119" s="50"/>
    </row>
    <row r="120" spans="1:8" ht="12.75">
      <c r="A120" s="112"/>
      <c r="B120" s="113"/>
      <c r="C120" s="164"/>
      <c r="D120" s="165"/>
      <c r="E120" s="114"/>
      <c r="F120" s="115"/>
      <c r="G120" s="116" t="e">
        <f t="shared" si="5"/>
        <v>#DIV/0!</v>
      </c>
      <c r="H120" s="50"/>
    </row>
    <row r="121" spans="1:8" ht="12.75">
      <c r="A121" s="107"/>
      <c r="B121" s="108"/>
      <c r="C121" s="164"/>
      <c r="D121" s="165"/>
      <c r="E121" s="114"/>
      <c r="F121" s="115"/>
      <c r="G121" s="116" t="e">
        <f t="shared" si="5"/>
        <v>#DIV/0!</v>
      </c>
      <c r="H121" s="50"/>
    </row>
    <row r="122" spans="1:8" ht="12.75">
      <c r="A122" s="164"/>
      <c r="B122" s="165"/>
      <c r="C122" s="164"/>
      <c r="D122" s="165"/>
      <c r="E122" s="114"/>
      <c r="F122" s="115"/>
      <c r="G122" s="116" t="e">
        <f t="shared" si="5"/>
        <v>#DIV/0!</v>
      </c>
      <c r="H122" s="50"/>
    </row>
    <row r="123" spans="1:8" ht="12.75">
      <c r="A123" s="88"/>
      <c r="B123" s="89"/>
      <c r="C123" s="164"/>
      <c r="D123" s="165"/>
      <c r="E123" s="114"/>
      <c r="F123" s="115"/>
      <c r="G123" s="116" t="e">
        <f t="shared" si="5"/>
        <v>#DIV/0!</v>
      </c>
      <c r="H123" s="50"/>
    </row>
    <row r="124" spans="1:8" ht="12.75">
      <c r="A124" s="164"/>
      <c r="B124" s="165"/>
      <c r="C124" s="164"/>
      <c r="D124" s="165"/>
      <c r="E124" s="114"/>
      <c r="F124" s="115"/>
      <c r="G124" s="116" t="e">
        <f t="shared" si="5"/>
        <v>#DIV/0!</v>
      </c>
      <c r="H124" s="50"/>
    </row>
    <row r="125" spans="1:8" ht="12.75">
      <c r="A125" s="164"/>
      <c r="B125" s="165"/>
      <c r="C125" s="164"/>
      <c r="D125" s="165"/>
      <c r="E125" s="114"/>
      <c r="F125" s="115"/>
      <c r="G125" s="116" t="e">
        <f t="shared" si="5"/>
        <v>#DIV/0!</v>
      </c>
      <c r="H125" s="50"/>
    </row>
    <row r="126" spans="1:8" ht="12.75">
      <c r="A126" s="164"/>
      <c r="B126" s="165"/>
      <c r="C126" s="164"/>
      <c r="D126" s="165"/>
      <c r="E126" s="114"/>
      <c r="F126" s="115"/>
      <c r="G126" s="116" t="e">
        <f t="shared" si="5"/>
        <v>#DIV/0!</v>
      </c>
      <c r="H126" s="50"/>
    </row>
    <row r="127" spans="1:8" ht="12.75">
      <c r="A127" s="34"/>
      <c r="B127" s="34"/>
      <c r="C127" s="34" t="s">
        <v>2</v>
      </c>
      <c r="D127" s="34"/>
      <c r="E127" s="114">
        <f>SUM(E116:E126)</f>
        <v>0</v>
      </c>
      <c r="F127" s="115"/>
      <c r="G127" s="116" t="e">
        <f t="shared" si="5"/>
        <v>#DIV/0!</v>
      </c>
      <c r="H127" s="50"/>
    </row>
    <row r="128" spans="1:8" ht="12.75">
      <c r="A128" s="34"/>
      <c r="B128" s="34"/>
      <c r="C128" s="34"/>
      <c r="D128" s="34"/>
      <c r="E128" s="34"/>
      <c r="F128" s="34"/>
      <c r="G128" s="34"/>
      <c r="H128" s="34"/>
    </row>
    <row r="129" spans="1:8" ht="12.75">
      <c r="A129" s="26" t="s">
        <v>15</v>
      </c>
      <c r="B129" s="26"/>
      <c r="C129" s="24"/>
      <c r="D129" s="24"/>
      <c r="E129" s="34"/>
      <c r="F129" s="34"/>
      <c r="G129" s="34"/>
      <c r="H129" s="34"/>
    </row>
    <row r="130" spans="1:8" ht="12.75">
      <c r="A130" s="23"/>
      <c r="B130" s="23"/>
      <c r="C130" s="27" t="s">
        <v>18</v>
      </c>
      <c r="D130" s="27"/>
      <c r="E130" s="50"/>
      <c r="F130" s="34"/>
      <c r="G130" s="34"/>
      <c r="H130" s="34"/>
    </row>
    <row r="131" spans="1:8" ht="12.75">
      <c r="A131" s="23"/>
      <c r="B131" s="23"/>
      <c r="C131" s="27" t="s">
        <v>19</v>
      </c>
      <c r="D131" s="27"/>
      <c r="E131" s="50"/>
      <c r="F131" s="34"/>
      <c r="G131" s="34"/>
      <c r="H131" s="34"/>
    </row>
    <row r="132" spans="1:8" ht="12.75">
      <c r="A132" s="51"/>
      <c r="B132" s="57"/>
      <c r="C132" s="34"/>
      <c r="D132" s="34"/>
      <c r="E132" s="19"/>
      <c r="F132" s="19"/>
      <c r="G132" s="19"/>
      <c r="H132" s="34"/>
    </row>
    <row r="133" spans="1:8" ht="15.75">
      <c r="A133" s="20" t="s">
        <v>33</v>
      </c>
      <c r="B133" s="20"/>
      <c r="C133" s="34"/>
      <c r="D133" s="34"/>
      <c r="E133" s="19"/>
      <c r="F133" s="19"/>
      <c r="G133" s="19"/>
      <c r="H133" s="34"/>
    </row>
    <row r="134" spans="1:8" ht="12.75">
      <c r="A134" s="149"/>
      <c r="B134" s="149"/>
      <c r="C134" s="149"/>
      <c r="D134" s="149"/>
      <c r="E134" s="149"/>
      <c r="F134" s="149"/>
      <c r="G134" s="149"/>
      <c r="H134" s="149"/>
    </row>
    <row r="135" spans="1:8" ht="12.75">
      <c r="A135" s="173" t="s">
        <v>13</v>
      </c>
      <c r="B135" s="173"/>
      <c r="C135" s="173"/>
      <c r="D135" s="173"/>
      <c r="E135" s="173"/>
      <c r="F135" s="57"/>
      <c r="G135" s="51"/>
      <c r="H135" s="51"/>
    </row>
    <row r="136" spans="1:8" ht="13.5" thickBot="1">
      <c r="A136" s="26" t="s">
        <v>23</v>
      </c>
      <c r="B136" s="26"/>
      <c r="C136" s="51"/>
      <c r="D136" s="57"/>
      <c r="E136" s="51"/>
      <c r="F136" s="57"/>
      <c r="G136" s="51"/>
      <c r="H136" s="51"/>
    </row>
    <row r="137" spans="1:8" ht="13.5" thickBot="1">
      <c r="A137" s="174" t="s">
        <v>12</v>
      </c>
      <c r="B137" s="174"/>
      <c r="C137" s="174"/>
      <c r="D137" s="62"/>
      <c r="E137" s="57" t="s">
        <v>20</v>
      </c>
      <c r="F137" s="62"/>
      <c r="G137" s="43" t="s">
        <v>21</v>
      </c>
      <c r="H137" s="19"/>
    </row>
    <row r="138" spans="1:8" ht="12.75">
      <c r="A138" s="52"/>
      <c r="B138" s="58"/>
      <c r="C138" s="52"/>
      <c r="D138" s="58"/>
      <c r="E138" s="51"/>
      <c r="F138" s="57"/>
      <c r="G138" s="43"/>
      <c r="H138" s="19"/>
    </row>
    <row r="139" spans="1:8" ht="15.75">
      <c r="A139" s="28" t="s">
        <v>34</v>
      </c>
      <c r="B139" s="28"/>
      <c r="C139" s="52"/>
      <c r="D139" s="58"/>
      <c r="E139" s="35"/>
      <c r="F139" s="35"/>
      <c r="G139" s="35"/>
      <c r="H139" s="19"/>
    </row>
    <row r="140" spans="1:8" ht="12.75">
      <c r="A140" s="149"/>
      <c r="B140" s="149"/>
      <c r="C140" s="149"/>
      <c r="D140" s="149"/>
      <c r="E140" s="149"/>
      <c r="F140" s="149"/>
      <c r="G140" s="149"/>
      <c r="H140" s="149"/>
    </row>
    <row r="141" spans="1:8" ht="12.75">
      <c r="A141" s="204" t="s">
        <v>4</v>
      </c>
      <c r="B141" s="205"/>
      <c r="C141" s="140"/>
      <c r="D141" s="140"/>
      <c r="E141" s="140"/>
      <c r="F141" s="140"/>
      <c r="G141" s="140"/>
      <c r="H141" s="140"/>
    </row>
    <row r="142" spans="1:8" ht="12.75">
      <c r="A142" s="141" t="s">
        <v>14</v>
      </c>
      <c r="B142" s="142"/>
      <c r="C142" s="140"/>
      <c r="D142" s="140"/>
      <c r="E142" s="140"/>
      <c r="F142" s="140"/>
      <c r="G142" s="140"/>
      <c r="H142" s="140"/>
    </row>
    <row r="143" spans="1:8" ht="12.75">
      <c r="A143" s="52"/>
      <c r="B143" s="58"/>
      <c r="C143" s="52"/>
      <c r="D143" s="58"/>
      <c r="E143" s="35"/>
      <c r="F143" s="35"/>
      <c r="G143" s="35"/>
      <c r="H143" s="19"/>
    </row>
    <row r="144" spans="1:8" ht="15.75">
      <c r="A144" s="138" t="s">
        <v>35</v>
      </c>
      <c r="B144" s="138"/>
      <c r="C144" s="139"/>
      <c r="D144" s="139"/>
      <c r="E144" s="139"/>
      <c r="F144" s="56"/>
      <c r="G144" s="35"/>
      <c r="H144" s="19"/>
    </row>
    <row r="145" spans="1:12" ht="13.5" thickBot="1">
      <c r="A145" s="149"/>
      <c r="B145" s="149"/>
      <c r="C145" s="149"/>
      <c r="D145" s="149"/>
      <c r="E145" s="149"/>
      <c r="F145" s="149"/>
      <c r="G145" s="149"/>
      <c r="H145" s="149"/>
    </row>
    <row r="146" spans="1:12" ht="17.45" customHeight="1" thickBot="1">
      <c r="A146" s="51" t="s">
        <v>7</v>
      </c>
      <c r="B146" s="64"/>
      <c r="C146" s="43" t="s">
        <v>59</v>
      </c>
      <c r="D146" s="43"/>
      <c r="E146" s="43"/>
      <c r="F146" s="43"/>
      <c r="G146" s="43"/>
      <c r="H146" s="43"/>
      <c r="K146" s="32"/>
      <c r="L146" s="32"/>
    </row>
    <row r="147" spans="1:12" s="32" customFormat="1" ht="13.5" thickBot="1">
      <c r="A147" s="57"/>
      <c r="B147" s="17"/>
      <c r="C147" s="43"/>
      <c r="D147" s="43"/>
      <c r="E147" s="43"/>
      <c r="F147" s="43"/>
      <c r="G147" s="43"/>
      <c r="H147" s="43"/>
      <c r="K147"/>
      <c r="L147"/>
    </row>
    <row r="148" spans="1:12" ht="15.6" customHeight="1" thickBot="1">
      <c r="A148" s="51" t="s">
        <v>8</v>
      </c>
      <c r="B148" s="64"/>
      <c r="C148" s="43" t="s">
        <v>57</v>
      </c>
      <c r="D148" s="43"/>
      <c r="E148" s="43"/>
      <c r="F148" s="43"/>
      <c r="G148" s="43"/>
      <c r="H148" s="43"/>
    </row>
    <row r="149" spans="1:12" ht="12.75">
      <c r="A149" s="51"/>
      <c r="B149" s="57"/>
      <c r="C149" s="43"/>
      <c r="D149" s="43"/>
      <c r="E149" s="43"/>
      <c r="F149" s="43"/>
      <c r="G149" s="43"/>
      <c r="H149" s="43"/>
    </row>
    <row r="150" spans="1:12" ht="12.75">
      <c r="A150" s="51"/>
      <c r="B150" s="57"/>
      <c r="C150" s="43"/>
      <c r="D150" s="43"/>
      <c r="E150" s="43"/>
      <c r="F150" s="43"/>
      <c r="G150" s="43"/>
      <c r="H150" s="43"/>
    </row>
    <row r="151" spans="1:12" ht="13.9" customHeight="1">
      <c r="A151" s="166"/>
      <c r="B151" s="150" t="s">
        <v>44</v>
      </c>
      <c r="C151" s="151"/>
      <c r="D151" s="151"/>
      <c r="E151" s="151"/>
      <c r="F151" s="151"/>
      <c r="G151" s="152"/>
      <c r="H151" s="14" t="s">
        <v>24</v>
      </c>
    </row>
    <row r="152" spans="1:12" ht="13.9" customHeight="1">
      <c r="A152" s="166"/>
      <c r="B152" s="153"/>
      <c r="C152" s="154"/>
      <c r="D152" s="154"/>
      <c r="E152" s="154"/>
      <c r="F152" s="154"/>
      <c r="G152" s="155"/>
      <c r="H152" s="14" t="s">
        <v>51</v>
      </c>
    </row>
    <row r="153" spans="1:12" ht="13.9" customHeight="1">
      <c r="A153" s="166"/>
      <c r="B153" s="153"/>
      <c r="C153" s="154"/>
      <c r="D153" s="154"/>
      <c r="E153" s="154"/>
      <c r="F153" s="154"/>
      <c r="G153" s="155"/>
      <c r="H153" s="25">
        <v>44008</v>
      </c>
    </row>
    <row r="154" spans="1:12" ht="13.9" customHeight="1">
      <c r="A154" s="166"/>
      <c r="B154" s="156"/>
      <c r="C154" s="157"/>
      <c r="D154" s="157"/>
      <c r="E154" s="157"/>
      <c r="F154" s="157"/>
      <c r="G154" s="158"/>
      <c r="H154" s="15" t="s">
        <v>30</v>
      </c>
    </row>
    <row r="155" spans="1:12" ht="26.25">
      <c r="A155" s="16"/>
      <c r="B155" s="16"/>
      <c r="C155" s="48"/>
      <c r="D155" s="48"/>
      <c r="E155" s="48"/>
      <c r="F155" s="48"/>
      <c r="G155" s="48"/>
      <c r="H155" s="12"/>
    </row>
    <row r="156" spans="1:12" ht="12.75">
      <c r="A156" s="161" t="s">
        <v>22</v>
      </c>
      <c r="B156" s="162"/>
      <c r="C156" s="163"/>
      <c r="D156" s="68"/>
      <c r="E156" s="206"/>
      <c r="F156" s="162"/>
      <c r="G156" s="162"/>
      <c r="H156" s="163"/>
    </row>
    <row r="157" spans="1:12" ht="12.75">
      <c r="A157" s="146" t="s">
        <v>40</v>
      </c>
      <c r="B157" s="147"/>
      <c r="C157" s="148"/>
      <c r="D157" s="67"/>
      <c r="E157" s="207"/>
      <c r="F157" s="147"/>
      <c r="G157" s="147"/>
      <c r="H157" s="148"/>
    </row>
    <row r="158" spans="1:12" ht="12.75">
      <c r="A158" s="146" t="s">
        <v>39</v>
      </c>
      <c r="B158" s="147"/>
      <c r="C158" s="148"/>
      <c r="D158" s="67"/>
      <c r="E158" s="207"/>
      <c r="F158" s="147"/>
      <c r="G158" s="147"/>
      <c r="H158" s="148"/>
    </row>
    <row r="159" spans="1:12" ht="12.75">
      <c r="A159" s="49"/>
      <c r="B159" s="49"/>
      <c r="C159" s="49"/>
      <c r="D159" s="49"/>
      <c r="E159" s="49"/>
      <c r="F159" s="49"/>
      <c r="G159" s="49"/>
      <c r="H159" s="49"/>
    </row>
    <row r="160" spans="1:12" ht="15.75">
      <c r="A160" s="175" t="s">
        <v>31</v>
      </c>
      <c r="B160" s="175"/>
      <c r="C160" s="175"/>
      <c r="D160" s="175"/>
      <c r="E160" s="175"/>
      <c r="F160" s="59"/>
      <c r="G160" s="16"/>
      <c r="H160" s="12"/>
    </row>
    <row r="161" spans="1:8" ht="12.75">
      <c r="A161" s="176"/>
      <c r="B161" s="176"/>
      <c r="C161" s="176"/>
      <c r="D161" s="176"/>
      <c r="E161" s="176"/>
      <c r="F161" s="176"/>
      <c r="G161" s="176"/>
      <c r="H161" s="176"/>
    </row>
    <row r="162" spans="1:8" ht="12.75">
      <c r="A162" s="61"/>
      <c r="B162" s="61"/>
      <c r="C162" s="61"/>
      <c r="D162" s="61"/>
      <c r="E162" s="61"/>
      <c r="F162" s="17"/>
      <c r="G162" s="17"/>
      <c r="H162" s="17"/>
    </row>
    <row r="163" spans="1:8" ht="12.75">
      <c r="A163" s="159" t="s">
        <v>9</v>
      </c>
      <c r="B163" s="160"/>
      <c r="C163" s="159" t="s">
        <v>10</v>
      </c>
      <c r="D163" s="160"/>
      <c r="E163" s="159" t="s">
        <v>11</v>
      </c>
      <c r="F163" s="160"/>
      <c r="G163" s="29" t="s">
        <v>1</v>
      </c>
      <c r="H163" s="29" t="s">
        <v>0</v>
      </c>
    </row>
    <row r="164" spans="1:8" ht="12.75">
      <c r="A164" s="164"/>
      <c r="B164" s="165"/>
      <c r="C164" s="164"/>
      <c r="D164" s="165"/>
      <c r="E164" s="164"/>
      <c r="F164" s="165"/>
      <c r="G164" s="50" t="e">
        <f t="shared" ref="G164:G174" si="6">SUM(E164*100/$D$31)</f>
        <v>#DIV/0!</v>
      </c>
      <c r="H164" s="50"/>
    </row>
    <row r="165" spans="1:8" ht="12.75">
      <c r="A165" s="164"/>
      <c r="B165" s="165"/>
      <c r="C165" s="164"/>
      <c r="D165" s="165"/>
      <c r="E165" s="164"/>
      <c r="F165" s="165"/>
      <c r="G165" s="50" t="e">
        <f t="shared" si="6"/>
        <v>#DIV/0!</v>
      </c>
      <c r="H165" s="50"/>
    </row>
    <row r="166" spans="1:8" ht="12.75">
      <c r="A166" s="164"/>
      <c r="B166" s="165"/>
      <c r="C166" s="164"/>
      <c r="D166" s="165"/>
      <c r="E166" s="164"/>
      <c r="F166" s="165"/>
      <c r="G166" s="50" t="e">
        <f t="shared" si="6"/>
        <v>#DIV/0!</v>
      </c>
      <c r="H166" s="50"/>
    </row>
    <row r="167" spans="1:8" ht="12.75">
      <c r="A167" s="164"/>
      <c r="B167" s="165"/>
      <c r="C167" s="164"/>
      <c r="D167" s="165"/>
      <c r="E167" s="164"/>
      <c r="F167" s="165"/>
      <c r="G167" s="50" t="e">
        <f t="shared" si="6"/>
        <v>#DIV/0!</v>
      </c>
      <c r="H167" s="50"/>
    </row>
    <row r="168" spans="1:8" ht="12.75">
      <c r="A168" s="164"/>
      <c r="B168" s="165"/>
      <c r="C168" s="164"/>
      <c r="D168" s="165"/>
      <c r="E168" s="164"/>
      <c r="F168" s="165"/>
      <c r="G168" s="50" t="e">
        <f t="shared" si="6"/>
        <v>#DIV/0!</v>
      </c>
      <c r="H168" s="50"/>
    </row>
    <row r="169" spans="1:8" ht="12.75">
      <c r="A169" s="164"/>
      <c r="B169" s="165"/>
      <c r="C169" s="164"/>
      <c r="D169" s="165"/>
      <c r="E169" s="164"/>
      <c r="F169" s="165"/>
      <c r="G169" s="50" t="e">
        <f t="shared" si="6"/>
        <v>#DIV/0!</v>
      </c>
      <c r="H169" s="50"/>
    </row>
    <row r="170" spans="1:8" ht="12.75">
      <c r="A170" s="164"/>
      <c r="B170" s="165"/>
      <c r="C170" s="164"/>
      <c r="D170" s="165"/>
      <c r="E170" s="164"/>
      <c r="F170" s="165"/>
      <c r="G170" s="50" t="e">
        <f t="shared" si="6"/>
        <v>#DIV/0!</v>
      </c>
      <c r="H170" s="50"/>
    </row>
    <row r="171" spans="1:8" ht="12.75">
      <c r="A171" s="164"/>
      <c r="B171" s="165"/>
      <c r="C171" s="164"/>
      <c r="D171" s="165"/>
      <c r="E171" s="164"/>
      <c r="F171" s="165"/>
      <c r="G171" s="50" t="e">
        <f t="shared" si="6"/>
        <v>#DIV/0!</v>
      </c>
      <c r="H171" s="50"/>
    </row>
    <row r="172" spans="1:8" ht="12.75">
      <c r="A172" s="164"/>
      <c r="B172" s="165"/>
      <c r="C172" s="164"/>
      <c r="D172" s="165"/>
      <c r="E172" s="164"/>
      <c r="F172" s="165"/>
      <c r="G172" s="50" t="e">
        <f t="shared" si="6"/>
        <v>#DIV/0!</v>
      </c>
      <c r="H172" s="50"/>
    </row>
    <row r="173" spans="1:8" ht="12.75">
      <c r="A173" s="164"/>
      <c r="B173" s="165"/>
      <c r="C173" s="164"/>
      <c r="D173" s="165"/>
      <c r="E173" s="164"/>
      <c r="F173" s="165"/>
      <c r="G173" s="50" t="e">
        <f t="shared" si="6"/>
        <v>#DIV/0!</v>
      </c>
      <c r="H173" s="50"/>
    </row>
    <row r="174" spans="1:8" ht="12.75">
      <c r="A174" s="164"/>
      <c r="B174" s="165"/>
      <c r="C174" s="164"/>
      <c r="D174" s="165"/>
      <c r="E174" s="164"/>
      <c r="F174" s="165"/>
      <c r="G174" s="50" t="e">
        <f t="shared" si="6"/>
        <v>#DIV/0!</v>
      </c>
      <c r="H174" s="50"/>
    </row>
    <row r="175" spans="1:8" ht="12.75">
      <c r="A175" s="34"/>
      <c r="B175" s="34"/>
      <c r="C175" s="34" t="s">
        <v>2</v>
      </c>
      <c r="D175" s="34"/>
      <c r="E175" s="164">
        <f>SUM(E164:E174)</f>
        <v>0</v>
      </c>
      <c r="F175" s="165"/>
      <c r="G175" s="50" t="e">
        <f>SUM(G164:G174)</f>
        <v>#DIV/0!</v>
      </c>
      <c r="H175" s="50"/>
    </row>
    <row r="176" spans="1:8" ht="12.75">
      <c r="A176" s="34"/>
      <c r="B176" s="34"/>
      <c r="C176" s="34"/>
      <c r="D176" s="34"/>
      <c r="E176" s="34"/>
      <c r="F176" s="34"/>
      <c r="G176" s="34"/>
      <c r="H176" s="34"/>
    </row>
    <row r="177" spans="1:8" ht="12.75">
      <c r="A177" s="26" t="s">
        <v>15</v>
      </c>
      <c r="B177" s="26"/>
      <c r="C177" s="24"/>
      <c r="D177" s="24"/>
      <c r="E177" s="34"/>
      <c r="F177" s="34"/>
      <c r="G177" s="34"/>
      <c r="H177" s="34"/>
    </row>
    <row r="178" spans="1:8" ht="12.75">
      <c r="A178" s="23"/>
      <c r="B178" s="23"/>
      <c r="C178" s="27" t="s">
        <v>18</v>
      </c>
      <c r="D178" s="27"/>
      <c r="E178" s="50"/>
      <c r="F178" s="34"/>
      <c r="G178" s="34"/>
      <c r="H178" s="34"/>
    </row>
    <row r="179" spans="1:8" ht="12.75">
      <c r="A179" s="23"/>
      <c r="B179" s="23"/>
      <c r="C179" s="27" t="s">
        <v>19</v>
      </c>
      <c r="D179" s="27"/>
      <c r="E179" s="50"/>
      <c r="F179" s="34"/>
      <c r="G179" s="34"/>
      <c r="H179" s="34"/>
    </row>
    <row r="180" spans="1:8" ht="12.75">
      <c r="A180" s="51"/>
      <c r="B180" s="57"/>
      <c r="C180" s="22"/>
      <c r="D180" s="22"/>
      <c r="E180" s="34"/>
      <c r="F180" s="34"/>
      <c r="G180" s="34"/>
      <c r="H180" s="34"/>
    </row>
    <row r="181" spans="1:8" ht="15.75">
      <c r="A181" s="20" t="s">
        <v>33</v>
      </c>
      <c r="B181" s="20"/>
      <c r="C181" s="34"/>
      <c r="D181" s="34"/>
      <c r="E181" s="19"/>
      <c r="F181" s="19"/>
      <c r="G181" s="19"/>
      <c r="H181" s="34"/>
    </row>
    <row r="182" spans="1:8" ht="12.75">
      <c r="A182" s="149"/>
      <c r="B182" s="149"/>
      <c r="C182" s="149"/>
      <c r="D182" s="149"/>
      <c r="E182" s="149"/>
      <c r="F182" s="149"/>
      <c r="G182" s="149"/>
      <c r="H182" s="149"/>
    </row>
    <row r="183" spans="1:8" ht="12.75">
      <c r="A183" s="173" t="s">
        <v>13</v>
      </c>
      <c r="B183" s="173"/>
      <c r="C183" s="173"/>
      <c r="D183" s="173"/>
      <c r="E183" s="173"/>
      <c r="F183" s="57"/>
      <c r="G183" s="51"/>
      <c r="H183" s="51"/>
    </row>
    <row r="184" spans="1:8" ht="13.5" thickBot="1">
      <c r="A184" s="26" t="s">
        <v>23</v>
      </c>
      <c r="B184" s="26"/>
      <c r="C184" s="51"/>
      <c r="D184" s="57"/>
      <c r="E184" s="51"/>
      <c r="F184" s="57"/>
      <c r="G184" s="51"/>
      <c r="H184" s="51"/>
    </row>
    <row r="185" spans="1:8" ht="13.5" thickBot="1">
      <c r="A185" s="174" t="s">
        <v>12</v>
      </c>
      <c r="B185" s="174"/>
      <c r="C185" s="174"/>
      <c r="D185" s="62"/>
      <c r="E185" s="57" t="s">
        <v>53</v>
      </c>
      <c r="F185" s="62"/>
      <c r="G185" s="60" t="s">
        <v>52</v>
      </c>
      <c r="H185" s="19"/>
    </row>
    <row r="186" spans="1:8" ht="12.75">
      <c r="A186" s="52"/>
      <c r="B186" s="58"/>
      <c r="C186" s="52"/>
      <c r="D186" s="58"/>
      <c r="E186" s="51"/>
      <c r="F186" s="57"/>
      <c r="G186" s="43"/>
      <c r="H186" s="19"/>
    </row>
    <row r="187" spans="1:8" ht="15.75">
      <c r="A187" s="28" t="s">
        <v>34</v>
      </c>
      <c r="B187" s="28"/>
      <c r="C187" s="52"/>
      <c r="D187" s="58"/>
      <c r="E187" s="35"/>
      <c r="F187" s="35"/>
      <c r="G187" s="35"/>
      <c r="H187" s="19"/>
    </row>
    <row r="188" spans="1:8" ht="12.75">
      <c r="A188" s="149"/>
      <c r="B188" s="149"/>
      <c r="C188" s="149"/>
      <c r="D188" s="149"/>
      <c r="E188" s="149"/>
      <c r="F188" s="149"/>
      <c r="G188" s="149"/>
      <c r="H188" s="149"/>
    </row>
    <row r="189" spans="1:8" ht="12.75">
      <c r="A189" s="208" t="s">
        <v>4</v>
      </c>
      <c r="B189" s="209"/>
      <c r="C189" s="140"/>
      <c r="D189" s="140"/>
      <c r="E189" s="140"/>
      <c r="F189" s="140"/>
      <c r="G189" s="140"/>
      <c r="H189" s="140"/>
    </row>
    <row r="190" spans="1:8" ht="12.75">
      <c r="A190" s="187" t="s">
        <v>14</v>
      </c>
      <c r="B190" s="188"/>
      <c r="C190" s="165"/>
      <c r="D190" s="140"/>
      <c r="E190" s="140"/>
      <c r="F190" s="140"/>
      <c r="G190" s="140"/>
      <c r="H190" s="140"/>
    </row>
    <row r="191" spans="1:8" ht="12.75">
      <c r="A191" s="52"/>
      <c r="B191" s="58"/>
      <c r="C191" s="52"/>
      <c r="D191" s="58"/>
      <c r="E191" s="35"/>
      <c r="F191" s="35"/>
      <c r="G191" s="35"/>
      <c r="H191" s="19"/>
    </row>
    <row r="192" spans="1:8" ht="15.75">
      <c r="A192" s="138" t="s">
        <v>35</v>
      </c>
      <c r="B192" s="138"/>
      <c r="C192" s="139"/>
      <c r="D192" s="139"/>
      <c r="E192" s="139"/>
      <c r="F192" s="56"/>
      <c r="G192" s="35"/>
      <c r="H192" s="19"/>
    </row>
    <row r="193" spans="1:12" ht="13.5" thickBot="1">
      <c r="A193" s="149"/>
      <c r="B193" s="149"/>
      <c r="C193" s="149"/>
      <c r="D193" s="149"/>
      <c r="E193" s="149"/>
      <c r="F193" s="149"/>
      <c r="G193" s="149"/>
      <c r="H193" s="149"/>
    </row>
    <row r="194" spans="1:12" ht="15" customHeight="1" thickBot="1">
      <c r="A194" s="51" t="s">
        <v>7</v>
      </c>
      <c r="B194" s="63"/>
      <c r="C194" s="69" t="s">
        <v>54</v>
      </c>
      <c r="D194" s="43"/>
      <c r="E194" s="43"/>
      <c r="F194" s="43"/>
      <c r="G194" s="43"/>
      <c r="H194" s="43"/>
      <c r="K194" s="32"/>
      <c r="L194" s="32"/>
    </row>
    <row r="195" spans="1:12" s="32" customFormat="1" ht="13.5" thickBot="1">
      <c r="A195" s="57"/>
      <c r="B195" s="17"/>
      <c r="C195" s="43"/>
      <c r="D195" s="43"/>
      <c r="E195" s="43"/>
      <c r="F195" s="43"/>
      <c r="G195" s="43"/>
      <c r="H195" s="43"/>
      <c r="K195"/>
      <c r="L195"/>
    </row>
    <row r="196" spans="1:12" ht="15.6" customHeight="1" thickBot="1">
      <c r="A196" s="51" t="s">
        <v>8</v>
      </c>
      <c r="B196" s="63"/>
      <c r="C196" s="69" t="s">
        <v>58</v>
      </c>
      <c r="D196" s="43"/>
      <c r="E196" s="43"/>
      <c r="F196" s="43"/>
      <c r="G196" s="43"/>
      <c r="H196" s="43"/>
    </row>
  </sheetData>
  <mergeCells count="162">
    <mergeCell ref="E174:F174"/>
    <mergeCell ref="E175:F175"/>
    <mergeCell ref="A189:B189"/>
    <mergeCell ref="A190:B190"/>
    <mergeCell ref="E169:F169"/>
    <mergeCell ref="E170:F170"/>
    <mergeCell ref="E171:F171"/>
    <mergeCell ref="E172:F172"/>
    <mergeCell ref="E173:F173"/>
    <mergeCell ref="A174:B174"/>
    <mergeCell ref="C169:D169"/>
    <mergeCell ref="C170:D170"/>
    <mergeCell ref="C171:D171"/>
    <mergeCell ref="C172:D172"/>
    <mergeCell ref="C173:D173"/>
    <mergeCell ref="C174:D174"/>
    <mergeCell ref="A169:B169"/>
    <mergeCell ref="A170:B170"/>
    <mergeCell ref="A171:B171"/>
    <mergeCell ref="A172:B172"/>
    <mergeCell ref="A173:B173"/>
    <mergeCell ref="A164:B164"/>
    <mergeCell ref="A165:B165"/>
    <mergeCell ref="A166:B166"/>
    <mergeCell ref="A167:B167"/>
    <mergeCell ref="A168:B168"/>
    <mergeCell ref="A157:C157"/>
    <mergeCell ref="E157:H157"/>
    <mergeCell ref="A158:C158"/>
    <mergeCell ref="E158:H158"/>
    <mergeCell ref="A163:B163"/>
    <mergeCell ref="E163:F163"/>
    <mergeCell ref="E164:F164"/>
    <mergeCell ref="E165:F165"/>
    <mergeCell ref="E166:F166"/>
    <mergeCell ref="E167:F167"/>
    <mergeCell ref="E168:F168"/>
    <mergeCell ref="C163:D163"/>
    <mergeCell ref="C164:D164"/>
    <mergeCell ref="C165:D165"/>
    <mergeCell ref="C166:D166"/>
    <mergeCell ref="C167:D167"/>
    <mergeCell ref="C168:D168"/>
    <mergeCell ref="A156:C156"/>
    <mergeCell ref="E156:H156"/>
    <mergeCell ref="A141:B141"/>
    <mergeCell ref="A142:B142"/>
    <mergeCell ref="A125:B125"/>
    <mergeCell ref="A126:B126"/>
    <mergeCell ref="C120:D120"/>
    <mergeCell ref="C121:D121"/>
    <mergeCell ref="C122:D122"/>
    <mergeCell ref="C123:D123"/>
    <mergeCell ref="C124:D124"/>
    <mergeCell ref="C125:D125"/>
    <mergeCell ref="C142:H142"/>
    <mergeCell ref="A144:E144"/>
    <mergeCell ref="C126:D126"/>
    <mergeCell ref="C141:H141"/>
    <mergeCell ref="A119:B119"/>
    <mergeCell ref="C50:H50"/>
    <mergeCell ref="A78:B78"/>
    <mergeCell ref="A79:B79"/>
    <mergeCell ref="C67:D67"/>
    <mergeCell ref="A64:H64"/>
    <mergeCell ref="A65:H65"/>
    <mergeCell ref="C80:D80"/>
    <mergeCell ref="A94:B94"/>
    <mergeCell ref="A93:H93"/>
    <mergeCell ref="C94:H94"/>
    <mergeCell ref="A116:B116"/>
    <mergeCell ref="A98:H98"/>
    <mergeCell ref="C116:D116"/>
    <mergeCell ref="C117:D117"/>
    <mergeCell ref="C118:D118"/>
    <mergeCell ref="A73:B73"/>
    <mergeCell ref="A49:H49"/>
    <mergeCell ref="A55:A58"/>
    <mergeCell ref="B55:G58"/>
    <mergeCell ref="A61:C61"/>
    <mergeCell ref="A67:B67"/>
    <mergeCell ref="A68:B68"/>
    <mergeCell ref="A75:B75"/>
    <mergeCell ref="A77:B77"/>
    <mergeCell ref="A60:C60"/>
    <mergeCell ref="E60:H60"/>
    <mergeCell ref="A72:B72"/>
    <mergeCell ref="E67:F67"/>
    <mergeCell ref="A1:A4"/>
    <mergeCell ref="A5:H5"/>
    <mergeCell ref="A6:H6"/>
    <mergeCell ref="A8:C8"/>
    <mergeCell ref="D7:H7"/>
    <mergeCell ref="D8:H8"/>
    <mergeCell ref="B1:G4"/>
    <mergeCell ref="A9:C9"/>
    <mergeCell ref="A10:C10"/>
    <mergeCell ref="C46:H46"/>
    <mergeCell ref="A12:C12"/>
    <mergeCell ref="A45:B45"/>
    <mergeCell ref="A46:B46"/>
    <mergeCell ref="D12:H12"/>
    <mergeCell ref="D15:F15"/>
    <mergeCell ref="A15:B15"/>
    <mergeCell ref="A16:B16"/>
    <mergeCell ref="A19:B19"/>
    <mergeCell ref="A20:B20"/>
    <mergeCell ref="A23:B23"/>
    <mergeCell ref="A25:B25"/>
    <mergeCell ref="A26:B26"/>
    <mergeCell ref="A27:B27"/>
    <mergeCell ref="A28:B28"/>
    <mergeCell ref="A29:B29"/>
    <mergeCell ref="A30:B30"/>
    <mergeCell ref="A193:H193"/>
    <mergeCell ref="A7:C7"/>
    <mergeCell ref="A182:H182"/>
    <mergeCell ref="A183:E183"/>
    <mergeCell ref="A185:C185"/>
    <mergeCell ref="A188:H188"/>
    <mergeCell ref="C189:H189"/>
    <mergeCell ref="C190:H190"/>
    <mergeCell ref="A160:E160"/>
    <mergeCell ref="A161:H161"/>
    <mergeCell ref="A103:A106"/>
    <mergeCell ref="A134:H134"/>
    <mergeCell ref="A135:E135"/>
    <mergeCell ref="A137:C137"/>
    <mergeCell ref="A140:H140"/>
    <mergeCell ref="A112:E112"/>
    <mergeCell ref="A113:H113"/>
    <mergeCell ref="A11:C11"/>
    <mergeCell ref="D9:H9"/>
    <mergeCell ref="D10:H10"/>
    <mergeCell ref="D11:H11"/>
    <mergeCell ref="A38:H38"/>
    <mergeCell ref="A44:H44"/>
    <mergeCell ref="C45:H45"/>
    <mergeCell ref="A192:E192"/>
    <mergeCell ref="C95:H95"/>
    <mergeCell ref="A95:B95"/>
    <mergeCell ref="E61:H61"/>
    <mergeCell ref="A62:C62"/>
    <mergeCell ref="E62:H62"/>
    <mergeCell ref="A87:H87"/>
    <mergeCell ref="B151:G154"/>
    <mergeCell ref="E115:F115"/>
    <mergeCell ref="C115:D115"/>
    <mergeCell ref="E110:H110"/>
    <mergeCell ref="A108:C108"/>
    <mergeCell ref="A124:B124"/>
    <mergeCell ref="A145:H145"/>
    <mergeCell ref="A151:A154"/>
    <mergeCell ref="A115:B115"/>
    <mergeCell ref="A122:B122"/>
    <mergeCell ref="C119:D119"/>
    <mergeCell ref="B103:G106"/>
    <mergeCell ref="A118:B118"/>
    <mergeCell ref="A109:C109"/>
    <mergeCell ref="A110:C110"/>
    <mergeCell ref="E108:H108"/>
    <mergeCell ref="E109:H10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opLeftCell="A133" zoomScale="85" zoomScaleNormal="85" workbookViewId="0">
      <selection activeCell="A210" sqref="A1:E210"/>
    </sheetView>
  </sheetViews>
  <sheetFormatPr baseColWidth="10" defaultRowHeight="11.25"/>
  <cols>
    <col min="1" max="1" width="22.5" customWidth="1"/>
    <col min="2" max="2" width="30.83203125" customWidth="1"/>
    <col min="3" max="4" width="29.5" customWidth="1"/>
    <col min="5" max="5" width="19.83203125" customWidth="1"/>
    <col min="6" max="6" width="25.1640625" customWidth="1"/>
    <col min="7" max="7" width="34.83203125" style="1" customWidth="1"/>
  </cols>
  <sheetData>
    <row r="1" spans="1:10" ht="12" customHeight="1">
      <c r="A1" s="166" t="s">
        <v>49</v>
      </c>
      <c r="B1" s="150" t="s">
        <v>44</v>
      </c>
      <c r="C1" s="151"/>
      <c r="D1" s="152"/>
      <c r="E1" s="14" t="s">
        <v>24</v>
      </c>
      <c r="F1" s="11"/>
      <c r="G1" s="11"/>
      <c r="H1" s="11"/>
      <c r="I1" s="11"/>
      <c r="J1" s="6"/>
    </row>
    <row r="2" spans="1:10" ht="12" customHeight="1">
      <c r="A2" s="166"/>
      <c r="B2" s="153"/>
      <c r="C2" s="154"/>
      <c r="D2" s="155"/>
      <c r="E2" s="14" t="s">
        <v>25</v>
      </c>
      <c r="F2" s="7"/>
      <c r="G2" s="4"/>
      <c r="H2" s="5"/>
      <c r="I2" s="6"/>
      <c r="J2" s="6"/>
    </row>
    <row r="3" spans="1:10" ht="12" customHeight="1">
      <c r="A3" s="166"/>
      <c r="B3" s="153"/>
      <c r="C3" s="154"/>
      <c r="D3" s="155"/>
      <c r="E3" s="25">
        <v>43871</v>
      </c>
      <c r="F3" s="2"/>
      <c r="G3" s="5"/>
      <c r="H3" s="5"/>
      <c r="I3" s="6"/>
      <c r="J3" s="6"/>
    </row>
    <row r="4" spans="1:10" ht="12" customHeight="1">
      <c r="A4" s="166"/>
      <c r="B4" s="156"/>
      <c r="C4" s="157"/>
      <c r="D4" s="158"/>
      <c r="E4" s="15" t="s">
        <v>27</v>
      </c>
      <c r="F4" s="2"/>
      <c r="G4" s="5"/>
      <c r="H4" s="5"/>
      <c r="I4" s="6"/>
      <c r="J4" s="6"/>
    </row>
    <row r="5" spans="1:10" ht="15" customHeight="1">
      <c r="A5" s="190" t="s">
        <v>36</v>
      </c>
      <c r="B5" s="190"/>
      <c r="C5" s="190"/>
      <c r="D5" s="190"/>
      <c r="E5" s="190"/>
      <c r="F5" s="2"/>
      <c r="G5" s="5"/>
      <c r="H5" s="5"/>
      <c r="I5" s="6"/>
      <c r="J5" s="6"/>
    </row>
    <row r="6" spans="1:10" ht="30.75" customHeight="1">
      <c r="A6" s="191" t="s">
        <v>48</v>
      </c>
      <c r="B6" s="191"/>
      <c r="C6" s="191"/>
      <c r="D6" s="191"/>
      <c r="E6" s="191"/>
      <c r="F6" s="2"/>
      <c r="G6" s="5"/>
      <c r="H6" s="5"/>
      <c r="I6" s="6"/>
      <c r="J6" s="6"/>
    </row>
    <row r="7" spans="1:10" ht="18.75" customHeight="1">
      <c r="A7" s="170" t="s">
        <v>22</v>
      </c>
      <c r="B7" s="177"/>
      <c r="C7" s="211"/>
      <c r="D7" s="211"/>
      <c r="E7" s="211"/>
      <c r="F7" s="2"/>
      <c r="G7" s="5"/>
      <c r="H7" s="5"/>
      <c r="I7" s="6"/>
      <c r="J7" s="6"/>
    </row>
    <row r="8" spans="1:10" ht="18.75" customHeight="1">
      <c r="A8" s="170" t="s">
        <v>26</v>
      </c>
      <c r="B8" s="177"/>
      <c r="C8" s="211"/>
      <c r="D8" s="211"/>
      <c r="E8" s="211"/>
      <c r="F8" s="2"/>
      <c r="G8" s="5"/>
      <c r="H8" s="5"/>
      <c r="I8" s="6"/>
      <c r="J8" s="6"/>
    </row>
    <row r="9" spans="1:10" s="32" customFormat="1" ht="18" customHeight="1">
      <c r="A9" s="195" t="s">
        <v>37</v>
      </c>
      <c r="B9" s="197"/>
      <c r="C9" s="140"/>
      <c r="D9" s="140"/>
      <c r="E9" s="140"/>
      <c r="F9" s="5"/>
      <c r="G9" s="5"/>
      <c r="H9" s="6"/>
      <c r="I9" s="6"/>
    </row>
    <row r="10" spans="1:10" ht="18.75" customHeight="1">
      <c r="A10" s="170" t="s">
        <v>17</v>
      </c>
      <c r="B10" s="177"/>
      <c r="C10" s="211"/>
      <c r="D10" s="211"/>
      <c r="E10" s="211"/>
      <c r="F10" s="2"/>
      <c r="G10" s="5"/>
      <c r="H10" s="5"/>
      <c r="I10" s="6"/>
      <c r="J10" s="6"/>
    </row>
    <row r="11" spans="1:10" ht="18" customHeight="1">
      <c r="A11" s="182" t="s">
        <v>3</v>
      </c>
      <c r="B11" s="184"/>
      <c r="C11" s="140"/>
      <c r="D11" s="140"/>
      <c r="E11" s="140"/>
      <c r="F11" s="5"/>
      <c r="G11" s="5"/>
      <c r="H11" s="6"/>
      <c r="I11" s="6"/>
    </row>
    <row r="13" spans="1:10" ht="9.75" customHeight="1">
      <c r="A13" s="17"/>
      <c r="B13" s="17"/>
      <c r="C13" s="17"/>
      <c r="D13" s="17"/>
      <c r="E13" s="17"/>
      <c r="F13" s="5"/>
      <c r="G13" s="6"/>
      <c r="H13" s="6"/>
    </row>
    <row r="14" spans="1:10" s="31" customFormat="1" ht="15" customHeight="1">
      <c r="A14" s="29" t="s">
        <v>9</v>
      </c>
      <c r="B14" s="29" t="s">
        <v>10</v>
      </c>
      <c r="C14" s="29" t="s">
        <v>11</v>
      </c>
      <c r="D14" s="29" t="s">
        <v>1</v>
      </c>
      <c r="E14" s="29" t="s">
        <v>0</v>
      </c>
      <c r="F14" s="4"/>
      <c r="G14" s="4"/>
      <c r="H14" s="30"/>
    </row>
    <row r="15" spans="1:10" ht="15" customHeight="1">
      <c r="A15" s="37"/>
      <c r="B15" s="37"/>
      <c r="C15" s="37"/>
      <c r="D15" s="37" t="e">
        <f t="shared" ref="D15:D25" si="0">SUM(C15*100/$C$26)</f>
        <v>#DIV/0!</v>
      </c>
      <c r="E15" s="37"/>
      <c r="F15" s="4"/>
      <c r="G15" s="5"/>
      <c r="H15" s="6"/>
    </row>
    <row r="16" spans="1:10" ht="15" customHeight="1">
      <c r="A16" s="37"/>
      <c r="B16" s="37"/>
      <c r="C16" s="37"/>
      <c r="D16" s="37" t="e">
        <f t="shared" si="0"/>
        <v>#DIV/0!</v>
      </c>
      <c r="E16" s="37"/>
      <c r="F16" s="4"/>
      <c r="G16" s="5"/>
      <c r="H16" s="6"/>
    </row>
    <row r="17" spans="1:8" ht="15" customHeight="1">
      <c r="A17" s="37"/>
      <c r="B17" s="37"/>
      <c r="C17" s="37"/>
      <c r="D17" s="37" t="e">
        <f t="shared" si="0"/>
        <v>#DIV/0!</v>
      </c>
      <c r="E17" s="37"/>
      <c r="F17" s="4"/>
      <c r="G17" s="5"/>
      <c r="H17" s="6"/>
    </row>
    <row r="18" spans="1:8" ht="15" customHeight="1">
      <c r="A18" s="37"/>
      <c r="B18" s="37"/>
      <c r="C18" s="37"/>
      <c r="D18" s="37" t="e">
        <f t="shared" si="0"/>
        <v>#DIV/0!</v>
      </c>
      <c r="E18" s="37"/>
      <c r="F18" s="4"/>
      <c r="G18" s="5"/>
      <c r="H18" s="6"/>
    </row>
    <row r="19" spans="1:8" ht="15" customHeight="1">
      <c r="A19" s="37"/>
      <c r="B19" s="37"/>
      <c r="C19" s="37"/>
      <c r="D19" s="37" t="e">
        <f t="shared" si="0"/>
        <v>#DIV/0!</v>
      </c>
      <c r="E19" s="37"/>
      <c r="F19" s="4"/>
      <c r="G19" s="5"/>
      <c r="H19" s="6"/>
    </row>
    <row r="20" spans="1:8" ht="15" customHeight="1">
      <c r="A20" s="37"/>
      <c r="B20" s="37"/>
      <c r="C20" s="37"/>
      <c r="D20" s="37" t="e">
        <f t="shared" si="0"/>
        <v>#DIV/0!</v>
      </c>
      <c r="E20" s="37"/>
      <c r="F20" s="4"/>
      <c r="G20" s="5"/>
      <c r="H20" s="6"/>
    </row>
    <row r="21" spans="1:8" ht="15" customHeight="1">
      <c r="A21" s="37"/>
      <c r="B21" s="37"/>
      <c r="C21" s="37"/>
      <c r="D21" s="37" t="e">
        <f t="shared" si="0"/>
        <v>#DIV/0!</v>
      </c>
      <c r="E21" s="37"/>
      <c r="F21" s="4"/>
      <c r="G21" s="5"/>
      <c r="H21" s="6"/>
    </row>
    <row r="22" spans="1:8" ht="15" customHeight="1">
      <c r="A22" s="37"/>
      <c r="B22" s="37"/>
      <c r="C22" s="37"/>
      <c r="D22" s="37" t="e">
        <f t="shared" si="0"/>
        <v>#DIV/0!</v>
      </c>
      <c r="E22" s="37"/>
      <c r="F22" s="4"/>
      <c r="G22" s="5"/>
      <c r="H22" s="6"/>
    </row>
    <row r="23" spans="1:8" ht="15" customHeight="1">
      <c r="A23" s="37"/>
      <c r="B23" s="37"/>
      <c r="C23" s="37"/>
      <c r="D23" s="37" t="e">
        <f t="shared" si="0"/>
        <v>#DIV/0!</v>
      </c>
      <c r="E23" s="37"/>
      <c r="F23" s="4"/>
      <c r="G23" s="5"/>
      <c r="H23" s="6"/>
    </row>
    <row r="24" spans="1:8" ht="15" customHeight="1">
      <c r="A24" s="37"/>
      <c r="B24" s="37"/>
      <c r="C24" s="37"/>
      <c r="D24" s="37" t="e">
        <f t="shared" si="0"/>
        <v>#DIV/0!</v>
      </c>
      <c r="E24" s="37"/>
      <c r="F24" s="4"/>
      <c r="G24" s="5"/>
      <c r="H24" s="6"/>
    </row>
    <row r="25" spans="1:8" ht="15" customHeight="1">
      <c r="A25" s="37"/>
      <c r="B25" s="37"/>
      <c r="C25" s="37"/>
      <c r="D25" s="37" t="e">
        <f t="shared" si="0"/>
        <v>#DIV/0!</v>
      </c>
      <c r="E25" s="37"/>
      <c r="F25" s="4"/>
      <c r="G25" s="5"/>
      <c r="H25" s="6"/>
    </row>
    <row r="26" spans="1:8" ht="15" customHeight="1">
      <c r="A26" s="34"/>
      <c r="B26" s="34" t="s">
        <v>2</v>
      </c>
      <c r="C26" s="37">
        <f>SUM(C15:C25)</f>
        <v>0</v>
      </c>
      <c r="D26" s="37" t="e">
        <f>SUM(D15:D25)</f>
        <v>#DIV/0!</v>
      </c>
      <c r="E26" s="37"/>
      <c r="F26" s="4"/>
      <c r="G26" s="5"/>
      <c r="H26" s="6"/>
    </row>
    <row r="27" spans="1:8" ht="9" customHeight="1">
      <c r="A27" s="34"/>
      <c r="B27" s="34"/>
      <c r="C27" s="34"/>
      <c r="D27" s="34"/>
      <c r="E27" s="34"/>
      <c r="F27" s="4"/>
      <c r="G27" s="5"/>
      <c r="H27" s="6"/>
    </row>
    <row r="28" spans="1:8" ht="18" customHeight="1">
      <c r="A28" s="26" t="s">
        <v>15</v>
      </c>
      <c r="B28" s="24"/>
      <c r="C28" s="34"/>
      <c r="D28" s="34"/>
      <c r="E28" s="34"/>
      <c r="F28" s="4"/>
      <c r="G28" s="5"/>
      <c r="H28" s="6"/>
    </row>
    <row r="29" spans="1:8" ht="17.25" customHeight="1">
      <c r="A29" s="23"/>
      <c r="B29" s="27" t="s">
        <v>18</v>
      </c>
      <c r="C29" s="37"/>
      <c r="D29" s="34"/>
      <c r="E29" s="34"/>
      <c r="F29" s="4"/>
      <c r="G29" s="5"/>
      <c r="H29" s="6"/>
    </row>
    <row r="30" spans="1:8" ht="17.25" customHeight="1">
      <c r="A30" s="23"/>
      <c r="B30" s="27" t="s">
        <v>19</v>
      </c>
      <c r="C30" s="37"/>
      <c r="D30" s="34"/>
      <c r="E30" s="34"/>
      <c r="F30" s="4"/>
      <c r="G30" s="5"/>
      <c r="H30" s="6"/>
    </row>
    <row r="31" spans="1:8" ht="6.75" customHeight="1">
      <c r="A31" s="38"/>
      <c r="B31" s="22"/>
      <c r="C31" s="34"/>
      <c r="D31" s="34"/>
      <c r="E31" s="34"/>
      <c r="F31" s="4"/>
      <c r="G31" s="5"/>
      <c r="H31" s="6"/>
    </row>
    <row r="32" spans="1:8" ht="18" customHeight="1">
      <c r="A32" s="21" t="s">
        <v>32</v>
      </c>
      <c r="B32" s="18"/>
      <c r="C32" s="18"/>
      <c r="D32" s="17"/>
      <c r="E32" s="17"/>
      <c r="F32" s="5"/>
      <c r="G32" s="6"/>
      <c r="H32" s="6"/>
    </row>
    <row r="33" spans="1:8" ht="18" customHeight="1">
      <c r="A33" s="191" t="s">
        <v>45</v>
      </c>
      <c r="B33" s="191"/>
      <c r="C33" s="191"/>
      <c r="D33" s="191"/>
      <c r="E33" s="191"/>
      <c r="F33" s="5"/>
      <c r="G33" s="6"/>
      <c r="H33" s="6"/>
    </row>
    <row r="34" spans="1:8" s="8" customFormat="1" ht="20.25" customHeight="1">
      <c r="A34" s="214" t="s">
        <v>5</v>
      </c>
      <c r="B34" s="215"/>
      <c r="C34" s="140"/>
      <c r="D34" s="140"/>
      <c r="E34" s="140"/>
      <c r="F34"/>
      <c r="G34" s="2"/>
    </row>
    <row r="35" spans="1:8" s="8" customFormat="1" ht="19.5" customHeight="1">
      <c r="A35" s="214" t="s">
        <v>6</v>
      </c>
      <c r="B35" s="215"/>
      <c r="C35" s="140"/>
      <c r="D35" s="140"/>
      <c r="E35" s="140"/>
      <c r="F35"/>
      <c r="G35" s="2"/>
    </row>
    <row r="36" spans="1:8" s="8" customFormat="1" ht="29.25" customHeight="1">
      <c r="A36" s="216" t="s">
        <v>16</v>
      </c>
      <c r="B36" s="217"/>
      <c r="C36" s="140"/>
      <c r="D36" s="140"/>
      <c r="E36" s="140"/>
      <c r="F36"/>
      <c r="G36" s="2"/>
    </row>
    <row r="37" spans="1:8" s="8" customFormat="1" ht="6.75" customHeight="1">
      <c r="A37" s="38"/>
      <c r="B37" s="34"/>
      <c r="C37" s="19"/>
      <c r="D37" s="19"/>
      <c r="E37" s="34"/>
      <c r="F37"/>
      <c r="G37" s="2"/>
    </row>
    <row r="38" spans="1:8" s="8" customFormat="1" ht="18.75" customHeight="1">
      <c r="A38" s="20" t="s">
        <v>33</v>
      </c>
      <c r="B38" s="34"/>
      <c r="C38" s="19"/>
      <c r="D38" s="19"/>
      <c r="E38" s="34"/>
      <c r="F38"/>
      <c r="G38" s="2"/>
    </row>
    <row r="39" spans="1:8" s="8" customFormat="1" ht="15" customHeight="1">
      <c r="A39" s="149" t="s">
        <v>46</v>
      </c>
      <c r="B39" s="149"/>
      <c r="C39" s="149"/>
      <c r="D39" s="149"/>
      <c r="E39" s="149"/>
      <c r="F39"/>
      <c r="G39" s="2"/>
    </row>
    <row r="40" spans="1:8" ht="16.5" customHeight="1">
      <c r="A40" s="38" t="s">
        <v>13</v>
      </c>
      <c r="B40" s="38"/>
      <c r="C40" s="38"/>
      <c r="D40" s="38"/>
      <c r="E40" s="38"/>
      <c r="F40" s="10"/>
    </row>
    <row r="41" spans="1:8" s="32" customFormat="1" ht="15" customHeight="1">
      <c r="A41" s="26" t="s">
        <v>23</v>
      </c>
      <c r="B41" s="38"/>
      <c r="C41" s="38"/>
      <c r="D41" s="38"/>
      <c r="E41" s="38"/>
      <c r="F41" s="10"/>
      <c r="G41" s="33"/>
    </row>
    <row r="42" spans="1:8" ht="18.75" customHeight="1">
      <c r="A42" s="39" t="s">
        <v>12</v>
      </c>
      <c r="B42" s="39"/>
      <c r="C42" s="38" t="s">
        <v>20</v>
      </c>
      <c r="D42" s="42" t="s">
        <v>21</v>
      </c>
      <c r="E42" s="19"/>
      <c r="F42" s="3"/>
    </row>
    <row r="43" spans="1:8" ht="8.25" customHeight="1">
      <c r="A43" s="39"/>
      <c r="B43" s="39"/>
      <c r="C43" s="38"/>
      <c r="D43" s="42"/>
      <c r="E43" s="19"/>
      <c r="F43" s="9"/>
    </row>
    <row r="44" spans="1:8" ht="21" customHeight="1">
      <c r="A44" s="28" t="s">
        <v>34</v>
      </c>
      <c r="B44" s="39"/>
      <c r="C44" s="35"/>
      <c r="D44" s="35"/>
      <c r="E44" s="19"/>
      <c r="F44" s="9"/>
    </row>
    <row r="45" spans="1:8" ht="17.25" customHeight="1">
      <c r="A45" s="149" t="s">
        <v>46</v>
      </c>
      <c r="B45" s="149"/>
      <c r="C45" s="149"/>
      <c r="D45" s="149"/>
      <c r="E45" s="149"/>
      <c r="F45" s="9"/>
    </row>
    <row r="46" spans="1:8" ht="21" customHeight="1">
      <c r="A46" s="36" t="s">
        <v>4</v>
      </c>
      <c r="B46" s="164"/>
      <c r="C46" s="181"/>
      <c r="D46" s="181"/>
      <c r="E46" s="165"/>
      <c r="F46" s="9"/>
    </row>
    <row r="47" spans="1:8" ht="21" customHeight="1">
      <c r="A47" s="45" t="s">
        <v>14</v>
      </c>
      <c r="B47" s="164"/>
      <c r="C47" s="181"/>
      <c r="D47" s="181"/>
      <c r="E47" s="165"/>
      <c r="F47" s="9"/>
    </row>
    <row r="48" spans="1:8" ht="7.5" customHeight="1">
      <c r="A48" s="39"/>
      <c r="B48" s="39"/>
      <c r="C48" s="35"/>
      <c r="D48" s="35"/>
      <c r="E48" s="19"/>
      <c r="F48" s="9"/>
    </row>
    <row r="49" spans="1:10" ht="14.25" customHeight="1">
      <c r="A49" s="40" t="s">
        <v>35</v>
      </c>
      <c r="B49" s="41"/>
      <c r="C49" s="41"/>
      <c r="D49" s="35"/>
      <c r="E49" s="19"/>
      <c r="F49" s="9"/>
    </row>
    <row r="50" spans="1:10" ht="21" customHeight="1">
      <c r="A50" s="149" t="s">
        <v>46</v>
      </c>
      <c r="B50" s="149"/>
      <c r="C50" s="149"/>
      <c r="D50" s="149"/>
      <c r="E50" s="149"/>
      <c r="F50" s="9"/>
    </row>
    <row r="51" spans="1:10" ht="18" customHeight="1">
      <c r="A51" s="38" t="s">
        <v>7</v>
      </c>
      <c r="B51" s="42" t="s">
        <v>38</v>
      </c>
      <c r="C51" s="42"/>
      <c r="D51" s="42"/>
      <c r="E51" s="42"/>
      <c r="F51" s="13"/>
    </row>
    <row r="52" spans="1:10" ht="18" customHeight="1">
      <c r="A52" s="38" t="s">
        <v>8</v>
      </c>
      <c r="B52" s="42" t="s">
        <v>41</v>
      </c>
      <c r="C52" s="42"/>
      <c r="D52" s="42"/>
      <c r="E52" s="42"/>
      <c r="F52" s="13"/>
    </row>
    <row r="53" spans="1:10" s="32" customFormat="1" ht="18" customHeight="1">
      <c r="A53" s="38"/>
      <c r="B53" s="42"/>
      <c r="C53" s="42"/>
      <c r="D53" s="42"/>
      <c r="E53" s="42"/>
      <c r="F53" s="13"/>
      <c r="G53" s="33"/>
    </row>
    <row r="54" spans="1:10" s="32" customFormat="1" ht="12" customHeight="1">
      <c r="A54" s="166"/>
      <c r="B54" s="150" t="s">
        <v>44</v>
      </c>
      <c r="C54" s="151"/>
      <c r="D54" s="152"/>
      <c r="E54" s="14" t="s">
        <v>24</v>
      </c>
      <c r="F54" s="11"/>
      <c r="G54" s="11"/>
      <c r="H54" s="11"/>
      <c r="I54" s="11"/>
      <c r="J54" s="6"/>
    </row>
    <row r="55" spans="1:10" s="32" customFormat="1" ht="12" customHeight="1">
      <c r="A55" s="166"/>
      <c r="B55" s="153"/>
      <c r="C55" s="154"/>
      <c r="D55" s="155"/>
      <c r="E55" s="14" t="s">
        <v>25</v>
      </c>
      <c r="F55" s="7"/>
      <c r="G55" s="4"/>
      <c r="H55" s="5"/>
      <c r="I55" s="6"/>
      <c r="J55" s="6"/>
    </row>
    <row r="56" spans="1:10" s="32" customFormat="1" ht="12" customHeight="1">
      <c r="A56" s="166"/>
      <c r="B56" s="153"/>
      <c r="C56" s="154"/>
      <c r="D56" s="155"/>
      <c r="E56" s="25">
        <v>43871</v>
      </c>
      <c r="F56" s="2"/>
      <c r="G56" s="5"/>
      <c r="H56" s="5"/>
      <c r="I56" s="6"/>
      <c r="J56" s="6"/>
    </row>
    <row r="57" spans="1:10" s="32" customFormat="1" ht="12" customHeight="1">
      <c r="A57" s="166"/>
      <c r="B57" s="156"/>
      <c r="C57" s="157"/>
      <c r="D57" s="158"/>
      <c r="E57" s="15" t="s">
        <v>28</v>
      </c>
      <c r="F57" s="2"/>
      <c r="G57" s="5"/>
      <c r="H57" s="5"/>
      <c r="I57" s="6"/>
      <c r="J57" s="6"/>
    </row>
    <row r="58" spans="1:10" s="32" customFormat="1" ht="8.25" customHeight="1">
      <c r="A58" s="16"/>
      <c r="B58" s="48"/>
      <c r="C58" s="48"/>
      <c r="D58" s="48"/>
      <c r="E58" s="12"/>
      <c r="F58" s="2"/>
      <c r="G58" s="5"/>
      <c r="H58" s="5"/>
      <c r="I58" s="6"/>
      <c r="J58" s="6"/>
    </row>
    <row r="59" spans="1:10" s="32" customFormat="1" ht="18" customHeight="1">
      <c r="A59" s="213" t="s">
        <v>22</v>
      </c>
      <c r="B59" s="213"/>
      <c r="C59" s="213"/>
      <c r="D59" s="213"/>
      <c r="E59" s="213"/>
      <c r="F59" s="2"/>
      <c r="G59" s="5"/>
      <c r="H59" s="5"/>
      <c r="I59" s="6"/>
      <c r="J59" s="6"/>
    </row>
    <row r="60" spans="1:10" s="32" customFormat="1" ht="18" customHeight="1">
      <c r="A60" s="212" t="s">
        <v>40</v>
      </c>
      <c r="B60" s="212"/>
      <c r="C60" s="212"/>
      <c r="D60" s="212"/>
      <c r="E60" s="212"/>
      <c r="F60" s="2"/>
      <c r="G60" s="5"/>
      <c r="H60" s="5"/>
      <c r="I60" s="6"/>
      <c r="J60" s="6"/>
    </row>
    <row r="61" spans="1:10" s="32" customFormat="1" ht="38.25" customHeight="1">
      <c r="A61" s="212" t="s">
        <v>39</v>
      </c>
      <c r="B61" s="212"/>
      <c r="C61" s="212"/>
      <c r="D61" s="212"/>
      <c r="E61" s="212"/>
      <c r="F61" s="2"/>
      <c r="G61" s="5"/>
      <c r="H61" s="5"/>
      <c r="I61" s="6"/>
      <c r="J61" s="6"/>
    </row>
    <row r="62" spans="1:10" s="32" customFormat="1" ht="10.5" customHeight="1">
      <c r="A62" s="49"/>
      <c r="B62" s="49"/>
      <c r="C62" s="49"/>
      <c r="D62" s="49"/>
      <c r="E62" s="49"/>
      <c r="F62" s="2"/>
      <c r="G62" s="5"/>
      <c r="H62" s="5"/>
      <c r="I62" s="6"/>
      <c r="J62" s="6"/>
    </row>
    <row r="63" spans="1:10" ht="15.75" customHeight="1">
      <c r="A63" s="200" t="s">
        <v>31</v>
      </c>
      <c r="B63" s="200"/>
      <c r="C63" s="200"/>
      <c r="D63" s="200"/>
      <c r="E63" s="200"/>
    </row>
    <row r="64" spans="1:10" ht="12.75" customHeight="1">
      <c r="A64" s="191" t="s">
        <v>48</v>
      </c>
      <c r="B64" s="191"/>
      <c r="C64" s="191"/>
      <c r="D64" s="191"/>
      <c r="E64" s="191"/>
    </row>
    <row r="65" spans="1:5" ht="12.75">
      <c r="A65" s="17"/>
      <c r="B65" s="17"/>
      <c r="C65" s="17"/>
      <c r="D65" s="17"/>
      <c r="E65" s="17"/>
    </row>
    <row r="66" spans="1:5" ht="15" customHeight="1">
      <c r="A66" s="29" t="s">
        <v>9</v>
      </c>
      <c r="B66" s="29" t="s">
        <v>10</v>
      </c>
      <c r="C66" s="29" t="s">
        <v>11</v>
      </c>
      <c r="D66" s="29" t="s">
        <v>1</v>
      </c>
      <c r="E66" s="29" t="s">
        <v>0</v>
      </c>
    </row>
    <row r="67" spans="1:5" ht="15" customHeight="1">
      <c r="A67" s="37"/>
      <c r="B67" s="37"/>
      <c r="C67" s="37"/>
      <c r="D67" s="37" t="e">
        <f t="shared" ref="D67:D77" si="1">SUM(C67*100/$C$26)</f>
        <v>#DIV/0!</v>
      </c>
      <c r="E67" s="37"/>
    </row>
    <row r="68" spans="1:5" ht="15" customHeight="1">
      <c r="A68" s="37"/>
      <c r="B68" s="37"/>
      <c r="C68" s="37"/>
      <c r="D68" s="37" t="e">
        <f t="shared" si="1"/>
        <v>#DIV/0!</v>
      </c>
      <c r="E68" s="37"/>
    </row>
    <row r="69" spans="1:5" ht="15" customHeight="1">
      <c r="A69" s="37"/>
      <c r="B69" s="37"/>
      <c r="C69" s="37"/>
      <c r="D69" s="37" t="e">
        <f t="shared" si="1"/>
        <v>#DIV/0!</v>
      </c>
      <c r="E69" s="37"/>
    </row>
    <row r="70" spans="1:5" ht="15" customHeight="1">
      <c r="A70" s="37"/>
      <c r="B70" s="37"/>
      <c r="C70" s="37"/>
      <c r="D70" s="37" t="e">
        <f t="shared" si="1"/>
        <v>#DIV/0!</v>
      </c>
      <c r="E70" s="37"/>
    </row>
    <row r="71" spans="1:5" ht="15" customHeight="1">
      <c r="A71" s="37"/>
      <c r="B71" s="37"/>
      <c r="C71" s="37"/>
      <c r="D71" s="37" t="e">
        <f t="shared" si="1"/>
        <v>#DIV/0!</v>
      </c>
      <c r="E71" s="37"/>
    </row>
    <row r="72" spans="1:5" ht="15" customHeight="1">
      <c r="A72" s="37"/>
      <c r="B72" s="37"/>
      <c r="C72" s="37"/>
      <c r="D72" s="37" t="e">
        <f t="shared" si="1"/>
        <v>#DIV/0!</v>
      </c>
      <c r="E72" s="37"/>
    </row>
    <row r="73" spans="1:5" ht="15" customHeight="1">
      <c r="A73" s="37"/>
      <c r="B73" s="37"/>
      <c r="C73" s="37"/>
      <c r="D73" s="37" t="e">
        <f t="shared" si="1"/>
        <v>#DIV/0!</v>
      </c>
      <c r="E73" s="37"/>
    </row>
    <row r="74" spans="1:5" ht="15" customHeight="1">
      <c r="A74" s="37"/>
      <c r="B74" s="37"/>
      <c r="C74" s="37"/>
      <c r="D74" s="37" t="e">
        <f t="shared" si="1"/>
        <v>#DIV/0!</v>
      </c>
      <c r="E74" s="37"/>
    </row>
    <row r="75" spans="1:5" ht="15" customHeight="1">
      <c r="A75" s="37"/>
      <c r="B75" s="37"/>
      <c r="C75" s="37"/>
      <c r="D75" s="37" t="e">
        <f t="shared" si="1"/>
        <v>#DIV/0!</v>
      </c>
      <c r="E75" s="37"/>
    </row>
    <row r="76" spans="1:5" ht="15" customHeight="1">
      <c r="A76" s="37"/>
      <c r="B76" s="37"/>
      <c r="C76" s="37"/>
      <c r="D76" s="37" t="e">
        <f t="shared" si="1"/>
        <v>#DIV/0!</v>
      </c>
      <c r="E76" s="37"/>
    </row>
    <row r="77" spans="1:5" ht="15" customHeight="1">
      <c r="A77" s="37"/>
      <c r="B77" s="37"/>
      <c r="C77" s="37"/>
      <c r="D77" s="37" t="e">
        <f t="shared" si="1"/>
        <v>#DIV/0!</v>
      </c>
      <c r="E77" s="37"/>
    </row>
    <row r="78" spans="1:5" ht="15" customHeight="1">
      <c r="A78" s="34"/>
      <c r="B78" s="34" t="s">
        <v>2</v>
      </c>
      <c r="C78" s="37">
        <f>SUM(C67:C77)</f>
        <v>0</v>
      </c>
      <c r="D78" s="37" t="e">
        <f>SUM(D67:D77)</f>
        <v>#DIV/0!</v>
      </c>
      <c r="E78" s="37"/>
    </row>
    <row r="79" spans="1:5" ht="12.75">
      <c r="A79" s="34"/>
      <c r="B79" s="34"/>
      <c r="C79" s="34"/>
      <c r="D79" s="34"/>
      <c r="E79" s="34"/>
    </row>
    <row r="80" spans="1:5" ht="12.75">
      <c r="A80" s="26" t="s">
        <v>15</v>
      </c>
      <c r="B80" s="24"/>
      <c r="C80" s="34"/>
      <c r="D80" s="34"/>
      <c r="E80" s="34"/>
    </row>
    <row r="81" spans="1:7" ht="18" customHeight="1">
      <c r="A81" s="23"/>
      <c r="B81" s="27" t="s">
        <v>18</v>
      </c>
      <c r="C81" s="37"/>
      <c r="D81" s="34"/>
      <c r="E81" s="34"/>
    </row>
    <row r="82" spans="1:7" ht="18" customHeight="1">
      <c r="A82" s="23"/>
      <c r="B82" s="27" t="s">
        <v>19</v>
      </c>
      <c r="C82" s="37"/>
      <c r="D82" s="34"/>
      <c r="E82" s="34"/>
    </row>
    <row r="83" spans="1:7" ht="12.75">
      <c r="A83" s="38"/>
      <c r="B83" s="22"/>
      <c r="C83" s="34"/>
      <c r="D83" s="34"/>
      <c r="E83" s="34"/>
    </row>
    <row r="84" spans="1:7" ht="15.75">
      <c r="A84" s="21" t="s">
        <v>32</v>
      </c>
      <c r="B84" s="18"/>
      <c r="C84" s="18"/>
      <c r="D84" s="17"/>
      <c r="E84" s="17"/>
    </row>
    <row r="85" spans="1:7" ht="12.75" customHeight="1">
      <c r="A85" s="191" t="s">
        <v>45</v>
      </c>
      <c r="B85" s="191"/>
      <c r="C85" s="191"/>
      <c r="D85" s="191"/>
      <c r="E85" s="191"/>
    </row>
    <row r="86" spans="1:7" ht="21" customHeight="1">
      <c r="A86" s="218" t="s">
        <v>5</v>
      </c>
      <c r="B86" s="219"/>
      <c r="C86" s="164"/>
      <c r="D86" s="181"/>
      <c r="E86" s="165"/>
    </row>
    <row r="87" spans="1:7" ht="21" customHeight="1">
      <c r="A87" s="218" t="s">
        <v>6</v>
      </c>
      <c r="B87" s="219"/>
      <c r="C87" s="164"/>
      <c r="D87" s="181"/>
      <c r="E87" s="165"/>
    </row>
    <row r="88" spans="1:7" ht="34.5" customHeight="1">
      <c r="A88" s="220" t="s">
        <v>16</v>
      </c>
      <c r="B88" s="221"/>
      <c r="C88" s="164"/>
      <c r="D88" s="181"/>
      <c r="E88" s="165"/>
    </row>
    <row r="89" spans="1:7" ht="12.75">
      <c r="A89" s="38"/>
      <c r="B89" s="34"/>
      <c r="C89" s="19"/>
      <c r="D89" s="19"/>
      <c r="E89" s="34"/>
    </row>
    <row r="90" spans="1:7" ht="15.75">
      <c r="A90" s="20" t="s">
        <v>33</v>
      </c>
      <c r="B90" s="34"/>
      <c r="C90" s="19"/>
      <c r="D90" s="19"/>
      <c r="E90" s="34"/>
    </row>
    <row r="91" spans="1:7" ht="12.75" customHeight="1">
      <c r="A91" s="149" t="s">
        <v>46</v>
      </c>
      <c r="B91" s="149"/>
      <c r="C91" s="149"/>
      <c r="D91" s="149"/>
      <c r="E91" s="149"/>
    </row>
    <row r="92" spans="1:7" ht="12.75">
      <c r="A92" s="38" t="s">
        <v>13</v>
      </c>
      <c r="B92" s="38"/>
      <c r="C92" s="38"/>
      <c r="D92" s="38"/>
      <c r="E92" s="38"/>
    </row>
    <row r="93" spans="1:7" ht="12.75">
      <c r="A93" s="26" t="s">
        <v>23</v>
      </c>
      <c r="B93" s="38"/>
      <c r="C93" s="38"/>
      <c r="D93" s="38"/>
      <c r="E93" s="38"/>
    </row>
    <row r="94" spans="1:7" s="32" customFormat="1" ht="18.75" customHeight="1">
      <c r="A94" s="39" t="s">
        <v>12</v>
      </c>
      <c r="B94" s="39"/>
      <c r="C94" s="38" t="s">
        <v>20</v>
      </c>
      <c r="D94" s="42" t="s">
        <v>21</v>
      </c>
      <c r="E94" s="19"/>
      <c r="F94" s="9"/>
      <c r="G94" s="33"/>
    </row>
    <row r="95" spans="1:7" ht="12.75">
      <c r="A95" s="39"/>
      <c r="B95" s="39"/>
      <c r="C95" s="38"/>
      <c r="D95" s="42"/>
      <c r="E95" s="19"/>
    </row>
    <row r="96" spans="1:7" ht="15.75">
      <c r="A96" s="28" t="s">
        <v>34</v>
      </c>
      <c r="B96" s="39"/>
      <c r="C96" s="35"/>
      <c r="D96" s="35"/>
      <c r="E96" s="19"/>
    </row>
    <row r="97" spans="1:10" ht="12.75" customHeight="1">
      <c r="A97" s="149" t="s">
        <v>46</v>
      </c>
      <c r="B97" s="149"/>
      <c r="C97" s="149"/>
      <c r="D97" s="149"/>
      <c r="E97" s="149"/>
    </row>
    <row r="98" spans="1:10" ht="21.75" customHeight="1">
      <c r="A98" s="46" t="s">
        <v>4</v>
      </c>
      <c r="B98" s="140"/>
      <c r="C98" s="140"/>
      <c r="D98" s="140"/>
      <c r="E98" s="140"/>
    </row>
    <row r="99" spans="1:10" ht="21.75" customHeight="1">
      <c r="A99" s="47" t="s">
        <v>14</v>
      </c>
      <c r="B99" s="140"/>
      <c r="C99" s="140"/>
      <c r="D99" s="140"/>
      <c r="E99" s="140"/>
    </row>
    <row r="100" spans="1:10" ht="12.75">
      <c r="A100" s="39"/>
      <c r="B100" s="39"/>
      <c r="C100" s="35"/>
      <c r="D100" s="35"/>
      <c r="E100" s="19"/>
    </row>
    <row r="101" spans="1:10" ht="15.75">
      <c r="A101" s="40" t="s">
        <v>35</v>
      </c>
      <c r="B101" s="41"/>
      <c r="C101" s="41"/>
      <c r="D101" s="35"/>
      <c r="E101" s="19"/>
    </row>
    <row r="102" spans="1:10" ht="12.75" customHeight="1">
      <c r="A102" s="149" t="s">
        <v>46</v>
      </c>
      <c r="B102" s="149"/>
      <c r="C102" s="149"/>
      <c r="D102" s="149"/>
      <c r="E102" s="149"/>
    </row>
    <row r="103" spans="1:10" s="32" customFormat="1" ht="18" customHeight="1">
      <c r="A103" s="44" t="s">
        <v>7</v>
      </c>
      <c r="B103" s="43" t="s">
        <v>38</v>
      </c>
      <c r="C103" s="43"/>
      <c r="D103" s="43"/>
      <c r="E103" s="43"/>
      <c r="F103" s="13"/>
      <c r="G103" s="33"/>
    </row>
    <row r="104" spans="1:10" s="32" customFormat="1" ht="18" customHeight="1">
      <c r="A104" s="44" t="s">
        <v>8</v>
      </c>
      <c r="B104" s="43" t="s">
        <v>42</v>
      </c>
      <c r="C104" s="43"/>
      <c r="D104" s="43"/>
      <c r="E104" s="43"/>
      <c r="F104" s="13"/>
      <c r="G104" s="33"/>
    </row>
    <row r="105" spans="1:10" s="32" customFormat="1" ht="18" customHeight="1">
      <c r="A105" s="44"/>
      <c r="B105" s="43"/>
      <c r="C105" s="43"/>
      <c r="D105" s="43"/>
      <c r="E105" s="43"/>
      <c r="F105" s="13"/>
      <c r="G105" s="33"/>
    </row>
    <row r="106" spans="1:10" ht="12.75" customHeight="1">
      <c r="A106" s="166"/>
      <c r="B106" s="150" t="s">
        <v>44</v>
      </c>
      <c r="C106" s="151"/>
      <c r="D106" s="152"/>
      <c r="E106" s="14" t="s">
        <v>24</v>
      </c>
    </row>
    <row r="107" spans="1:10" ht="12.75" customHeight="1">
      <c r="A107" s="166"/>
      <c r="B107" s="153"/>
      <c r="C107" s="154"/>
      <c r="D107" s="155"/>
      <c r="E107" s="14" t="s">
        <v>25</v>
      </c>
    </row>
    <row r="108" spans="1:10" ht="12.75" customHeight="1">
      <c r="A108" s="166"/>
      <c r="B108" s="153"/>
      <c r="C108" s="154"/>
      <c r="D108" s="155"/>
      <c r="E108" s="25">
        <v>43871</v>
      </c>
    </row>
    <row r="109" spans="1:10" ht="12.75" customHeight="1">
      <c r="A109" s="166"/>
      <c r="B109" s="156"/>
      <c r="C109" s="157"/>
      <c r="D109" s="158"/>
      <c r="E109" s="15" t="s">
        <v>29</v>
      </c>
    </row>
    <row r="110" spans="1:10" s="32" customFormat="1" ht="11.25" customHeight="1">
      <c r="A110" s="16"/>
      <c r="B110" s="48"/>
      <c r="C110" s="48"/>
      <c r="D110" s="48"/>
      <c r="E110" s="12"/>
      <c r="G110" s="33"/>
    </row>
    <row r="111" spans="1:10" s="32" customFormat="1" ht="18" customHeight="1">
      <c r="A111" s="213" t="s">
        <v>22</v>
      </c>
      <c r="B111" s="213"/>
      <c r="C111" s="213"/>
      <c r="D111" s="213"/>
      <c r="E111" s="213"/>
      <c r="F111" s="2"/>
      <c r="G111" s="5"/>
      <c r="H111" s="5"/>
      <c r="I111" s="6"/>
      <c r="J111" s="6"/>
    </row>
    <row r="112" spans="1:10" s="32" customFormat="1" ht="18" customHeight="1">
      <c r="A112" s="212" t="s">
        <v>40</v>
      </c>
      <c r="B112" s="212"/>
      <c r="C112" s="212"/>
      <c r="D112" s="212"/>
      <c r="E112" s="212"/>
      <c r="F112" s="2"/>
      <c r="G112" s="5"/>
      <c r="H112" s="5"/>
      <c r="I112" s="6"/>
      <c r="J112" s="6"/>
    </row>
    <row r="113" spans="1:10" s="32" customFormat="1" ht="38.25" customHeight="1">
      <c r="A113" s="212" t="s">
        <v>39</v>
      </c>
      <c r="B113" s="212"/>
      <c r="C113" s="212"/>
      <c r="D113" s="212"/>
      <c r="E113" s="212"/>
      <c r="F113" s="2"/>
      <c r="G113" s="5"/>
      <c r="H113" s="5"/>
      <c r="I113" s="6"/>
      <c r="J113" s="6"/>
    </row>
    <row r="114" spans="1:10" s="32" customFormat="1" ht="15.75" customHeight="1">
      <c r="A114" s="16"/>
      <c r="B114" s="48"/>
      <c r="C114" s="48"/>
      <c r="D114" s="48"/>
      <c r="E114" s="12"/>
      <c r="G114" s="33"/>
    </row>
    <row r="115" spans="1:10" ht="15.75">
      <c r="A115" s="175" t="s">
        <v>31</v>
      </c>
      <c r="B115" s="175"/>
      <c r="C115" s="175"/>
      <c r="D115" s="16"/>
      <c r="E115" s="12"/>
    </row>
    <row r="116" spans="1:10" ht="12.75" customHeight="1">
      <c r="A116" s="191" t="s">
        <v>48</v>
      </c>
      <c r="B116" s="191"/>
      <c r="C116" s="191"/>
      <c r="D116" s="191"/>
      <c r="E116" s="191"/>
    </row>
    <row r="117" spans="1:10" ht="12.75">
      <c r="A117" s="17"/>
      <c r="B117" s="17"/>
      <c r="C117" s="17"/>
      <c r="D117" s="17"/>
      <c r="E117" s="17"/>
    </row>
    <row r="118" spans="1:10" ht="15" customHeight="1">
      <c r="A118" s="29" t="s">
        <v>9</v>
      </c>
      <c r="B118" s="29" t="s">
        <v>10</v>
      </c>
      <c r="C118" s="29" t="s">
        <v>11</v>
      </c>
      <c r="D118" s="29" t="s">
        <v>1</v>
      </c>
      <c r="E118" s="29" t="s">
        <v>0</v>
      </c>
    </row>
    <row r="119" spans="1:10" ht="15" customHeight="1">
      <c r="A119" s="37"/>
      <c r="B119" s="37"/>
      <c r="C119" s="37"/>
      <c r="D119" s="37" t="e">
        <f t="shared" ref="D119:D129" si="2">SUM(C119*100/$C$26)</f>
        <v>#DIV/0!</v>
      </c>
      <c r="E119" s="37"/>
    </row>
    <row r="120" spans="1:10" ht="15" customHeight="1">
      <c r="A120" s="37"/>
      <c r="B120" s="37"/>
      <c r="C120" s="37"/>
      <c r="D120" s="37" t="e">
        <f t="shared" si="2"/>
        <v>#DIV/0!</v>
      </c>
      <c r="E120" s="37"/>
    </row>
    <row r="121" spans="1:10" ht="15" customHeight="1">
      <c r="A121" s="37"/>
      <c r="B121" s="37"/>
      <c r="C121" s="37"/>
      <c r="D121" s="37" t="e">
        <f t="shared" si="2"/>
        <v>#DIV/0!</v>
      </c>
      <c r="E121" s="37"/>
    </row>
    <row r="122" spans="1:10" ht="15" customHeight="1">
      <c r="A122" s="37"/>
      <c r="B122" s="37"/>
      <c r="C122" s="37"/>
      <c r="D122" s="37" t="e">
        <f t="shared" si="2"/>
        <v>#DIV/0!</v>
      </c>
      <c r="E122" s="37"/>
    </row>
    <row r="123" spans="1:10" ht="15" customHeight="1">
      <c r="A123" s="37"/>
      <c r="B123" s="37"/>
      <c r="C123" s="37"/>
      <c r="D123" s="37" t="e">
        <f t="shared" si="2"/>
        <v>#DIV/0!</v>
      </c>
      <c r="E123" s="37"/>
    </row>
    <row r="124" spans="1:10" ht="15" customHeight="1">
      <c r="A124" s="37"/>
      <c r="B124" s="37"/>
      <c r="C124" s="37"/>
      <c r="D124" s="37" t="e">
        <f t="shared" si="2"/>
        <v>#DIV/0!</v>
      </c>
      <c r="E124" s="37"/>
    </row>
    <row r="125" spans="1:10" ht="15" customHeight="1">
      <c r="A125" s="37"/>
      <c r="B125" s="37"/>
      <c r="C125" s="37"/>
      <c r="D125" s="37" t="e">
        <f t="shared" si="2"/>
        <v>#DIV/0!</v>
      </c>
      <c r="E125" s="37"/>
    </row>
    <row r="126" spans="1:10" ht="15" customHeight="1">
      <c r="A126" s="37"/>
      <c r="B126" s="37"/>
      <c r="C126" s="37"/>
      <c r="D126" s="37" t="e">
        <f t="shared" si="2"/>
        <v>#DIV/0!</v>
      </c>
      <c r="E126" s="37"/>
    </row>
    <row r="127" spans="1:10" ht="15" customHeight="1">
      <c r="A127" s="37"/>
      <c r="B127" s="37"/>
      <c r="C127" s="37"/>
      <c r="D127" s="37" t="e">
        <f t="shared" si="2"/>
        <v>#DIV/0!</v>
      </c>
      <c r="E127" s="37"/>
    </row>
    <row r="128" spans="1:10" ht="15" customHeight="1">
      <c r="A128" s="37"/>
      <c r="B128" s="37"/>
      <c r="C128" s="37"/>
      <c r="D128" s="37" t="e">
        <f t="shared" si="2"/>
        <v>#DIV/0!</v>
      </c>
      <c r="E128" s="37"/>
    </row>
    <row r="129" spans="1:5" ht="15" customHeight="1">
      <c r="A129" s="37"/>
      <c r="B129" s="37"/>
      <c r="C129" s="37"/>
      <c r="D129" s="37" t="e">
        <f t="shared" si="2"/>
        <v>#DIV/0!</v>
      </c>
      <c r="E129" s="37"/>
    </row>
    <row r="130" spans="1:5" ht="15" customHeight="1">
      <c r="A130" s="34"/>
      <c r="B130" s="34" t="s">
        <v>2</v>
      </c>
      <c r="C130" s="37">
        <f>SUM(C119:C129)</f>
        <v>0</v>
      </c>
      <c r="D130" s="37" t="e">
        <f>SUM(D119:D129)</f>
        <v>#DIV/0!</v>
      </c>
      <c r="E130" s="37"/>
    </row>
    <row r="131" spans="1:5" ht="12.75">
      <c r="A131" s="34"/>
      <c r="B131" s="34"/>
      <c r="C131" s="34"/>
      <c r="D131" s="34"/>
      <c r="E131" s="34"/>
    </row>
    <row r="132" spans="1:5" ht="12.75">
      <c r="A132" s="26" t="s">
        <v>15</v>
      </c>
      <c r="B132" s="24"/>
      <c r="C132" s="34"/>
      <c r="D132" s="34"/>
      <c r="E132" s="34"/>
    </row>
    <row r="133" spans="1:5" ht="18" customHeight="1">
      <c r="A133" s="23"/>
      <c r="B133" s="27" t="s">
        <v>18</v>
      </c>
      <c r="C133" s="37"/>
      <c r="D133" s="34"/>
      <c r="E133" s="34"/>
    </row>
    <row r="134" spans="1:5" ht="18" customHeight="1">
      <c r="A134" s="23"/>
      <c r="B134" s="27" t="s">
        <v>19</v>
      </c>
      <c r="C134" s="37"/>
      <c r="D134" s="34"/>
      <c r="E134" s="34"/>
    </row>
    <row r="135" spans="1:5" ht="12.75">
      <c r="A135" s="38"/>
      <c r="B135" s="22"/>
      <c r="C135" s="34"/>
      <c r="D135" s="34"/>
      <c r="E135" s="34"/>
    </row>
    <row r="136" spans="1:5" ht="15.75">
      <c r="A136" s="21" t="s">
        <v>32</v>
      </c>
      <c r="B136" s="18"/>
      <c r="C136" s="18"/>
      <c r="D136" s="17"/>
      <c r="E136" s="17"/>
    </row>
    <row r="137" spans="1:5" ht="12.75" customHeight="1">
      <c r="A137" s="191" t="s">
        <v>45</v>
      </c>
      <c r="B137" s="191"/>
      <c r="C137" s="191"/>
      <c r="D137" s="191"/>
      <c r="E137" s="191"/>
    </row>
    <row r="138" spans="1:5" ht="21" customHeight="1">
      <c r="A138" s="210" t="s">
        <v>5</v>
      </c>
      <c r="B138" s="210"/>
      <c r="C138" s="140"/>
      <c r="D138" s="140"/>
      <c r="E138" s="140"/>
    </row>
    <row r="139" spans="1:5" ht="21" customHeight="1">
      <c r="A139" s="210" t="s">
        <v>6</v>
      </c>
      <c r="B139" s="210"/>
      <c r="C139" s="140"/>
      <c r="D139" s="140"/>
      <c r="E139" s="140"/>
    </row>
    <row r="140" spans="1:5" ht="27.75" customHeight="1">
      <c r="A140" s="226" t="s">
        <v>16</v>
      </c>
      <c r="B140" s="226"/>
      <c r="C140" s="140"/>
      <c r="D140" s="140"/>
      <c r="E140" s="140"/>
    </row>
    <row r="141" spans="1:5" ht="12.75">
      <c r="A141" s="38"/>
      <c r="B141" s="34"/>
      <c r="C141" s="19"/>
      <c r="D141" s="19"/>
      <c r="E141" s="34"/>
    </row>
    <row r="142" spans="1:5" ht="15.75">
      <c r="A142" s="20" t="s">
        <v>33</v>
      </c>
      <c r="B142" s="34"/>
      <c r="C142" s="19"/>
      <c r="D142" s="19"/>
      <c r="E142" s="34"/>
    </row>
    <row r="143" spans="1:5" ht="12.75" customHeight="1">
      <c r="A143" s="149" t="s">
        <v>46</v>
      </c>
      <c r="B143" s="149"/>
      <c r="C143" s="149"/>
      <c r="D143" s="149"/>
      <c r="E143" s="149"/>
    </row>
    <row r="144" spans="1:5" ht="12.75">
      <c r="A144" s="173" t="s">
        <v>13</v>
      </c>
      <c r="B144" s="173"/>
      <c r="C144" s="173"/>
      <c r="D144" s="38"/>
      <c r="E144" s="38"/>
    </row>
    <row r="145" spans="1:7" ht="12.75">
      <c r="A145" s="26" t="s">
        <v>23</v>
      </c>
      <c r="B145" s="38"/>
      <c r="C145" s="38"/>
      <c r="D145" s="38"/>
      <c r="E145" s="38"/>
    </row>
    <row r="146" spans="1:7" s="32" customFormat="1" ht="18.75" customHeight="1">
      <c r="A146" s="174" t="s">
        <v>12</v>
      </c>
      <c r="B146" s="174"/>
      <c r="C146" s="38" t="s">
        <v>20</v>
      </c>
      <c r="D146" s="42" t="s">
        <v>21</v>
      </c>
      <c r="E146" s="19"/>
      <c r="F146" s="9"/>
      <c r="G146" s="33"/>
    </row>
    <row r="147" spans="1:7" ht="12.75">
      <c r="A147" s="39"/>
      <c r="B147" s="39"/>
      <c r="C147" s="38"/>
      <c r="D147" s="42"/>
      <c r="E147" s="19"/>
    </row>
    <row r="148" spans="1:7" ht="15.75">
      <c r="A148" s="28" t="s">
        <v>34</v>
      </c>
      <c r="B148" s="39"/>
      <c r="C148" s="35"/>
      <c r="D148" s="35"/>
      <c r="E148" s="19"/>
    </row>
    <row r="149" spans="1:7" ht="12.75" customHeight="1">
      <c r="A149" s="149" t="s">
        <v>46</v>
      </c>
      <c r="B149" s="149"/>
      <c r="C149" s="149"/>
      <c r="D149" s="149"/>
      <c r="E149" s="149"/>
    </row>
    <row r="150" spans="1:7" ht="21" customHeight="1">
      <c r="A150" s="46" t="s">
        <v>4</v>
      </c>
      <c r="B150" s="140"/>
      <c r="C150" s="140"/>
      <c r="D150" s="140"/>
      <c r="E150" s="140"/>
    </row>
    <row r="151" spans="1:7" ht="21" customHeight="1">
      <c r="A151" s="47" t="s">
        <v>14</v>
      </c>
      <c r="B151" s="140"/>
      <c r="C151" s="140"/>
      <c r="D151" s="140"/>
      <c r="E151" s="140"/>
    </row>
    <row r="152" spans="1:7" ht="12.75">
      <c r="A152" s="39"/>
      <c r="B152" s="39"/>
      <c r="C152" s="35"/>
      <c r="D152" s="35"/>
      <c r="E152" s="19"/>
    </row>
    <row r="153" spans="1:7" ht="15.75">
      <c r="A153" s="138" t="s">
        <v>35</v>
      </c>
      <c r="B153" s="139"/>
      <c r="C153" s="139"/>
      <c r="D153" s="35"/>
      <c r="E153" s="19"/>
    </row>
    <row r="154" spans="1:7" ht="12.75" customHeight="1">
      <c r="A154" s="149" t="s">
        <v>46</v>
      </c>
      <c r="B154" s="149"/>
      <c r="C154" s="149"/>
      <c r="D154" s="149"/>
      <c r="E154" s="149"/>
    </row>
    <row r="155" spans="1:7" s="32" customFormat="1" ht="18" customHeight="1">
      <c r="A155" s="44" t="s">
        <v>7</v>
      </c>
      <c r="B155" s="43" t="s">
        <v>38</v>
      </c>
      <c r="C155" s="43"/>
      <c r="D155" s="43"/>
      <c r="E155" s="43"/>
      <c r="F155" s="13"/>
      <c r="G155" s="33"/>
    </row>
    <row r="156" spans="1:7" s="32" customFormat="1" ht="18" customHeight="1">
      <c r="A156" s="44" t="s">
        <v>8</v>
      </c>
      <c r="B156" s="43" t="s">
        <v>43</v>
      </c>
      <c r="C156" s="43"/>
      <c r="D156" s="43"/>
      <c r="E156" s="43"/>
      <c r="F156" s="13"/>
      <c r="G156" s="33"/>
    </row>
    <row r="157" spans="1:7" s="32" customFormat="1" ht="18" customHeight="1">
      <c r="A157" s="44"/>
      <c r="B157" s="43"/>
      <c r="C157" s="43"/>
      <c r="D157" s="43"/>
      <c r="E157" s="43"/>
      <c r="F157" s="13"/>
      <c r="G157" s="33"/>
    </row>
    <row r="158" spans="1:7" s="32" customFormat="1" ht="18" customHeight="1">
      <c r="A158" s="44"/>
      <c r="B158" s="43"/>
      <c r="C158" s="43"/>
      <c r="D158" s="43"/>
      <c r="E158" s="43"/>
      <c r="F158" s="13"/>
      <c r="G158" s="33"/>
    </row>
    <row r="159" spans="1:7" ht="12.75" customHeight="1">
      <c r="A159" s="166"/>
      <c r="B159" s="150" t="s">
        <v>44</v>
      </c>
      <c r="C159" s="151"/>
      <c r="D159" s="152"/>
      <c r="E159" s="14" t="s">
        <v>24</v>
      </c>
    </row>
    <row r="160" spans="1:7" ht="12.75" customHeight="1">
      <c r="A160" s="166"/>
      <c r="B160" s="153"/>
      <c r="C160" s="154"/>
      <c r="D160" s="155"/>
      <c r="E160" s="14" t="s">
        <v>25</v>
      </c>
    </row>
    <row r="161" spans="1:10" ht="12.75" customHeight="1">
      <c r="A161" s="166"/>
      <c r="B161" s="153"/>
      <c r="C161" s="154"/>
      <c r="D161" s="155"/>
      <c r="E161" s="25">
        <v>43871</v>
      </c>
    </row>
    <row r="162" spans="1:10" ht="12.75" customHeight="1">
      <c r="A162" s="166"/>
      <c r="B162" s="156"/>
      <c r="C162" s="157"/>
      <c r="D162" s="158"/>
      <c r="E162" s="15" t="s">
        <v>30</v>
      </c>
    </row>
    <row r="163" spans="1:10" s="32" customFormat="1" ht="8.25" customHeight="1">
      <c r="A163" s="16"/>
      <c r="B163" s="48"/>
      <c r="C163" s="48"/>
      <c r="D163" s="48"/>
      <c r="E163" s="12"/>
      <c r="G163" s="33"/>
    </row>
    <row r="164" spans="1:10" s="32" customFormat="1" ht="18" customHeight="1">
      <c r="A164" s="213" t="s">
        <v>22</v>
      </c>
      <c r="B164" s="213"/>
      <c r="C164" s="213"/>
      <c r="D164" s="213"/>
      <c r="E164" s="213"/>
      <c r="F164" s="2"/>
      <c r="G164" s="5"/>
      <c r="H164" s="5"/>
      <c r="I164" s="6"/>
      <c r="J164" s="6"/>
    </row>
    <row r="165" spans="1:10" s="32" customFormat="1" ht="18" customHeight="1">
      <c r="A165" s="212" t="s">
        <v>40</v>
      </c>
      <c r="B165" s="212"/>
      <c r="C165" s="212"/>
      <c r="D165" s="212"/>
      <c r="E165" s="212"/>
      <c r="F165" s="2"/>
      <c r="G165" s="5"/>
      <c r="H165" s="5"/>
      <c r="I165" s="6"/>
      <c r="J165" s="6"/>
    </row>
    <row r="166" spans="1:10" s="32" customFormat="1" ht="38.25" customHeight="1">
      <c r="A166" s="212" t="s">
        <v>39</v>
      </c>
      <c r="B166" s="212"/>
      <c r="C166" s="212"/>
      <c r="D166" s="212"/>
      <c r="E166" s="212"/>
      <c r="F166" s="2"/>
      <c r="G166" s="5"/>
      <c r="H166" s="5"/>
      <c r="I166" s="6"/>
      <c r="J166" s="6"/>
    </row>
    <row r="167" spans="1:10" s="32" customFormat="1" ht="14.25" customHeight="1">
      <c r="A167" s="49"/>
      <c r="B167" s="49"/>
      <c r="C167" s="49"/>
      <c r="D167" s="49"/>
      <c r="E167" s="49"/>
      <c r="F167" s="2"/>
      <c r="G167" s="5"/>
      <c r="H167" s="5"/>
      <c r="I167" s="6"/>
      <c r="J167" s="6"/>
    </row>
    <row r="168" spans="1:10" ht="15.75">
      <c r="A168" s="175" t="s">
        <v>31</v>
      </c>
      <c r="B168" s="175"/>
      <c r="C168" s="175"/>
      <c r="D168" s="16"/>
      <c r="E168" s="12"/>
    </row>
    <row r="169" spans="1:10" ht="12.75" customHeight="1">
      <c r="A169" s="191" t="s">
        <v>48</v>
      </c>
      <c r="B169" s="191"/>
      <c r="C169" s="191"/>
      <c r="D169" s="191"/>
      <c r="E169" s="191"/>
    </row>
    <row r="170" spans="1:10" ht="12.75">
      <c r="A170" s="17"/>
      <c r="B170" s="17"/>
      <c r="C170" s="17"/>
      <c r="D170" s="17"/>
      <c r="E170" s="17"/>
    </row>
    <row r="171" spans="1:10" ht="15.75" customHeight="1">
      <c r="A171" s="29" t="s">
        <v>9</v>
      </c>
      <c r="B171" s="29" t="s">
        <v>10</v>
      </c>
      <c r="C171" s="29" t="s">
        <v>11</v>
      </c>
      <c r="D171" s="29" t="s">
        <v>1</v>
      </c>
      <c r="E171" s="29" t="s">
        <v>0</v>
      </c>
    </row>
    <row r="172" spans="1:10" ht="15.75" customHeight="1">
      <c r="A172" s="37"/>
      <c r="B172" s="37"/>
      <c r="C172" s="37"/>
      <c r="D172" s="37" t="e">
        <f t="shared" ref="D172:D182" si="3">SUM(C172*100/$C$26)</f>
        <v>#DIV/0!</v>
      </c>
      <c r="E172" s="37"/>
    </row>
    <row r="173" spans="1:10" ht="15.75" customHeight="1">
      <c r="A173" s="37"/>
      <c r="B173" s="37"/>
      <c r="C173" s="37"/>
      <c r="D173" s="37" t="e">
        <f t="shared" si="3"/>
        <v>#DIV/0!</v>
      </c>
      <c r="E173" s="37"/>
    </row>
    <row r="174" spans="1:10" ht="15.75" customHeight="1">
      <c r="A174" s="37"/>
      <c r="B174" s="37"/>
      <c r="C174" s="37"/>
      <c r="D174" s="37" t="e">
        <f t="shared" si="3"/>
        <v>#DIV/0!</v>
      </c>
      <c r="E174" s="37"/>
    </row>
    <row r="175" spans="1:10" ht="15.75" customHeight="1">
      <c r="A175" s="37"/>
      <c r="B175" s="37"/>
      <c r="C175" s="37"/>
      <c r="D175" s="37" t="e">
        <f t="shared" si="3"/>
        <v>#DIV/0!</v>
      </c>
      <c r="E175" s="37"/>
    </row>
    <row r="176" spans="1:10" ht="15.75" customHeight="1">
      <c r="A176" s="37"/>
      <c r="B176" s="37"/>
      <c r="C176" s="37"/>
      <c r="D176" s="37" t="e">
        <f t="shared" si="3"/>
        <v>#DIV/0!</v>
      </c>
      <c r="E176" s="37"/>
    </row>
    <row r="177" spans="1:5" ht="15.75" customHeight="1">
      <c r="A177" s="37"/>
      <c r="B177" s="37"/>
      <c r="C177" s="37"/>
      <c r="D177" s="37" t="e">
        <f t="shared" si="3"/>
        <v>#DIV/0!</v>
      </c>
      <c r="E177" s="37"/>
    </row>
    <row r="178" spans="1:5" ht="15.75" customHeight="1">
      <c r="A178" s="37"/>
      <c r="B178" s="37"/>
      <c r="C178" s="37"/>
      <c r="D178" s="37" t="e">
        <f t="shared" si="3"/>
        <v>#DIV/0!</v>
      </c>
      <c r="E178" s="37"/>
    </row>
    <row r="179" spans="1:5" ht="15.75" customHeight="1">
      <c r="A179" s="37"/>
      <c r="B179" s="37"/>
      <c r="C179" s="37"/>
      <c r="D179" s="37" t="e">
        <f t="shared" si="3"/>
        <v>#DIV/0!</v>
      </c>
      <c r="E179" s="37"/>
    </row>
    <row r="180" spans="1:5" ht="15.75" customHeight="1">
      <c r="A180" s="37"/>
      <c r="B180" s="37"/>
      <c r="C180" s="37"/>
      <c r="D180" s="37" t="e">
        <f t="shared" si="3"/>
        <v>#DIV/0!</v>
      </c>
      <c r="E180" s="37"/>
    </row>
    <row r="181" spans="1:5" ht="15.75" customHeight="1">
      <c r="A181" s="37"/>
      <c r="B181" s="37"/>
      <c r="C181" s="37"/>
      <c r="D181" s="37" t="e">
        <f t="shared" si="3"/>
        <v>#DIV/0!</v>
      </c>
      <c r="E181" s="37"/>
    </row>
    <row r="182" spans="1:5" ht="15.75" customHeight="1">
      <c r="A182" s="37"/>
      <c r="B182" s="37"/>
      <c r="C182" s="37"/>
      <c r="D182" s="37" t="e">
        <f t="shared" si="3"/>
        <v>#DIV/0!</v>
      </c>
      <c r="E182" s="37"/>
    </row>
    <row r="183" spans="1:5" ht="15.75" customHeight="1">
      <c r="A183" s="34"/>
      <c r="B183" s="34" t="s">
        <v>2</v>
      </c>
      <c r="C183" s="37">
        <f>SUM(C172:C182)</f>
        <v>0</v>
      </c>
      <c r="D183" s="37" t="e">
        <f>SUM(D172:D182)</f>
        <v>#DIV/0!</v>
      </c>
      <c r="E183" s="37"/>
    </row>
    <row r="184" spans="1:5" ht="12.75">
      <c r="A184" s="34"/>
      <c r="B184" s="34"/>
      <c r="C184" s="34"/>
      <c r="D184" s="34"/>
      <c r="E184" s="34"/>
    </row>
    <row r="185" spans="1:5" ht="12.75">
      <c r="A185" s="26" t="s">
        <v>15</v>
      </c>
      <c r="B185" s="24"/>
      <c r="C185" s="34"/>
      <c r="D185" s="34"/>
      <c r="E185" s="34"/>
    </row>
    <row r="186" spans="1:5" ht="18" customHeight="1">
      <c r="A186" s="23"/>
      <c r="B186" s="27" t="s">
        <v>18</v>
      </c>
      <c r="C186" s="37"/>
      <c r="D186" s="34"/>
      <c r="E186" s="34"/>
    </row>
    <row r="187" spans="1:5" ht="18" customHeight="1">
      <c r="A187" s="23"/>
      <c r="B187" s="27" t="s">
        <v>19</v>
      </c>
      <c r="C187" s="37"/>
      <c r="D187" s="34"/>
      <c r="E187" s="34"/>
    </row>
    <row r="188" spans="1:5" ht="12.75">
      <c r="A188" s="38"/>
      <c r="B188" s="22"/>
      <c r="C188" s="34"/>
      <c r="D188" s="34"/>
      <c r="E188" s="34"/>
    </row>
    <row r="189" spans="1:5" ht="15.75">
      <c r="A189" s="21" t="s">
        <v>32</v>
      </c>
      <c r="B189" s="18"/>
      <c r="C189" s="18"/>
      <c r="D189" s="17"/>
      <c r="E189" s="17"/>
    </row>
    <row r="190" spans="1:5" ht="12.75" customHeight="1">
      <c r="A190" s="191" t="s">
        <v>45</v>
      </c>
      <c r="B190" s="191"/>
      <c r="C190" s="191"/>
      <c r="D190" s="191"/>
      <c r="E190" s="191"/>
    </row>
    <row r="191" spans="1:5" ht="21.75" customHeight="1">
      <c r="A191" s="222" t="s">
        <v>5</v>
      </c>
      <c r="B191" s="222"/>
      <c r="C191" s="140"/>
      <c r="D191" s="140"/>
      <c r="E191" s="140"/>
    </row>
    <row r="192" spans="1:5" ht="21.75" customHeight="1">
      <c r="A192" s="222" t="s">
        <v>6</v>
      </c>
      <c r="B192" s="222"/>
      <c r="C192" s="140"/>
      <c r="D192" s="140"/>
      <c r="E192" s="140"/>
    </row>
    <row r="193" spans="1:5" ht="30.75" customHeight="1">
      <c r="A193" s="223" t="s">
        <v>16</v>
      </c>
      <c r="B193" s="223"/>
      <c r="C193" s="140"/>
      <c r="D193" s="140"/>
      <c r="E193" s="140"/>
    </row>
    <row r="194" spans="1:5" ht="12.75">
      <c r="A194" s="38"/>
      <c r="B194" s="34"/>
      <c r="C194" s="19"/>
      <c r="D194" s="19"/>
      <c r="E194" s="34"/>
    </row>
    <row r="195" spans="1:5" ht="15.75">
      <c r="A195" s="20" t="s">
        <v>33</v>
      </c>
      <c r="B195" s="34"/>
      <c r="C195" s="19"/>
      <c r="D195" s="19"/>
      <c r="E195" s="34"/>
    </row>
    <row r="196" spans="1:5" ht="12.75" customHeight="1">
      <c r="A196" s="149" t="s">
        <v>46</v>
      </c>
      <c r="B196" s="149"/>
      <c r="C196" s="149"/>
      <c r="D196" s="149"/>
      <c r="E196" s="149"/>
    </row>
    <row r="197" spans="1:5" ht="12.75">
      <c r="A197" s="173" t="s">
        <v>13</v>
      </c>
      <c r="B197" s="173"/>
      <c r="C197" s="173"/>
      <c r="D197" s="38"/>
      <c r="E197" s="38"/>
    </row>
    <row r="198" spans="1:5" ht="12.75">
      <c r="A198" s="26" t="s">
        <v>23</v>
      </c>
      <c r="B198" s="38"/>
      <c r="C198" s="38"/>
      <c r="D198" s="38"/>
      <c r="E198" s="38"/>
    </row>
    <row r="199" spans="1:5" ht="21.75" customHeight="1">
      <c r="A199" s="174" t="s">
        <v>12</v>
      </c>
      <c r="B199" s="174"/>
      <c r="C199" s="38" t="s">
        <v>20</v>
      </c>
      <c r="D199" s="42" t="s">
        <v>21</v>
      </c>
      <c r="E199" s="19"/>
    </row>
    <row r="200" spans="1:5" ht="12.75">
      <c r="A200" s="39"/>
      <c r="B200" s="39"/>
      <c r="C200" s="38"/>
      <c r="D200" s="42"/>
      <c r="E200" s="19"/>
    </row>
    <row r="201" spans="1:5" ht="15.75">
      <c r="A201" s="28" t="s">
        <v>34</v>
      </c>
      <c r="B201" s="39"/>
      <c r="C201" s="35"/>
      <c r="D201" s="35"/>
      <c r="E201" s="19"/>
    </row>
    <row r="202" spans="1:5" ht="12.75" customHeight="1">
      <c r="A202" s="149" t="s">
        <v>46</v>
      </c>
      <c r="B202" s="149"/>
      <c r="C202" s="149"/>
      <c r="D202" s="149"/>
      <c r="E202" s="149"/>
    </row>
    <row r="203" spans="1:5" ht="17.25" customHeight="1">
      <c r="A203" s="36" t="s">
        <v>4</v>
      </c>
      <c r="B203" s="140"/>
      <c r="C203" s="140"/>
      <c r="D203" s="140"/>
      <c r="E203" s="140"/>
    </row>
    <row r="204" spans="1:5">
      <c r="A204" s="224" t="s">
        <v>14</v>
      </c>
      <c r="B204" s="140"/>
      <c r="C204" s="140"/>
      <c r="D204" s="140"/>
      <c r="E204" s="140"/>
    </row>
    <row r="205" spans="1:5">
      <c r="A205" s="225"/>
      <c r="B205" s="140"/>
      <c r="C205" s="140"/>
      <c r="D205" s="140"/>
      <c r="E205" s="140"/>
    </row>
    <row r="206" spans="1:5" ht="12.75">
      <c r="A206" s="39"/>
      <c r="B206" s="39"/>
      <c r="C206" s="35"/>
      <c r="D206" s="35"/>
      <c r="E206" s="19"/>
    </row>
    <row r="207" spans="1:5" ht="15.75">
      <c r="A207" s="138" t="s">
        <v>35</v>
      </c>
      <c r="B207" s="139"/>
      <c r="C207" s="139"/>
      <c r="D207" s="35"/>
      <c r="E207" s="19"/>
    </row>
    <row r="208" spans="1:5" ht="12.75" customHeight="1">
      <c r="A208" s="149" t="s">
        <v>46</v>
      </c>
      <c r="B208" s="149"/>
      <c r="C208" s="149"/>
      <c r="D208" s="149"/>
      <c r="E208" s="149"/>
    </row>
    <row r="209" spans="1:7" s="32" customFormat="1" ht="18" customHeight="1">
      <c r="A209" s="44" t="s">
        <v>7</v>
      </c>
      <c r="B209" s="43" t="s">
        <v>38</v>
      </c>
      <c r="C209" s="43"/>
      <c r="D209" s="43"/>
      <c r="E209" s="43"/>
      <c r="F209" s="13"/>
      <c r="G209" s="33"/>
    </row>
    <row r="210" spans="1:7" s="32" customFormat="1" ht="18" customHeight="1">
      <c r="A210" s="44" t="s">
        <v>8</v>
      </c>
      <c r="B210" s="43" t="s">
        <v>47</v>
      </c>
      <c r="C210" s="43"/>
      <c r="D210" s="43"/>
      <c r="E210" s="43"/>
      <c r="F210" s="13"/>
      <c r="G210" s="33"/>
    </row>
  </sheetData>
  <mergeCells count="90">
    <mergeCell ref="A5:E5"/>
    <mergeCell ref="A63:E63"/>
    <mergeCell ref="A61:E61"/>
    <mergeCell ref="A111:E111"/>
    <mergeCell ref="A164:E164"/>
    <mergeCell ref="A149:E149"/>
    <mergeCell ref="B150:E150"/>
    <mergeCell ref="B151:E151"/>
    <mergeCell ref="A153:C153"/>
    <mergeCell ref="A140:B140"/>
    <mergeCell ref="C140:E140"/>
    <mergeCell ref="A143:E143"/>
    <mergeCell ref="A144:C144"/>
    <mergeCell ref="A146:B146"/>
    <mergeCell ref="A137:E137"/>
    <mergeCell ref="A138:B138"/>
    <mergeCell ref="A208:E208"/>
    <mergeCell ref="A202:E202"/>
    <mergeCell ref="B203:E203"/>
    <mergeCell ref="A204:A205"/>
    <mergeCell ref="B204:E205"/>
    <mergeCell ref="A207:C207"/>
    <mergeCell ref="A193:B193"/>
    <mergeCell ref="C193:E193"/>
    <mergeCell ref="A196:E196"/>
    <mergeCell ref="A197:C197"/>
    <mergeCell ref="A199:B199"/>
    <mergeCell ref="A190:E190"/>
    <mergeCell ref="A191:B191"/>
    <mergeCell ref="C191:E191"/>
    <mergeCell ref="A192:B192"/>
    <mergeCell ref="C192:E192"/>
    <mergeCell ref="A85:E85"/>
    <mergeCell ref="A64:E64"/>
    <mergeCell ref="A168:C168"/>
    <mergeCell ref="A169:E169"/>
    <mergeCell ref="A154:E154"/>
    <mergeCell ref="A159:A162"/>
    <mergeCell ref="B159:D162"/>
    <mergeCell ref="A86:B86"/>
    <mergeCell ref="A87:B87"/>
    <mergeCell ref="C86:E86"/>
    <mergeCell ref="C87:E87"/>
    <mergeCell ref="C88:E88"/>
    <mergeCell ref="A113:E113"/>
    <mergeCell ref="A165:E165"/>
    <mergeCell ref="A166:E166"/>
    <mergeCell ref="A88:B88"/>
    <mergeCell ref="B1:D4"/>
    <mergeCell ref="A50:E50"/>
    <mergeCell ref="A39:E39"/>
    <mergeCell ref="A1:A4"/>
    <mergeCell ref="A8:B8"/>
    <mergeCell ref="A45:E45"/>
    <mergeCell ref="C8:E8"/>
    <mergeCell ref="C34:E34"/>
    <mergeCell ref="C35:E35"/>
    <mergeCell ref="C36:E36"/>
    <mergeCell ref="C7:E7"/>
    <mergeCell ref="C11:E11"/>
    <mergeCell ref="A6:E6"/>
    <mergeCell ref="B46:E46"/>
    <mergeCell ref="A35:B35"/>
    <mergeCell ref="A36:B36"/>
    <mergeCell ref="A7:B7"/>
    <mergeCell ref="A10:B10"/>
    <mergeCell ref="A11:B11"/>
    <mergeCell ref="C10:E10"/>
    <mergeCell ref="A112:E112"/>
    <mergeCell ref="A60:E60"/>
    <mergeCell ref="A59:E59"/>
    <mergeCell ref="B47:E47"/>
    <mergeCell ref="A9:B9"/>
    <mergeCell ref="C9:E9"/>
    <mergeCell ref="A34:B34"/>
    <mergeCell ref="A33:E33"/>
    <mergeCell ref="A54:A57"/>
    <mergeCell ref="B54:D57"/>
    <mergeCell ref="A106:A109"/>
    <mergeCell ref="B106:D109"/>
    <mergeCell ref="C138:E138"/>
    <mergeCell ref="A139:B139"/>
    <mergeCell ref="C139:E139"/>
    <mergeCell ref="A115:C115"/>
    <mergeCell ref="A116:E116"/>
    <mergeCell ref="B98:E98"/>
    <mergeCell ref="B99:E99"/>
    <mergeCell ref="A102:E102"/>
    <mergeCell ref="A91:E91"/>
    <mergeCell ref="A97:E97"/>
  </mergeCells>
  <pageMargins left="0.23622047244094491" right="0.23622047244094491" top="0" bottom="0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1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v1</vt:lpstr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Jean-Paul WEYH</dc:creator>
  <cp:lastModifiedBy>Aurelie ROHMER</cp:lastModifiedBy>
  <cp:lastPrinted>2020-06-29T13:16:02Z</cp:lastPrinted>
  <dcterms:created xsi:type="dcterms:W3CDTF">2013-01-17T07:47:32Z</dcterms:created>
  <dcterms:modified xsi:type="dcterms:W3CDTF">2026-02-06T11:26:34Z</dcterms:modified>
</cp:coreProperties>
</file>