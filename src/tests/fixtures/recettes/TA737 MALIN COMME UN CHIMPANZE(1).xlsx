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N:\AROMATISATION\RECETTE\THE AROMATISE JDG\"/>
    </mc:Choice>
  </mc:AlternateContent>
  <xr:revisionPtr revIDLastSave="0" documentId="13_ncr:1_{4624BB1E-E5CB-4F62-B621-5C062EDD03C6}" xr6:coauthVersionLast="36" xr6:coauthVersionMax="46" xr10:uidLastSave="{00000000-0000-0000-0000-000000000000}"/>
  <bookViews>
    <workbookView xWindow="13400" yWindow="1700" windowWidth="15260" windowHeight="12980" xr2:uid="{00000000-000D-0000-FFFF-FFFF00000000}"/>
  </bookViews>
  <sheets>
    <sheet name="v.2" sheetId="11" r:id="rId1"/>
    <sheet name="v.1" sheetId="10" r:id="rId2"/>
    <sheet name="v0 (bis)" sheetId="9" r:id="rId3"/>
    <sheet name="v0" sheetId="6" r:id="rId4"/>
  </sheets>
  <calcPr calcId="191029"/>
</workbook>
</file>

<file path=xl/calcChain.xml><?xml version="1.0" encoding="utf-8"?>
<calcChain xmlns="http://schemas.openxmlformats.org/spreadsheetml/2006/main">
  <c r="E41" i="11" l="1"/>
  <c r="F38" i="11" s="1"/>
  <c r="G38" i="11" s="1"/>
  <c r="F37" i="11"/>
  <c r="G37" i="11" s="1"/>
  <c r="F36" i="11"/>
  <c r="G36" i="11" s="1"/>
  <c r="F34" i="11"/>
  <c r="G34" i="11" s="1"/>
  <c r="F32" i="11"/>
  <c r="G32" i="11" s="1"/>
  <c r="E28" i="11"/>
  <c r="F27" i="11" s="1"/>
  <c r="G27" i="11" s="1"/>
  <c r="F19" i="11" l="1"/>
  <c r="G19" i="11" s="1"/>
  <c r="F31" i="11"/>
  <c r="F35" i="11"/>
  <c r="G35" i="11" s="1"/>
  <c r="F39" i="11"/>
  <c r="G39" i="11" s="1"/>
  <c r="F40" i="11"/>
  <c r="G40" i="11" s="1"/>
  <c r="F33" i="11"/>
  <c r="G33" i="11" s="1"/>
  <c r="F22" i="11"/>
  <c r="G22" i="11" s="1"/>
  <c r="F25" i="11"/>
  <c r="G25" i="11" s="1"/>
  <c r="F20" i="11"/>
  <c r="G20" i="11" s="1"/>
  <c r="F23" i="11"/>
  <c r="G23" i="11" s="1"/>
  <c r="F26" i="11"/>
  <c r="G26" i="11" s="1"/>
  <c r="F18" i="11"/>
  <c r="F21" i="11"/>
  <c r="G21" i="11" s="1"/>
  <c r="F24" i="11"/>
  <c r="G24" i="11" s="1"/>
  <c r="G33" i="10"/>
  <c r="G34" i="10"/>
  <c r="G35" i="10"/>
  <c r="G36" i="10"/>
  <c r="F33" i="10"/>
  <c r="F34" i="10"/>
  <c r="F35" i="10"/>
  <c r="F36" i="10"/>
  <c r="F37" i="10"/>
  <c r="F38" i="10"/>
  <c r="E42" i="10"/>
  <c r="F41" i="10" s="1"/>
  <c r="G41" i="10" s="1"/>
  <c r="E28" i="10"/>
  <c r="F27" i="10"/>
  <c r="G27" i="10" s="1"/>
  <c r="F26" i="10"/>
  <c r="G26" i="10" s="1"/>
  <c r="F25" i="10"/>
  <c r="G25" i="10" s="1"/>
  <c r="F24" i="10"/>
  <c r="G24" i="10" s="1"/>
  <c r="F23" i="10"/>
  <c r="G23" i="10" s="1"/>
  <c r="F22" i="10"/>
  <c r="G22" i="10" s="1"/>
  <c r="F21" i="10"/>
  <c r="G21" i="10" s="1"/>
  <c r="F20" i="10"/>
  <c r="G20" i="10" s="1"/>
  <c r="G19" i="10"/>
  <c r="F19" i="10"/>
  <c r="F18" i="10"/>
  <c r="G18" i="10" s="1"/>
  <c r="G31" i="11" l="1"/>
  <c r="G41" i="11" s="1"/>
  <c r="F41" i="11"/>
  <c r="F28" i="11"/>
  <c r="G18" i="11"/>
  <c r="G28" i="11" s="1"/>
  <c r="G37" i="10"/>
  <c r="F31" i="10"/>
  <c r="G38" i="10"/>
  <c r="F32" i="10"/>
  <c r="G32" i="10" s="1"/>
  <c r="F39" i="10"/>
  <c r="G39" i="10" s="1"/>
  <c r="F40" i="10"/>
  <c r="G40" i="10" s="1"/>
  <c r="F28" i="10"/>
  <c r="G28" i="10"/>
  <c r="G31" i="10"/>
  <c r="C32" i="9"/>
  <c r="G42" i="10" l="1"/>
  <c r="F42" i="10"/>
  <c r="D30" i="9"/>
  <c r="D20" i="9"/>
  <c r="D22" i="9"/>
  <c r="D21" i="9"/>
  <c r="D28" i="9"/>
  <c r="D25" i="9"/>
  <c r="D19" i="9"/>
  <c r="D29" i="9"/>
  <c r="D18" i="9"/>
  <c r="D31" i="9"/>
  <c r="D26" i="9"/>
  <c r="D27" i="9"/>
  <c r="D32" i="9"/>
  <c r="D23" i="9"/>
  <c r="D17" i="9"/>
  <c r="D24" i="9"/>
  <c r="C31" i="6" l="1"/>
  <c r="D23" i="6" l="1"/>
  <c r="D29" i="6"/>
  <c r="D25" i="6"/>
  <c r="D26" i="6"/>
  <c r="D27" i="6"/>
  <c r="D22" i="6"/>
  <c r="D24" i="6"/>
  <c r="D30" i="6"/>
  <c r="D19" i="6"/>
  <c r="D31" i="6"/>
  <c r="D20" i="6"/>
  <c r="D21" i="6"/>
  <c r="D28" i="6"/>
  <c r="D18" i="6"/>
  <c r="D17" i="6"/>
</calcChain>
</file>

<file path=xl/sharedStrings.xml><?xml version="1.0" encoding="utf-8"?>
<sst xmlns="http://schemas.openxmlformats.org/spreadsheetml/2006/main" count="238" uniqueCount="89">
  <si>
    <t xml:space="preserve">N° de lot </t>
  </si>
  <si>
    <t>Quantité en %</t>
  </si>
  <si>
    <t>TOTAL</t>
  </si>
  <si>
    <t xml:space="preserve">Version : </t>
  </si>
  <si>
    <t xml:space="preserve">Code article </t>
  </si>
  <si>
    <t xml:space="preserve">Désignation </t>
  </si>
  <si>
    <t>Quantité en kg ou en litre</t>
  </si>
  <si>
    <t>N° : ENR-PRO-023</t>
  </si>
  <si>
    <t>Marque :</t>
  </si>
  <si>
    <t>Quantité par échantillon</t>
  </si>
  <si>
    <t>Nombre échantillon</t>
  </si>
  <si>
    <t>Date :</t>
  </si>
  <si>
    <t>Page : 1/1</t>
  </si>
  <si>
    <t>Désignation de la nouvelle recette :</t>
  </si>
  <si>
    <t>Code article :</t>
  </si>
  <si>
    <t>V.0.</t>
  </si>
  <si>
    <t>FICHE DE MODIFICATION DE RECETTE</t>
  </si>
  <si>
    <t>FICHE CREATION RECETTE</t>
  </si>
  <si>
    <t>Indice : v.8</t>
  </si>
  <si>
    <t xml:space="preserve">Recette </t>
  </si>
  <si>
    <t>Développeur :</t>
  </si>
  <si>
    <t>Aurélie ROHMER</t>
  </si>
  <si>
    <t xml:space="preserve">Prélèvement échantillon : </t>
  </si>
  <si>
    <t>Prévisionnel des ventes</t>
  </si>
  <si>
    <t xml:space="preserve"> VISA :</t>
  </si>
  <si>
    <t>N° : ENR-PRO-024</t>
  </si>
  <si>
    <t>EF024</t>
  </si>
  <si>
    <t>LES JARDINS DE GAIA - militants</t>
  </si>
  <si>
    <t>1kg</t>
  </si>
  <si>
    <t>Labels MP :</t>
  </si>
  <si>
    <t>TA737</t>
  </si>
  <si>
    <t>MALIN COMME UN CHIMPANZE</t>
  </si>
  <si>
    <t>HB170</t>
  </si>
  <si>
    <t>TN592</t>
  </si>
  <si>
    <t>AS076</t>
  </si>
  <si>
    <t>HONEYBUSH</t>
  </si>
  <si>
    <t>SORWATHE OP1</t>
  </si>
  <si>
    <t>AROME BIO 2022 miel</t>
  </si>
  <si>
    <t>EF060</t>
  </si>
  <si>
    <t>EF231</t>
  </si>
  <si>
    <t>THYM</t>
  </si>
  <si>
    <t>MORCEAUX DE FIGUE</t>
  </si>
  <si>
    <t>pétales de souci</t>
  </si>
  <si>
    <t>BIO</t>
  </si>
  <si>
    <t xml:space="preserve">Lancement de la gamme des nouvelles recettes "gamme Militants" 2002 =&gt; sûrement MAI 2022 quand les étiquettes seront dispo
</t>
  </si>
  <si>
    <t>V.0. (bis) - rajout arome de figue</t>
  </si>
  <si>
    <t>AS066</t>
  </si>
  <si>
    <t>AROME BIO 2022 figue</t>
  </si>
  <si>
    <t>Indice : 9</t>
  </si>
  <si>
    <t>Date : 12/01/2023</t>
  </si>
  <si>
    <t>Page 1/1</t>
  </si>
  <si>
    <t>Développeur:</t>
  </si>
  <si>
    <t>Date:</t>
  </si>
  <si>
    <t>Recette modifié :
(code/désignation/version</t>
  </si>
  <si>
    <t>Descriptif de la modification :</t>
  </si>
  <si>
    <t>Raison de la modification :</t>
  </si>
  <si>
    <t>Durée de la modification si provisoire :</t>
  </si>
  <si>
    <t xml:space="preserve">La modification a une incidence sur : </t>
  </si>
  <si>
    <t>ETIQUETAGE</t>
  </si>
  <si>
    <t>DLUO</t>
  </si>
  <si>
    <t xml:space="preserve">Prélever un échantillon : </t>
  </si>
  <si>
    <t>OUI</t>
  </si>
  <si>
    <t>NON</t>
  </si>
  <si>
    <t>CODE ARTICLE</t>
  </si>
  <si>
    <t>DESIGNATION</t>
  </si>
  <si>
    <t>DEMETER</t>
  </si>
  <si>
    <t>COMMERCE
EQUITABLE</t>
  </si>
  <si>
    <t>QTÉ EN KG</t>
  </si>
  <si>
    <t>QTÉ EN %</t>
  </si>
  <si>
    <t>% pour liste 
d'ingrédient</t>
  </si>
  <si>
    <t>VISA:</t>
  </si>
  <si>
    <t>x</t>
  </si>
  <si>
    <t>VERSION RECETTE EN COURS : V.0</t>
  </si>
  <si>
    <t>VERSION NOUVELLE RECETTE : V.1</t>
  </si>
  <si>
    <t>TN407B</t>
  </si>
  <si>
    <t>DIAN HONG GOLDEN BUDS ARO</t>
  </si>
  <si>
    <t>X</t>
  </si>
  <si>
    <t>AURELIE ROHMER</t>
  </si>
  <si>
    <t>LE 25/09/2023</t>
  </si>
  <si>
    <t>TA737 MALIN COMME UN CHIMPANZE v.1</t>
  </si>
  <si>
    <t>modification de la base de thé</t>
  </si>
  <si>
    <t>utilisation du stock de TN407B</t>
  </si>
  <si>
    <t>N/A</t>
  </si>
  <si>
    <t>VERSION RECETTE EN COURS : V.1</t>
  </si>
  <si>
    <t>VERSION NOUVELLE RECETTE : V.2</t>
  </si>
  <si>
    <t>LE 08/02/2024</t>
  </si>
  <si>
    <t>TA737 MALIN COMME UN CHIMPANZE v.2</t>
  </si>
  <si>
    <t>modification de la base de thé (fin du stock à écouler TN407B)</t>
  </si>
  <si>
    <t>MAJ de la recette - retour à la recette d'origine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</si>
</sst>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943634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2"/>
      <name val="Calibri"/>
      <family val="2"/>
      <scheme val="minor"/>
    </font>
    <font>
      <i/>
      <sz val="10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rgb="FF94363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i/>
      <sz val="11"/>
      <color theme="8" tint="-0.249977111117893"/>
      <name val="Calibri"/>
      <family val="2"/>
      <scheme val="minor"/>
    </font>
    <font>
      <sz val="6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6" fillId="0" borderId="0"/>
    <xf numFmtId="0" fontId="4" fillId="0" borderId="0"/>
    <xf numFmtId="0" fontId="3" fillId="0" borderId="0"/>
  </cellStyleXfs>
  <cellXfs count="92">
    <xf numFmtId="0" fontId="0" fillId="0" borderId="0" xfId="0"/>
    <xf numFmtId="0" fontId="3" fillId="0" borderId="13" xfId="3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right"/>
    </xf>
    <xf numFmtId="14" fontId="6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8" fillId="2" borderId="1" xfId="0" applyFont="1" applyFill="1" applyBorder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1" applyFont="1" applyBorder="1" applyAlignment="1">
      <alignment horizontal="center" vertical="center"/>
    </xf>
    <xf numFmtId="4" fontId="5" fillId="0" borderId="1" xfId="1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0" fontId="13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center"/>
    </xf>
    <xf numFmtId="1" fontId="5" fillId="0" borderId="1" xfId="0" applyNumberFormat="1" applyFont="1" applyBorder="1" applyAlignment="1">
      <alignment horizontal="center"/>
    </xf>
    <xf numFmtId="0" fontId="3" fillId="0" borderId="0" xfId="3"/>
    <xf numFmtId="0" fontId="19" fillId="0" borderId="0" xfId="3" applyFont="1"/>
    <xf numFmtId="0" fontId="21" fillId="0" borderId="0" xfId="3" applyFont="1"/>
    <xf numFmtId="0" fontId="3" fillId="4" borderId="1" xfId="3" applyFill="1" applyBorder="1" applyAlignment="1">
      <alignment horizontal="center" vertical="center" wrapText="1"/>
    </xf>
    <xf numFmtId="0" fontId="3" fillId="4" borderId="1" xfId="3" applyFill="1" applyBorder="1" applyAlignment="1">
      <alignment horizontal="center" vertical="center"/>
    </xf>
    <xf numFmtId="0" fontId="22" fillId="4" borderId="1" xfId="3" applyFont="1" applyFill="1" applyBorder="1" applyAlignment="1">
      <alignment horizontal="center" vertical="center"/>
    </xf>
    <xf numFmtId="0" fontId="22" fillId="4" borderId="1" xfId="3" applyFont="1" applyFill="1" applyBorder="1" applyAlignment="1">
      <alignment horizontal="center" vertical="center" wrapText="1"/>
    </xf>
    <xf numFmtId="0" fontId="3" fillId="0" borderId="1" xfId="3" applyBorder="1"/>
    <xf numFmtId="164" fontId="19" fillId="0" borderId="1" xfId="3" applyNumberFormat="1" applyFont="1" applyBorder="1"/>
    <xf numFmtId="2" fontId="3" fillId="0" borderId="1" xfId="3" applyNumberFormat="1" applyBorder="1"/>
    <xf numFmtId="164" fontId="19" fillId="0" borderId="0" xfId="3" applyNumberFormat="1" applyFont="1"/>
    <xf numFmtId="2" fontId="3" fillId="0" borderId="0" xfId="3" applyNumberFormat="1"/>
    <xf numFmtId="0" fontId="23" fillId="0" borderId="0" xfId="3" applyFont="1"/>
    <xf numFmtId="4" fontId="18" fillId="0" borderId="1" xfId="1" applyNumberFormat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3" fillId="0" borderId="19" xfId="3" applyBorder="1" applyAlignment="1">
      <alignment horizontal="center"/>
    </xf>
    <xf numFmtId="0" fontId="3" fillId="0" borderId="22" xfId="3" applyBorder="1" applyAlignment="1">
      <alignment horizontal="center"/>
    </xf>
    <xf numFmtId="0" fontId="14" fillId="0" borderId="14" xfId="3" applyFont="1" applyBorder="1" applyAlignment="1">
      <alignment horizontal="center" vertical="center" wrapText="1"/>
    </xf>
    <xf numFmtId="0" fontId="14" fillId="0" borderId="15" xfId="3" applyFont="1" applyBorder="1" applyAlignment="1">
      <alignment horizontal="center" vertical="center" wrapText="1"/>
    </xf>
    <xf numFmtId="0" fontId="14" fillId="0" borderId="16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0" xfId="3" applyFont="1" applyAlignment="1">
      <alignment horizontal="center" vertical="center" wrapText="1"/>
    </xf>
    <xf numFmtId="0" fontId="14" fillId="0" borderId="21" xfId="3" applyFont="1" applyBorder="1" applyAlignment="1">
      <alignment horizontal="center" vertical="center" wrapText="1"/>
    </xf>
    <xf numFmtId="0" fontId="14" fillId="0" borderId="23" xfId="3" applyFont="1" applyBorder="1" applyAlignment="1">
      <alignment horizontal="center" vertical="center" wrapText="1"/>
    </xf>
    <xf numFmtId="0" fontId="14" fillId="0" borderId="24" xfId="3" applyFont="1" applyBorder="1" applyAlignment="1">
      <alignment horizontal="center" vertical="center" wrapText="1"/>
    </xf>
    <xf numFmtId="0" fontId="14" fillId="0" borderId="25" xfId="3" applyFont="1" applyBorder="1" applyAlignment="1">
      <alignment horizontal="center" vertical="center" wrapText="1"/>
    </xf>
    <xf numFmtId="0" fontId="3" fillId="0" borderId="17" xfId="3" applyBorder="1" applyAlignment="1">
      <alignment horizontal="center" vertical="center"/>
    </xf>
    <xf numFmtId="0" fontId="3" fillId="0" borderId="18" xfId="3" applyBorder="1" applyAlignment="1">
      <alignment horizontal="center" vertical="center"/>
    </xf>
    <xf numFmtId="0" fontId="3" fillId="3" borderId="11" xfId="3" applyFill="1" applyBorder="1" applyAlignment="1">
      <alignment horizontal="left" vertical="top" wrapText="1"/>
    </xf>
    <xf numFmtId="0" fontId="3" fillId="3" borderId="10" xfId="3" applyFill="1" applyBorder="1" applyAlignment="1">
      <alignment horizontal="left" vertical="top" wrapText="1"/>
    </xf>
    <xf numFmtId="0" fontId="2" fillId="0" borderId="11" xfId="3" applyFont="1" applyBorder="1" applyAlignment="1">
      <alignment horizontal="center" vertical="top" wrapText="1"/>
    </xf>
    <xf numFmtId="0" fontId="3" fillId="0" borderId="12" xfId="3" applyBorder="1" applyAlignment="1">
      <alignment horizontal="center" vertical="top" wrapText="1"/>
    </xf>
    <xf numFmtId="0" fontId="3" fillId="0" borderId="10" xfId="3" applyBorder="1" applyAlignment="1">
      <alignment horizontal="center" vertical="top" wrapText="1"/>
    </xf>
    <xf numFmtId="0" fontId="19" fillId="0" borderId="26" xfId="3" applyFont="1" applyBorder="1" applyAlignment="1">
      <alignment horizontal="left" vertical="top"/>
    </xf>
    <xf numFmtId="0" fontId="19" fillId="0" borderId="27" xfId="3" applyFont="1" applyBorder="1" applyAlignment="1">
      <alignment horizontal="left" vertical="top"/>
    </xf>
    <xf numFmtId="0" fontId="19" fillId="0" borderId="28" xfId="3" applyFont="1" applyBorder="1" applyAlignment="1">
      <alignment horizontal="left" vertical="top"/>
    </xf>
    <xf numFmtId="0" fontId="19" fillId="0" borderId="29" xfId="3" applyFont="1" applyBorder="1" applyAlignment="1">
      <alignment horizontal="left" vertical="top"/>
    </xf>
    <xf numFmtId="0" fontId="2" fillId="0" borderId="1" xfId="3" applyFont="1" applyBorder="1" applyAlignment="1">
      <alignment horizontal="center" vertical="top" wrapText="1"/>
    </xf>
    <xf numFmtId="0" fontId="3" fillId="0" borderId="1" xfId="3" applyBorder="1" applyAlignment="1">
      <alignment horizontal="center" vertical="top" wrapText="1"/>
    </xf>
    <xf numFmtId="0" fontId="3" fillId="3" borderId="1" xfId="3" applyFill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3" fillId="0" borderId="11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horizontal="center" vertical="top" wrapText="1"/>
    </xf>
    <xf numFmtId="0" fontId="10" fillId="0" borderId="0" xfId="0" applyFont="1"/>
    <xf numFmtId="0" fontId="12" fillId="0" borderId="0" xfId="0" applyFont="1"/>
    <xf numFmtId="0" fontId="17" fillId="0" borderId="1" xfId="0" applyFont="1" applyBorder="1" applyAlignment="1">
      <alignment horizontal="left" wrapText="1"/>
    </xf>
    <xf numFmtId="0" fontId="1" fillId="0" borderId="11" xfId="3" applyFont="1" applyBorder="1" applyAlignment="1">
      <alignment horizontal="center" vertical="top" wrapText="1"/>
    </xf>
    <xf numFmtId="0" fontId="1" fillId="0" borderId="1" xfId="3" applyFont="1" applyBorder="1" applyAlignment="1">
      <alignment horizontal="center" vertical="top" wrapText="1"/>
    </xf>
  </cellXfs>
  <cellStyles count="4">
    <cellStyle name="NiveauLigne_4" xfId="1" builtinId="1" iLevel="3"/>
    <cellStyle name="Normal" xfId="0" builtinId="0"/>
    <cellStyle name="Normal 2" xfId="3" xr:uid="{21174F86-8FC7-4338-92F1-6ABF930EECA8}"/>
    <cellStyle name="Normal 2 2 2 2" xfId="2" xr:uid="{888CBA04-14DA-4DF3-A370-651A9C1806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114301</xdr:colOff>
      <xdr:row>0</xdr:row>
      <xdr:rowOff>104775</xdr:rowOff>
    </xdr:from>
    <xdr:to>
      <xdr:col>0</xdr:col>
      <xdr:colOff>678475</xdr:colOff>
      <xdr:row>3</xdr:row>
      <xdr:rowOff>85725</xdr:rowOff>
    </xdr:to>
    <xdr:pic>
      <xdr:nvPicPr>
        <xdr:cNvPr id="2" name="Image 1" descr="Logo JDG grands thés bio">
          <a:extLst>
            <a:ext uri="{FF2B5EF4-FFF2-40B4-BE49-F238E27FC236}">
              <a16:creationId xmlns:a16="http://schemas.microsoft.com/office/drawing/2014/main" id="{C0C470CB-948D-4BE9-8E9E-4050870BE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04775"/>
          <a:ext cx="564174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4</xdr:row>
          <xdr:rowOff>69850</xdr:rowOff>
        </xdr:from>
        <xdr:to>
          <xdr:col>1</xdr:col>
          <xdr:colOff>1619250</xdr:colOff>
          <xdr:row>5</xdr:row>
          <xdr:rowOff>171450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754E341A-6946-40F7-B108-F24ECE7CBA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6D9F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MODIFICATION PERMANENTE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361950</xdr:colOff>
          <xdr:row>4</xdr:row>
          <xdr:rowOff>76200</xdr:rowOff>
        </xdr:from>
        <xdr:to>
          <xdr:col>6</xdr:col>
          <xdr:colOff>469900</xdr:colOff>
          <xdr:row>6</xdr:row>
          <xdr:rowOff>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4266A43E-51DE-4527-B4F1-C8916DF6E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E5B9B7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MODIFICATION PROVISOIRE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13</xdr:row>
          <xdr:rowOff>19050</xdr:rowOff>
        </xdr:from>
        <xdr:to>
          <xdr:col>3</xdr:col>
          <xdr:colOff>63500</xdr:colOff>
          <xdr:row>14</xdr:row>
          <xdr:rowOff>12700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63BB1680-2D58-4F2E-873F-E5005AD49D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14</xdr:row>
          <xdr:rowOff>0</xdr:rowOff>
        </xdr:from>
        <xdr:to>
          <xdr:col>3</xdr:col>
          <xdr:colOff>82550</xdr:colOff>
          <xdr:row>15</xdr:row>
          <xdr:rowOff>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476C6416-43D0-4CDC-A454-4F5BA953F1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13</xdr:row>
          <xdr:rowOff>12700</xdr:rowOff>
        </xdr:from>
        <xdr:to>
          <xdr:col>4</xdr:col>
          <xdr:colOff>793750</xdr:colOff>
          <xdr:row>14</xdr:row>
          <xdr:rowOff>0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C50B4057-D874-46F7-9AF0-23F2DF2EEE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14</xdr:row>
          <xdr:rowOff>12700</xdr:rowOff>
        </xdr:from>
        <xdr:to>
          <xdr:col>4</xdr:col>
          <xdr:colOff>793750</xdr:colOff>
          <xdr:row>15</xdr:row>
          <xdr:rowOff>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F0B61E63-3CC3-4F89-8AA3-9B53015AEE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114301</xdr:colOff>
      <xdr:row>0</xdr:row>
      <xdr:rowOff>104775</xdr:rowOff>
    </xdr:from>
    <xdr:to>
      <xdr:col>0</xdr:col>
      <xdr:colOff>678475</xdr:colOff>
      <xdr:row>3</xdr:row>
      <xdr:rowOff>85725</xdr:rowOff>
    </xdr:to>
    <xdr:pic>
      <xdr:nvPicPr>
        <xdr:cNvPr id="2" name="Image 1" descr="Logo JDG grands thés bi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04775"/>
          <a:ext cx="564174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4</xdr:row>
          <xdr:rowOff>69850</xdr:rowOff>
        </xdr:from>
        <xdr:to>
          <xdr:col>1</xdr:col>
          <xdr:colOff>1619250</xdr:colOff>
          <xdr:row>5</xdr:row>
          <xdr:rowOff>171450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6D9F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MODIFICATION PERMANENTE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361950</xdr:colOff>
          <xdr:row>4</xdr:row>
          <xdr:rowOff>76200</xdr:rowOff>
        </xdr:from>
        <xdr:to>
          <xdr:col>6</xdr:col>
          <xdr:colOff>469900</xdr:colOff>
          <xdr:row>6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E5B9B7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MODIFICATION PROVISOIRE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13</xdr:row>
          <xdr:rowOff>19050</xdr:rowOff>
        </xdr:from>
        <xdr:to>
          <xdr:col>3</xdr:col>
          <xdr:colOff>63500</xdr:colOff>
          <xdr:row>14</xdr:row>
          <xdr:rowOff>12700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14</xdr:row>
          <xdr:rowOff>0</xdr:rowOff>
        </xdr:from>
        <xdr:to>
          <xdr:col>3</xdr:col>
          <xdr:colOff>82550</xdr:colOff>
          <xdr:row>15</xdr:row>
          <xdr:rowOff>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13</xdr:row>
          <xdr:rowOff>12700</xdr:rowOff>
        </xdr:from>
        <xdr:to>
          <xdr:col>4</xdr:col>
          <xdr:colOff>793750</xdr:colOff>
          <xdr:row>14</xdr:row>
          <xdr:rowOff>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14</xdr:row>
          <xdr:rowOff>12700</xdr:rowOff>
        </xdr:from>
        <xdr:to>
          <xdr:col>4</xdr:col>
          <xdr:colOff>793750</xdr:colOff>
          <xdr:row>15</xdr:row>
          <xdr:rowOff>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127634</xdr:colOff>
      <xdr:row>0</xdr:row>
      <xdr:rowOff>91440</xdr:rowOff>
    </xdr:from>
    <xdr:to>
      <xdr:col>0</xdr:col>
      <xdr:colOff>609600</xdr:colOff>
      <xdr:row>3</xdr:row>
      <xdr:rowOff>80960</xdr:rowOff>
    </xdr:to>
    <xdr:pic>
      <xdr:nvPicPr>
        <xdr:cNvPr id="2" name="Image 1" descr="Logo JDG grands thés bi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4" y="91440"/>
          <a:ext cx="481966" cy="516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127634</xdr:colOff>
      <xdr:row>0</xdr:row>
      <xdr:rowOff>91440</xdr:rowOff>
    </xdr:from>
    <xdr:to>
      <xdr:col>0</xdr:col>
      <xdr:colOff>609600</xdr:colOff>
      <xdr:row>3</xdr:row>
      <xdr:rowOff>80960</xdr:rowOff>
    </xdr:to>
    <xdr:pic>
      <xdr:nvPicPr>
        <xdr:cNvPr id="2" name="Image 1" descr="Logo JDG grands thés bi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4" y="91440"/>
          <a:ext cx="481966" cy="53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6D26-683B-4264-867F-10DFD283D561}">
  <dimension ref="A1:G45"/>
  <sheetViews>
    <sheetView tabSelected="1" topLeftCell="A25" zoomScaleNormal="100" workbookViewId="0">
      <selection activeCell="M8" sqref="M8"/>
    </sheetView>
  </sheetViews>
  <sheetFormatPr baseColWidth="10" defaultRowHeight="14.5" x14ac:dyDescent="0.35"/>
  <cols>
    <col min="1" max="1" width="13.875" style="22" customWidth="1"/>
    <col min="2" max="2" width="38.375" style="22" customWidth="1"/>
    <col min="3" max="3" width="7.125" style="22" customWidth="1"/>
    <col min="4" max="4" width="9.125" style="22" customWidth="1"/>
    <col min="5" max="5" width="17.625" style="22" customWidth="1"/>
    <col min="6" max="6" width="12.375" style="22" customWidth="1"/>
    <col min="7" max="7" width="16.25" style="22" customWidth="1"/>
    <col min="8" max="16384" width="11" style="22"/>
  </cols>
  <sheetData>
    <row r="1" spans="1:7" ht="15" thickBot="1" x14ac:dyDescent="0.4">
      <c r="A1" s="1"/>
      <c r="B1" s="39" t="s">
        <v>16</v>
      </c>
      <c r="C1" s="40"/>
      <c r="D1" s="40"/>
      <c r="E1" s="41"/>
      <c r="F1" s="48" t="s">
        <v>25</v>
      </c>
      <c r="G1" s="49"/>
    </row>
    <row r="2" spans="1:7" ht="15" thickBot="1" x14ac:dyDescent="0.4">
      <c r="A2" s="37"/>
      <c r="B2" s="42"/>
      <c r="C2" s="43"/>
      <c r="D2" s="43"/>
      <c r="E2" s="44"/>
      <c r="F2" s="48" t="s">
        <v>48</v>
      </c>
      <c r="G2" s="49"/>
    </row>
    <row r="3" spans="1:7" ht="15" thickBot="1" x14ac:dyDescent="0.4">
      <c r="A3" s="37"/>
      <c r="B3" s="42"/>
      <c r="C3" s="43"/>
      <c r="D3" s="43"/>
      <c r="E3" s="44"/>
      <c r="F3" s="48" t="s">
        <v>49</v>
      </c>
      <c r="G3" s="49"/>
    </row>
    <row r="4" spans="1:7" ht="15" thickBot="1" x14ac:dyDescent="0.4">
      <c r="A4" s="38"/>
      <c r="B4" s="45"/>
      <c r="C4" s="46"/>
      <c r="D4" s="46"/>
      <c r="E4" s="47"/>
      <c r="F4" s="48" t="s">
        <v>50</v>
      </c>
      <c r="G4" s="49"/>
    </row>
    <row r="8" spans="1:7" ht="22.5" customHeight="1" x14ac:dyDescent="0.35">
      <c r="A8" s="50" t="s">
        <v>51</v>
      </c>
      <c r="B8" s="51"/>
      <c r="C8" s="52" t="s">
        <v>77</v>
      </c>
      <c r="D8" s="53"/>
      <c r="E8" s="53"/>
      <c r="F8" s="53"/>
      <c r="G8" s="54"/>
    </row>
    <row r="9" spans="1:7" ht="22.5" customHeight="1" x14ac:dyDescent="0.35">
      <c r="A9" s="50" t="s">
        <v>52</v>
      </c>
      <c r="B9" s="51"/>
      <c r="C9" s="90" t="s">
        <v>85</v>
      </c>
      <c r="D9" s="53"/>
      <c r="E9" s="53"/>
      <c r="F9" s="53"/>
      <c r="G9" s="54"/>
    </row>
    <row r="10" spans="1:7" ht="30" customHeight="1" x14ac:dyDescent="0.35">
      <c r="A10" s="50" t="s">
        <v>53</v>
      </c>
      <c r="B10" s="51"/>
      <c r="C10" s="90" t="s">
        <v>86</v>
      </c>
      <c r="D10" s="53"/>
      <c r="E10" s="53"/>
      <c r="F10" s="53"/>
      <c r="G10" s="54"/>
    </row>
    <row r="11" spans="1:7" ht="30" customHeight="1" x14ac:dyDescent="0.35">
      <c r="A11" s="50" t="s">
        <v>54</v>
      </c>
      <c r="B11" s="51"/>
      <c r="C11" s="90" t="s">
        <v>87</v>
      </c>
      <c r="D11" s="53"/>
      <c r="E11" s="53"/>
      <c r="F11" s="53"/>
      <c r="G11" s="54"/>
    </row>
    <row r="12" spans="1:7" ht="30" customHeight="1" x14ac:dyDescent="0.35">
      <c r="A12" s="50" t="s">
        <v>55</v>
      </c>
      <c r="B12" s="51"/>
      <c r="C12" s="91" t="s">
        <v>88</v>
      </c>
      <c r="D12" s="60"/>
      <c r="E12" s="60"/>
      <c r="F12" s="60"/>
      <c r="G12" s="60"/>
    </row>
    <row r="13" spans="1:7" ht="17.5" customHeight="1" x14ac:dyDescent="0.35">
      <c r="A13" s="61" t="s">
        <v>56</v>
      </c>
      <c r="B13" s="61"/>
      <c r="C13" s="59" t="s">
        <v>82</v>
      </c>
      <c r="D13" s="60"/>
      <c r="E13" s="60"/>
      <c r="F13" s="60"/>
      <c r="G13" s="60"/>
    </row>
    <row r="14" spans="1:7" ht="14.25" customHeight="1" x14ac:dyDescent="0.35">
      <c r="A14" s="22" t="s">
        <v>57</v>
      </c>
      <c r="D14" s="23" t="s">
        <v>58</v>
      </c>
      <c r="F14" s="23" t="s">
        <v>59</v>
      </c>
    </row>
    <row r="15" spans="1:7" x14ac:dyDescent="0.35">
      <c r="A15" s="22" t="s">
        <v>60</v>
      </c>
      <c r="D15" s="23" t="s">
        <v>61</v>
      </c>
      <c r="F15" s="23" t="s">
        <v>62</v>
      </c>
    </row>
    <row r="16" spans="1:7" x14ac:dyDescent="0.35">
      <c r="A16" s="24" t="s">
        <v>83</v>
      </c>
    </row>
    <row r="17" spans="1:7" ht="30" customHeight="1" x14ac:dyDescent="0.35">
      <c r="A17" s="25" t="s">
        <v>63</v>
      </c>
      <c r="B17" s="26" t="s">
        <v>64</v>
      </c>
      <c r="C17" s="27" t="s">
        <v>65</v>
      </c>
      <c r="D17" s="28" t="s">
        <v>66</v>
      </c>
      <c r="E17" s="26" t="s">
        <v>67</v>
      </c>
      <c r="F17" s="25" t="s">
        <v>68</v>
      </c>
      <c r="G17" s="25" t="s">
        <v>69</v>
      </c>
    </row>
    <row r="18" spans="1:7" ht="13.5" customHeight="1" x14ac:dyDescent="0.35">
      <c r="A18" s="15" t="s">
        <v>32</v>
      </c>
      <c r="B18" s="16" t="s">
        <v>35</v>
      </c>
      <c r="C18" s="29"/>
      <c r="D18" s="29"/>
      <c r="E18" s="16">
        <v>5</v>
      </c>
      <c r="F18" s="31">
        <f>(E18/$E$28)*100</f>
        <v>32.051282051282051</v>
      </c>
      <c r="G18" s="29">
        <f>MROUND(F18,1)</f>
        <v>32</v>
      </c>
    </row>
    <row r="19" spans="1:7" ht="13.5" customHeight="1" x14ac:dyDescent="0.35">
      <c r="A19" s="15" t="s">
        <v>33</v>
      </c>
      <c r="B19" s="16" t="s">
        <v>36</v>
      </c>
      <c r="C19" s="29"/>
      <c r="D19" s="29" t="s">
        <v>71</v>
      </c>
      <c r="E19" s="35">
        <v>5</v>
      </c>
      <c r="F19" s="31">
        <f t="shared" ref="F19:F27" si="0">(E19/$E$28)*100</f>
        <v>32.051282051282051</v>
      </c>
      <c r="G19" s="29">
        <f t="shared" ref="G19:G27" si="1">MROUND(F19,1)</f>
        <v>32</v>
      </c>
    </row>
    <row r="20" spans="1:7" ht="13.5" customHeight="1" x14ac:dyDescent="0.35">
      <c r="A20" s="36" t="s">
        <v>74</v>
      </c>
      <c r="B20" s="35" t="s">
        <v>75</v>
      </c>
      <c r="C20" s="29"/>
      <c r="D20" s="29" t="s">
        <v>76</v>
      </c>
      <c r="E20" s="35">
        <v>1</v>
      </c>
      <c r="F20" s="31">
        <f t="shared" si="0"/>
        <v>6.4102564102564097</v>
      </c>
      <c r="G20" s="29">
        <f t="shared" si="1"/>
        <v>6</v>
      </c>
    </row>
    <row r="21" spans="1:7" ht="13.5" customHeight="1" x14ac:dyDescent="0.35">
      <c r="A21" s="15" t="s">
        <v>34</v>
      </c>
      <c r="B21" s="15" t="s">
        <v>37</v>
      </c>
      <c r="C21" s="29"/>
      <c r="D21" s="29"/>
      <c r="E21" s="16">
        <v>0.64</v>
      </c>
      <c r="F21" s="31">
        <f t="shared" si="0"/>
        <v>4.1025641025641022</v>
      </c>
      <c r="G21" s="29">
        <f t="shared" si="1"/>
        <v>4</v>
      </c>
    </row>
    <row r="22" spans="1:7" ht="13.5" customHeight="1" x14ac:dyDescent="0.35">
      <c r="A22" s="15" t="s">
        <v>46</v>
      </c>
      <c r="B22" s="15" t="s">
        <v>47</v>
      </c>
      <c r="C22" s="29"/>
      <c r="D22" s="29"/>
      <c r="E22" s="16">
        <v>0.72</v>
      </c>
      <c r="F22" s="31">
        <f t="shared" si="0"/>
        <v>4.615384615384615</v>
      </c>
      <c r="G22" s="29">
        <f t="shared" si="1"/>
        <v>5</v>
      </c>
    </row>
    <row r="23" spans="1:7" ht="13.5" customHeight="1" x14ac:dyDescent="0.35">
      <c r="A23" s="15" t="s">
        <v>38</v>
      </c>
      <c r="B23" s="15" t="s">
        <v>40</v>
      </c>
      <c r="C23" s="29"/>
      <c r="D23" s="29"/>
      <c r="E23" s="16">
        <v>0.14000000000000001</v>
      </c>
      <c r="F23" s="31">
        <f t="shared" si="0"/>
        <v>0.89743589743589736</v>
      </c>
      <c r="G23" s="29">
        <f t="shared" si="1"/>
        <v>1</v>
      </c>
    </row>
    <row r="24" spans="1:7" ht="13.5" customHeight="1" x14ac:dyDescent="0.35">
      <c r="A24" s="15" t="s">
        <v>39</v>
      </c>
      <c r="B24" s="15" t="s">
        <v>41</v>
      </c>
      <c r="C24" s="29"/>
      <c r="D24" s="29"/>
      <c r="E24" s="16">
        <v>3</v>
      </c>
      <c r="F24" s="31">
        <f t="shared" si="0"/>
        <v>19.23076923076923</v>
      </c>
      <c r="G24" s="29">
        <f t="shared" si="1"/>
        <v>19</v>
      </c>
    </row>
    <row r="25" spans="1:7" ht="13.5" customHeight="1" x14ac:dyDescent="0.35">
      <c r="A25" s="15" t="s">
        <v>26</v>
      </c>
      <c r="B25" s="15" t="s">
        <v>42</v>
      </c>
      <c r="C25" s="29"/>
      <c r="D25" s="29"/>
      <c r="E25" s="16">
        <v>0.1</v>
      </c>
      <c r="F25" s="31">
        <f t="shared" si="0"/>
        <v>0.64102564102564097</v>
      </c>
      <c r="G25" s="29">
        <f t="shared" si="1"/>
        <v>1</v>
      </c>
    </row>
    <row r="26" spans="1:7" ht="13.5" customHeight="1" x14ac:dyDescent="0.35">
      <c r="A26" s="29"/>
      <c r="B26" s="29"/>
      <c r="C26" s="29"/>
      <c r="D26" s="29"/>
      <c r="E26" s="30"/>
      <c r="F26" s="31">
        <f t="shared" si="0"/>
        <v>0</v>
      </c>
      <c r="G26" s="29">
        <f t="shared" si="1"/>
        <v>0</v>
      </c>
    </row>
    <row r="27" spans="1:7" ht="13.5" customHeight="1" x14ac:dyDescent="0.35">
      <c r="A27" s="29"/>
      <c r="B27" s="29"/>
      <c r="C27" s="29"/>
      <c r="D27" s="29"/>
      <c r="E27" s="29"/>
      <c r="F27" s="31">
        <f t="shared" si="0"/>
        <v>0</v>
      </c>
      <c r="G27" s="29">
        <f t="shared" si="1"/>
        <v>0</v>
      </c>
    </row>
    <row r="28" spans="1:7" ht="13.5" customHeight="1" x14ac:dyDescent="0.35">
      <c r="D28" s="22" t="s">
        <v>2</v>
      </c>
      <c r="E28" s="32">
        <f>SUM(E18:E27)</f>
        <v>15.600000000000001</v>
      </c>
      <c r="F28" s="33">
        <f>SUM(F18:F27)</f>
        <v>99.999999999999986</v>
      </c>
      <c r="G28" s="22">
        <f>SUM(G18:G26)</f>
        <v>100</v>
      </c>
    </row>
    <row r="29" spans="1:7" x14ac:dyDescent="0.35">
      <c r="A29" s="34" t="s">
        <v>84</v>
      </c>
    </row>
    <row r="30" spans="1:7" ht="29" x14ac:dyDescent="0.35">
      <c r="A30" s="25" t="s">
        <v>63</v>
      </c>
      <c r="B30" s="26" t="s">
        <v>64</v>
      </c>
      <c r="C30" s="27" t="s">
        <v>65</v>
      </c>
      <c r="D30" s="28" t="s">
        <v>66</v>
      </c>
      <c r="E30" s="26" t="s">
        <v>67</v>
      </c>
      <c r="F30" s="25" t="s">
        <v>68</v>
      </c>
      <c r="G30" s="25" t="s">
        <v>69</v>
      </c>
    </row>
    <row r="31" spans="1:7" ht="13.5" customHeight="1" x14ac:dyDescent="0.35">
      <c r="A31" s="15" t="s">
        <v>32</v>
      </c>
      <c r="B31" s="16" t="s">
        <v>35</v>
      </c>
      <c r="C31" s="29"/>
      <c r="D31" s="29"/>
      <c r="E31" s="16">
        <v>5</v>
      </c>
      <c r="F31" s="31">
        <f>(E31/$E$41)*100</f>
        <v>32.051282051282051</v>
      </c>
      <c r="G31" s="29">
        <f>MROUND(F31,1)</f>
        <v>32</v>
      </c>
    </row>
    <row r="32" spans="1:7" ht="13.5" customHeight="1" x14ac:dyDescent="0.35">
      <c r="A32" s="15" t="s">
        <v>33</v>
      </c>
      <c r="B32" s="16" t="s">
        <v>36</v>
      </c>
      <c r="C32" s="29"/>
      <c r="D32" s="29" t="s">
        <v>71</v>
      </c>
      <c r="E32" s="35">
        <v>6</v>
      </c>
      <c r="F32" s="31">
        <f>(E32/$E$41)*100</f>
        <v>38.46153846153846</v>
      </c>
      <c r="G32" s="29">
        <f t="shared" ref="G32:G40" si="2">MROUND(F32,1)</f>
        <v>38</v>
      </c>
    </row>
    <row r="33" spans="1:7" ht="13.5" customHeight="1" x14ac:dyDescent="0.35">
      <c r="A33" s="15" t="s">
        <v>34</v>
      </c>
      <c r="B33" s="15" t="s">
        <v>37</v>
      </c>
      <c r="C33" s="29"/>
      <c r="D33" s="29"/>
      <c r="E33" s="16">
        <v>0.64</v>
      </c>
      <c r="F33" s="31">
        <f>(E33/$E$41)*100</f>
        <v>4.1025641025641022</v>
      </c>
      <c r="G33" s="29">
        <f t="shared" si="2"/>
        <v>4</v>
      </c>
    </row>
    <row r="34" spans="1:7" ht="13.5" customHeight="1" x14ac:dyDescent="0.35">
      <c r="A34" s="15" t="s">
        <v>46</v>
      </c>
      <c r="B34" s="15" t="s">
        <v>47</v>
      </c>
      <c r="C34" s="29"/>
      <c r="D34" s="29"/>
      <c r="E34" s="16">
        <v>0.72</v>
      </c>
      <c r="F34" s="31">
        <f>(E34/$E$41)*100</f>
        <v>4.615384615384615</v>
      </c>
      <c r="G34" s="29">
        <f t="shared" si="2"/>
        <v>5</v>
      </c>
    </row>
    <row r="35" spans="1:7" ht="13.5" customHeight="1" x14ac:dyDescent="0.35">
      <c r="A35" s="15" t="s">
        <v>38</v>
      </c>
      <c r="B35" s="15" t="s">
        <v>40</v>
      </c>
      <c r="C35" s="29"/>
      <c r="D35" s="29"/>
      <c r="E35" s="16">
        <v>0.14000000000000001</v>
      </c>
      <c r="F35" s="31">
        <f>(E35/$E$41)*100</f>
        <v>0.89743589743589736</v>
      </c>
      <c r="G35" s="29">
        <f t="shared" si="2"/>
        <v>1</v>
      </c>
    </row>
    <row r="36" spans="1:7" ht="13.5" customHeight="1" x14ac:dyDescent="0.35">
      <c r="A36" s="15" t="s">
        <v>39</v>
      </c>
      <c r="B36" s="15" t="s">
        <v>41</v>
      </c>
      <c r="C36" s="29"/>
      <c r="D36" s="29"/>
      <c r="E36" s="16">
        <v>3</v>
      </c>
      <c r="F36" s="31">
        <f>(E36/$E$41)*100</f>
        <v>19.23076923076923</v>
      </c>
      <c r="G36" s="29">
        <f t="shared" si="2"/>
        <v>19</v>
      </c>
    </row>
    <row r="37" spans="1:7" ht="13.5" customHeight="1" x14ac:dyDescent="0.35">
      <c r="A37" s="15" t="s">
        <v>26</v>
      </c>
      <c r="B37" s="15" t="s">
        <v>42</v>
      </c>
      <c r="C37" s="29"/>
      <c r="D37" s="29"/>
      <c r="E37" s="16">
        <v>0.1</v>
      </c>
      <c r="F37" s="31">
        <f>(E37/$E$41)*100</f>
        <v>0.64102564102564097</v>
      </c>
      <c r="G37" s="29">
        <f t="shared" si="2"/>
        <v>1</v>
      </c>
    </row>
    <row r="38" spans="1:7" ht="13.5" customHeight="1" x14ac:dyDescent="0.35">
      <c r="A38" s="29"/>
      <c r="B38" s="29"/>
      <c r="C38" s="29"/>
      <c r="D38" s="29"/>
      <c r="E38" s="30"/>
      <c r="F38" s="31">
        <f>(E38/$E$41)*100</f>
        <v>0</v>
      </c>
      <c r="G38" s="29">
        <f t="shared" si="2"/>
        <v>0</v>
      </c>
    </row>
    <row r="39" spans="1:7" ht="13.5" customHeight="1" x14ac:dyDescent="0.35">
      <c r="A39" s="29"/>
      <c r="B39" s="29"/>
      <c r="C39" s="29"/>
      <c r="D39" s="29"/>
      <c r="E39" s="30"/>
      <c r="F39" s="31">
        <f>(E39/$E$41)*100</f>
        <v>0</v>
      </c>
      <c r="G39" s="29">
        <f t="shared" si="2"/>
        <v>0</v>
      </c>
    </row>
    <row r="40" spans="1:7" ht="13.5" customHeight="1" x14ac:dyDescent="0.35">
      <c r="A40" s="29"/>
      <c r="B40" s="29"/>
      <c r="C40" s="29"/>
      <c r="D40" s="29"/>
      <c r="E40" s="29"/>
      <c r="F40" s="31">
        <f>(E40/$E$41)*100</f>
        <v>0</v>
      </c>
      <c r="G40" s="29">
        <f t="shared" si="2"/>
        <v>0</v>
      </c>
    </row>
    <row r="41" spans="1:7" ht="13.5" customHeight="1" x14ac:dyDescent="0.35">
      <c r="D41" s="22" t="s">
        <v>2</v>
      </c>
      <c r="E41" s="32">
        <f>SUM(E31:E40)</f>
        <v>15.600000000000001</v>
      </c>
      <c r="F41" s="33">
        <f>SUM(F31:F40)</f>
        <v>99.999999999999986</v>
      </c>
      <c r="G41" s="22">
        <f>SUM(G31:G39)</f>
        <v>100</v>
      </c>
    </row>
    <row r="42" spans="1:7" ht="13.5" customHeight="1" x14ac:dyDescent="0.35"/>
    <row r="43" spans="1:7" ht="15" thickBot="1" x14ac:dyDescent="0.4"/>
    <row r="44" spans="1:7" x14ac:dyDescent="0.35">
      <c r="A44" s="55" t="s">
        <v>70</v>
      </c>
      <c r="B44" s="56"/>
      <c r="E44" s="23"/>
    </row>
    <row r="45" spans="1:7" ht="15" thickBot="1" x14ac:dyDescent="0.4">
      <c r="A45" s="57"/>
      <c r="B45" s="58"/>
    </row>
  </sheetData>
  <mergeCells count="19">
    <mergeCell ref="A44:B4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1:A4"/>
    <mergeCell ref="B1:E4"/>
    <mergeCell ref="F1:G1"/>
    <mergeCell ref="F2:G2"/>
    <mergeCell ref="F3:G3"/>
    <mergeCell ref="F4:G4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0</xdr:col>
                    <xdr:colOff>190500</xdr:colOff>
                    <xdr:row>4</xdr:row>
                    <xdr:rowOff>69850</xdr:rowOff>
                  </from>
                  <to>
                    <xdr:col>1</xdr:col>
                    <xdr:colOff>1619250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3</xdr:col>
                    <xdr:colOff>361950</xdr:colOff>
                    <xdr:row>4</xdr:row>
                    <xdr:rowOff>76200</xdr:rowOff>
                  </from>
                  <to>
                    <xdr:col>6</xdr:col>
                    <xdr:colOff>469900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2</xdr:col>
                    <xdr:colOff>158750</xdr:colOff>
                    <xdr:row>13</xdr:row>
                    <xdr:rowOff>19050</xdr:rowOff>
                  </from>
                  <to>
                    <xdr:col>3</xdr:col>
                    <xdr:colOff>63500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2</xdr:col>
                    <xdr:colOff>158750</xdr:colOff>
                    <xdr:row>14</xdr:row>
                    <xdr:rowOff>0</xdr:rowOff>
                  </from>
                  <to>
                    <xdr:col>3</xdr:col>
                    <xdr:colOff>82550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>
                  <from>
                    <xdr:col>4</xdr:col>
                    <xdr:colOff>552450</xdr:colOff>
                    <xdr:row>13</xdr:row>
                    <xdr:rowOff>12700</xdr:rowOff>
                  </from>
                  <to>
                    <xdr:col>4</xdr:col>
                    <xdr:colOff>793750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Check Box 6">
              <controlPr defaultSize="0" autoFill="0" autoLine="0" autoPict="0">
                <anchor moveWithCells="1">
                  <from>
                    <xdr:col>4</xdr:col>
                    <xdr:colOff>552450</xdr:colOff>
                    <xdr:row>14</xdr:row>
                    <xdr:rowOff>12700</xdr:rowOff>
                  </from>
                  <to>
                    <xdr:col>4</xdr:col>
                    <xdr:colOff>793750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FBC6-D501-44F6-A5AF-87F104553D61}">
  <dimension ref="A1:G46"/>
  <sheetViews>
    <sheetView topLeftCell="A19" zoomScaleNormal="100" workbookViewId="0">
      <selection activeCell="J8" sqref="J8"/>
    </sheetView>
  </sheetViews>
  <sheetFormatPr baseColWidth="10" defaultRowHeight="14.5" x14ac:dyDescent="0.35"/>
  <cols>
    <col min="1" max="1" width="13.875" style="22" customWidth="1"/>
    <col min="2" max="2" width="38.375" style="22" customWidth="1"/>
    <col min="3" max="3" width="7.125" style="22" customWidth="1"/>
    <col min="4" max="4" width="9.125" style="22" customWidth="1"/>
    <col min="5" max="5" width="17.625" style="22" customWidth="1"/>
    <col min="6" max="6" width="12.375" style="22" customWidth="1"/>
    <col min="7" max="7" width="16.25" style="22" customWidth="1"/>
    <col min="8" max="16384" width="11" style="22"/>
  </cols>
  <sheetData>
    <row r="1" spans="1:7" ht="15" thickBot="1" x14ac:dyDescent="0.4">
      <c r="A1" s="1"/>
      <c r="B1" s="39" t="s">
        <v>16</v>
      </c>
      <c r="C1" s="40"/>
      <c r="D1" s="40"/>
      <c r="E1" s="41"/>
      <c r="F1" s="48" t="s">
        <v>25</v>
      </c>
      <c r="G1" s="49"/>
    </row>
    <row r="2" spans="1:7" ht="15" thickBot="1" x14ac:dyDescent="0.4">
      <c r="A2" s="37"/>
      <c r="B2" s="42"/>
      <c r="C2" s="43"/>
      <c r="D2" s="43"/>
      <c r="E2" s="44"/>
      <c r="F2" s="48" t="s">
        <v>48</v>
      </c>
      <c r="G2" s="49"/>
    </row>
    <row r="3" spans="1:7" ht="15" thickBot="1" x14ac:dyDescent="0.4">
      <c r="A3" s="37"/>
      <c r="B3" s="42"/>
      <c r="C3" s="43"/>
      <c r="D3" s="43"/>
      <c r="E3" s="44"/>
      <c r="F3" s="48" t="s">
        <v>49</v>
      </c>
      <c r="G3" s="49"/>
    </row>
    <row r="4" spans="1:7" ht="15" thickBot="1" x14ac:dyDescent="0.4">
      <c r="A4" s="38"/>
      <c r="B4" s="45"/>
      <c r="C4" s="46"/>
      <c r="D4" s="46"/>
      <c r="E4" s="47"/>
      <c r="F4" s="48" t="s">
        <v>50</v>
      </c>
      <c r="G4" s="49"/>
    </row>
    <row r="8" spans="1:7" ht="22.5" customHeight="1" x14ac:dyDescent="0.35">
      <c r="A8" s="50" t="s">
        <v>51</v>
      </c>
      <c r="B8" s="51"/>
      <c r="C8" s="52" t="s">
        <v>77</v>
      </c>
      <c r="D8" s="53"/>
      <c r="E8" s="53"/>
      <c r="F8" s="53"/>
      <c r="G8" s="54"/>
    </row>
    <row r="9" spans="1:7" ht="22.5" customHeight="1" x14ac:dyDescent="0.35">
      <c r="A9" s="50" t="s">
        <v>52</v>
      </c>
      <c r="B9" s="51"/>
      <c r="C9" s="52" t="s">
        <v>78</v>
      </c>
      <c r="D9" s="53"/>
      <c r="E9" s="53"/>
      <c r="F9" s="53"/>
      <c r="G9" s="54"/>
    </row>
    <row r="10" spans="1:7" ht="30" customHeight="1" x14ac:dyDescent="0.35">
      <c r="A10" s="50" t="s">
        <v>53</v>
      </c>
      <c r="B10" s="51"/>
      <c r="C10" s="52" t="s">
        <v>79</v>
      </c>
      <c r="D10" s="53"/>
      <c r="E10" s="53"/>
      <c r="F10" s="53"/>
      <c r="G10" s="54"/>
    </row>
    <row r="11" spans="1:7" ht="30" customHeight="1" x14ac:dyDescent="0.35">
      <c r="A11" s="50" t="s">
        <v>54</v>
      </c>
      <c r="B11" s="51"/>
      <c r="C11" s="52" t="s">
        <v>80</v>
      </c>
      <c r="D11" s="53"/>
      <c r="E11" s="53"/>
      <c r="F11" s="53"/>
      <c r="G11" s="54"/>
    </row>
    <row r="12" spans="1:7" ht="30" customHeight="1" x14ac:dyDescent="0.35">
      <c r="A12" s="50" t="s">
        <v>55</v>
      </c>
      <c r="B12" s="51"/>
      <c r="C12" s="59" t="s">
        <v>81</v>
      </c>
      <c r="D12" s="60"/>
      <c r="E12" s="60"/>
      <c r="F12" s="60"/>
      <c r="G12" s="60"/>
    </row>
    <row r="13" spans="1:7" ht="17.5" customHeight="1" x14ac:dyDescent="0.35">
      <c r="A13" s="61" t="s">
        <v>56</v>
      </c>
      <c r="B13" s="61"/>
      <c r="C13" s="59" t="s">
        <v>82</v>
      </c>
      <c r="D13" s="60"/>
      <c r="E13" s="60"/>
      <c r="F13" s="60"/>
      <c r="G13" s="60"/>
    </row>
    <row r="14" spans="1:7" ht="14.25" customHeight="1" x14ac:dyDescent="0.35">
      <c r="A14" s="22" t="s">
        <v>57</v>
      </c>
      <c r="D14" s="23" t="s">
        <v>58</v>
      </c>
      <c r="F14" s="23" t="s">
        <v>59</v>
      </c>
    </row>
    <row r="15" spans="1:7" x14ac:dyDescent="0.35">
      <c r="A15" s="22" t="s">
        <v>60</v>
      </c>
      <c r="D15" s="23" t="s">
        <v>61</v>
      </c>
      <c r="F15" s="23" t="s">
        <v>62</v>
      </c>
    </row>
    <row r="16" spans="1:7" x14ac:dyDescent="0.35">
      <c r="A16" s="24" t="s">
        <v>72</v>
      </c>
    </row>
    <row r="17" spans="1:7" ht="30" customHeight="1" x14ac:dyDescent="0.35">
      <c r="A17" s="25" t="s">
        <v>63</v>
      </c>
      <c r="B17" s="26" t="s">
        <v>64</v>
      </c>
      <c r="C17" s="27" t="s">
        <v>65</v>
      </c>
      <c r="D17" s="28" t="s">
        <v>66</v>
      </c>
      <c r="E17" s="26" t="s">
        <v>67</v>
      </c>
      <c r="F17" s="25" t="s">
        <v>68</v>
      </c>
      <c r="G17" s="25" t="s">
        <v>69</v>
      </c>
    </row>
    <row r="18" spans="1:7" ht="13.5" customHeight="1" x14ac:dyDescent="0.35">
      <c r="A18" s="15" t="s">
        <v>32</v>
      </c>
      <c r="B18" s="16" t="s">
        <v>35</v>
      </c>
      <c r="C18" s="29"/>
      <c r="D18" s="29"/>
      <c r="E18" s="16">
        <v>5</v>
      </c>
      <c r="F18" s="31">
        <f>(E18/$E$28)*100</f>
        <v>32.051282051282051</v>
      </c>
      <c r="G18" s="29">
        <f>MROUND(F18,1)</f>
        <v>32</v>
      </c>
    </row>
    <row r="19" spans="1:7" ht="13.5" customHeight="1" x14ac:dyDescent="0.35">
      <c r="A19" s="15" t="s">
        <v>33</v>
      </c>
      <c r="B19" s="16" t="s">
        <v>36</v>
      </c>
      <c r="C19" s="29"/>
      <c r="D19" s="29" t="s">
        <v>71</v>
      </c>
      <c r="E19" s="16">
        <v>6</v>
      </c>
      <c r="F19" s="31">
        <f t="shared" ref="F19:F27" si="0">(E19/$E$28)*100</f>
        <v>38.46153846153846</v>
      </c>
      <c r="G19" s="29">
        <f t="shared" ref="G19:G27" si="1">MROUND(F19,1)</f>
        <v>38</v>
      </c>
    </row>
    <row r="20" spans="1:7" ht="13.5" customHeight="1" x14ac:dyDescent="0.35">
      <c r="A20" s="15" t="s">
        <v>34</v>
      </c>
      <c r="B20" s="15" t="s">
        <v>37</v>
      </c>
      <c r="C20" s="29"/>
      <c r="D20" s="29"/>
      <c r="E20" s="16">
        <v>0.64</v>
      </c>
      <c r="F20" s="31">
        <f t="shared" si="0"/>
        <v>4.1025641025641022</v>
      </c>
      <c r="G20" s="29">
        <f t="shared" si="1"/>
        <v>4</v>
      </c>
    </row>
    <row r="21" spans="1:7" ht="13.5" customHeight="1" x14ac:dyDescent="0.35">
      <c r="A21" s="15" t="s">
        <v>46</v>
      </c>
      <c r="B21" s="15" t="s">
        <v>47</v>
      </c>
      <c r="C21" s="29"/>
      <c r="D21" s="29"/>
      <c r="E21" s="16">
        <v>0.72</v>
      </c>
      <c r="F21" s="31">
        <f t="shared" si="0"/>
        <v>4.615384615384615</v>
      </c>
      <c r="G21" s="29">
        <f t="shared" si="1"/>
        <v>5</v>
      </c>
    </row>
    <row r="22" spans="1:7" ht="13.5" customHeight="1" x14ac:dyDescent="0.35">
      <c r="A22" s="15" t="s">
        <v>38</v>
      </c>
      <c r="B22" s="15" t="s">
        <v>40</v>
      </c>
      <c r="C22" s="29"/>
      <c r="D22" s="29"/>
      <c r="E22" s="16">
        <v>0.14000000000000001</v>
      </c>
      <c r="F22" s="31">
        <f t="shared" si="0"/>
        <v>0.89743589743589736</v>
      </c>
      <c r="G22" s="29">
        <f t="shared" si="1"/>
        <v>1</v>
      </c>
    </row>
    <row r="23" spans="1:7" ht="13.5" customHeight="1" x14ac:dyDescent="0.35">
      <c r="A23" s="15" t="s">
        <v>39</v>
      </c>
      <c r="B23" s="15" t="s">
        <v>41</v>
      </c>
      <c r="C23" s="29"/>
      <c r="D23" s="29"/>
      <c r="E23" s="16">
        <v>3</v>
      </c>
      <c r="F23" s="31">
        <f t="shared" si="0"/>
        <v>19.23076923076923</v>
      </c>
      <c r="G23" s="29">
        <f t="shared" si="1"/>
        <v>19</v>
      </c>
    </row>
    <row r="24" spans="1:7" ht="13.5" customHeight="1" x14ac:dyDescent="0.35">
      <c r="A24" s="15" t="s">
        <v>26</v>
      </c>
      <c r="B24" s="15" t="s">
        <v>42</v>
      </c>
      <c r="C24" s="29"/>
      <c r="D24" s="29"/>
      <c r="E24" s="16">
        <v>0.1</v>
      </c>
      <c r="F24" s="31">
        <f t="shared" si="0"/>
        <v>0.64102564102564097</v>
      </c>
      <c r="G24" s="29">
        <f t="shared" si="1"/>
        <v>1</v>
      </c>
    </row>
    <row r="25" spans="1:7" ht="13.5" customHeight="1" x14ac:dyDescent="0.35">
      <c r="A25" s="29"/>
      <c r="B25" s="29"/>
      <c r="C25" s="29"/>
      <c r="D25" s="29"/>
      <c r="E25" s="30"/>
      <c r="F25" s="31">
        <f t="shared" si="0"/>
        <v>0</v>
      </c>
      <c r="G25" s="29">
        <f t="shared" si="1"/>
        <v>0</v>
      </c>
    </row>
    <row r="26" spans="1:7" ht="13.5" customHeight="1" x14ac:dyDescent="0.35">
      <c r="A26" s="29"/>
      <c r="B26" s="29"/>
      <c r="C26" s="29"/>
      <c r="D26" s="29"/>
      <c r="E26" s="30"/>
      <c r="F26" s="31">
        <f t="shared" si="0"/>
        <v>0</v>
      </c>
      <c r="G26" s="29">
        <f t="shared" si="1"/>
        <v>0</v>
      </c>
    </row>
    <row r="27" spans="1:7" ht="13.5" customHeight="1" x14ac:dyDescent="0.35">
      <c r="A27" s="29"/>
      <c r="B27" s="29"/>
      <c r="C27" s="29"/>
      <c r="D27" s="29"/>
      <c r="E27" s="29"/>
      <c r="F27" s="31">
        <f t="shared" si="0"/>
        <v>0</v>
      </c>
      <c r="G27" s="29">
        <f t="shared" si="1"/>
        <v>0</v>
      </c>
    </row>
    <row r="28" spans="1:7" ht="13.5" customHeight="1" x14ac:dyDescent="0.35">
      <c r="D28" s="22" t="s">
        <v>2</v>
      </c>
      <c r="E28" s="32">
        <f>SUM(E18:E27)</f>
        <v>15.600000000000001</v>
      </c>
      <c r="F28" s="33">
        <f>SUM(F18:F27)</f>
        <v>99.999999999999986</v>
      </c>
      <c r="G28" s="22">
        <f>SUM(G18:G26)</f>
        <v>100</v>
      </c>
    </row>
    <row r="29" spans="1:7" x14ac:dyDescent="0.35">
      <c r="A29" s="34" t="s">
        <v>73</v>
      </c>
    </row>
    <row r="30" spans="1:7" ht="29" x14ac:dyDescent="0.35">
      <c r="A30" s="25" t="s">
        <v>63</v>
      </c>
      <c r="B30" s="26" t="s">
        <v>64</v>
      </c>
      <c r="C30" s="27" t="s">
        <v>65</v>
      </c>
      <c r="D30" s="28" t="s">
        <v>66</v>
      </c>
      <c r="E30" s="26" t="s">
        <v>67</v>
      </c>
      <c r="F30" s="25" t="s">
        <v>68</v>
      </c>
      <c r="G30" s="25" t="s">
        <v>69</v>
      </c>
    </row>
    <row r="31" spans="1:7" ht="13.5" customHeight="1" x14ac:dyDescent="0.35">
      <c r="A31" s="15" t="s">
        <v>32</v>
      </c>
      <c r="B31" s="16" t="s">
        <v>35</v>
      </c>
      <c r="C31" s="29"/>
      <c r="D31" s="29"/>
      <c r="E31" s="16">
        <v>5</v>
      </c>
      <c r="F31" s="31">
        <f>(E31/$E$42)*100</f>
        <v>32.051282051282051</v>
      </c>
      <c r="G31" s="29">
        <f>MROUND(F31,1)</f>
        <v>32</v>
      </c>
    </row>
    <row r="32" spans="1:7" ht="13.5" customHeight="1" x14ac:dyDescent="0.35">
      <c r="A32" s="15" t="s">
        <v>33</v>
      </c>
      <c r="B32" s="16" t="s">
        <v>36</v>
      </c>
      <c r="C32" s="29"/>
      <c r="D32" s="29" t="s">
        <v>71</v>
      </c>
      <c r="E32" s="35">
        <v>5</v>
      </c>
      <c r="F32" s="31">
        <f t="shared" ref="F32:F41" si="2">(E32/$E$42)*100</f>
        <v>32.051282051282051</v>
      </c>
      <c r="G32" s="29">
        <f t="shared" ref="G32:G41" si="3">MROUND(F32,1)</f>
        <v>32</v>
      </c>
    </row>
    <row r="33" spans="1:7" ht="13.5" customHeight="1" x14ac:dyDescent="0.35">
      <c r="A33" s="36" t="s">
        <v>74</v>
      </c>
      <c r="B33" s="35" t="s">
        <v>75</v>
      </c>
      <c r="C33" s="29"/>
      <c r="D33" s="29" t="s">
        <v>76</v>
      </c>
      <c r="E33" s="35">
        <v>1</v>
      </c>
      <c r="F33" s="31">
        <f t="shared" si="2"/>
        <v>6.4102564102564097</v>
      </c>
      <c r="G33" s="29">
        <f t="shared" si="3"/>
        <v>6</v>
      </c>
    </row>
    <row r="34" spans="1:7" ht="13.5" customHeight="1" x14ac:dyDescent="0.35">
      <c r="A34" s="15" t="s">
        <v>34</v>
      </c>
      <c r="B34" s="15" t="s">
        <v>37</v>
      </c>
      <c r="C34" s="29"/>
      <c r="D34" s="29"/>
      <c r="E34" s="16">
        <v>0.64</v>
      </c>
      <c r="F34" s="31">
        <f t="shared" si="2"/>
        <v>4.1025641025641022</v>
      </c>
      <c r="G34" s="29">
        <f t="shared" si="3"/>
        <v>4</v>
      </c>
    </row>
    <row r="35" spans="1:7" ht="13.5" customHeight="1" x14ac:dyDescent="0.35">
      <c r="A35" s="15" t="s">
        <v>46</v>
      </c>
      <c r="B35" s="15" t="s">
        <v>47</v>
      </c>
      <c r="C35" s="29"/>
      <c r="D35" s="29"/>
      <c r="E35" s="16">
        <v>0.72</v>
      </c>
      <c r="F35" s="31">
        <f t="shared" si="2"/>
        <v>4.615384615384615</v>
      </c>
      <c r="G35" s="29">
        <f t="shared" si="3"/>
        <v>5</v>
      </c>
    </row>
    <row r="36" spans="1:7" ht="13.5" customHeight="1" x14ac:dyDescent="0.35">
      <c r="A36" s="15" t="s">
        <v>38</v>
      </c>
      <c r="B36" s="15" t="s">
        <v>40</v>
      </c>
      <c r="C36" s="29"/>
      <c r="D36" s="29"/>
      <c r="E36" s="16">
        <v>0.14000000000000001</v>
      </c>
      <c r="F36" s="31">
        <f t="shared" si="2"/>
        <v>0.89743589743589736</v>
      </c>
      <c r="G36" s="29">
        <f t="shared" si="3"/>
        <v>1</v>
      </c>
    </row>
    <row r="37" spans="1:7" ht="13.5" customHeight="1" x14ac:dyDescent="0.35">
      <c r="A37" s="15" t="s">
        <v>39</v>
      </c>
      <c r="B37" s="15" t="s">
        <v>41</v>
      </c>
      <c r="C37" s="29"/>
      <c r="D37" s="29"/>
      <c r="E37" s="16">
        <v>3</v>
      </c>
      <c r="F37" s="31">
        <f t="shared" si="2"/>
        <v>19.23076923076923</v>
      </c>
      <c r="G37" s="29">
        <f t="shared" si="3"/>
        <v>19</v>
      </c>
    </row>
    <row r="38" spans="1:7" ht="13.5" customHeight="1" x14ac:dyDescent="0.35">
      <c r="A38" s="15" t="s">
        <v>26</v>
      </c>
      <c r="B38" s="15" t="s">
        <v>42</v>
      </c>
      <c r="C38" s="29"/>
      <c r="D38" s="29"/>
      <c r="E38" s="16">
        <v>0.1</v>
      </c>
      <c r="F38" s="31">
        <f t="shared" si="2"/>
        <v>0.64102564102564097</v>
      </c>
      <c r="G38" s="29">
        <f t="shared" si="3"/>
        <v>1</v>
      </c>
    </row>
    <row r="39" spans="1:7" ht="13.5" customHeight="1" x14ac:dyDescent="0.35">
      <c r="A39" s="29"/>
      <c r="B39" s="29"/>
      <c r="C39" s="29"/>
      <c r="D39" s="29"/>
      <c r="E39" s="30"/>
      <c r="F39" s="31">
        <f t="shared" si="2"/>
        <v>0</v>
      </c>
      <c r="G39" s="29">
        <f t="shared" si="3"/>
        <v>0</v>
      </c>
    </row>
    <row r="40" spans="1:7" ht="13.5" customHeight="1" x14ac:dyDescent="0.35">
      <c r="A40" s="29"/>
      <c r="B40" s="29"/>
      <c r="C40" s="29"/>
      <c r="D40" s="29"/>
      <c r="E40" s="30"/>
      <c r="F40" s="31">
        <f t="shared" si="2"/>
        <v>0</v>
      </c>
      <c r="G40" s="29">
        <f t="shared" si="3"/>
        <v>0</v>
      </c>
    </row>
    <row r="41" spans="1:7" ht="13.5" customHeight="1" x14ac:dyDescent="0.35">
      <c r="A41" s="29"/>
      <c r="B41" s="29"/>
      <c r="C41" s="29"/>
      <c r="D41" s="29"/>
      <c r="E41" s="29"/>
      <c r="F41" s="31">
        <f t="shared" si="2"/>
        <v>0</v>
      </c>
      <c r="G41" s="29">
        <f t="shared" si="3"/>
        <v>0</v>
      </c>
    </row>
    <row r="42" spans="1:7" ht="13.5" customHeight="1" x14ac:dyDescent="0.35">
      <c r="D42" s="22" t="s">
        <v>2</v>
      </c>
      <c r="E42" s="32">
        <f>SUM(E31:E41)</f>
        <v>15.600000000000001</v>
      </c>
      <c r="F42" s="33">
        <f>SUM(F31:F41)</f>
        <v>99.999999999999986</v>
      </c>
      <c r="G42" s="22">
        <f>SUM(G31:G40)</f>
        <v>100</v>
      </c>
    </row>
    <row r="43" spans="1:7" ht="13.5" customHeight="1" x14ac:dyDescent="0.35"/>
    <row r="44" spans="1:7" ht="15" thickBot="1" x14ac:dyDescent="0.4"/>
    <row r="45" spans="1:7" x14ac:dyDescent="0.35">
      <c r="A45" s="55" t="s">
        <v>70</v>
      </c>
      <c r="B45" s="56"/>
      <c r="E45" s="23"/>
    </row>
    <row r="46" spans="1:7" ht="15" thickBot="1" x14ac:dyDescent="0.4">
      <c r="A46" s="57"/>
      <c r="B46" s="58"/>
    </row>
  </sheetData>
  <mergeCells count="19">
    <mergeCell ref="A45:B4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1:A4"/>
    <mergeCell ref="B1:E4"/>
    <mergeCell ref="F1:G1"/>
    <mergeCell ref="F2:G2"/>
    <mergeCell ref="F3:G3"/>
    <mergeCell ref="F4:G4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0</xdr:col>
                    <xdr:colOff>190500</xdr:colOff>
                    <xdr:row>4</xdr:row>
                    <xdr:rowOff>69850</xdr:rowOff>
                  </from>
                  <to>
                    <xdr:col>1</xdr:col>
                    <xdr:colOff>1619250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3</xdr:col>
                    <xdr:colOff>361950</xdr:colOff>
                    <xdr:row>4</xdr:row>
                    <xdr:rowOff>76200</xdr:rowOff>
                  </from>
                  <to>
                    <xdr:col>6</xdr:col>
                    <xdr:colOff>469900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2</xdr:col>
                    <xdr:colOff>158750</xdr:colOff>
                    <xdr:row>13</xdr:row>
                    <xdr:rowOff>19050</xdr:rowOff>
                  </from>
                  <to>
                    <xdr:col>3</xdr:col>
                    <xdr:colOff>63500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2</xdr:col>
                    <xdr:colOff>158750</xdr:colOff>
                    <xdr:row>14</xdr:row>
                    <xdr:rowOff>0</xdr:rowOff>
                  </from>
                  <to>
                    <xdr:col>3</xdr:col>
                    <xdr:colOff>82550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4</xdr:col>
                    <xdr:colOff>552450</xdr:colOff>
                    <xdr:row>13</xdr:row>
                    <xdr:rowOff>12700</xdr:rowOff>
                  </from>
                  <to>
                    <xdr:col>4</xdr:col>
                    <xdr:colOff>793750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4</xdr:col>
                    <xdr:colOff>552450</xdr:colOff>
                    <xdr:row>14</xdr:row>
                    <xdr:rowOff>12700</xdr:rowOff>
                  </from>
                  <to>
                    <xdr:col>4</xdr:col>
                    <xdr:colOff>793750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7260-D961-45B0-888B-7830C56CDC17}">
  <sheetPr>
    <tabColor theme="5" tint="0.79998168889431442"/>
  </sheetPr>
  <dimension ref="A1:E45"/>
  <sheetViews>
    <sheetView topLeftCell="A10" workbookViewId="0">
      <selection activeCell="C17" sqref="C17:C23"/>
    </sheetView>
  </sheetViews>
  <sheetFormatPr baseColWidth="10" defaultColWidth="11.5" defaultRowHeight="10.5" x14ac:dyDescent="0.25"/>
  <cols>
    <col min="1" max="1" width="14" style="9" customWidth="1"/>
    <col min="2" max="2" width="36.125" style="9" customWidth="1"/>
    <col min="3" max="3" width="32.375" style="9" customWidth="1"/>
    <col min="4" max="4" width="16.125" style="9" customWidth="1"/>
    <col min="5" max="5" width="18.625" style="9" customWidth="1"/>
    <col min="6" max="16384" width="11.5" style="9"/>
  </cols>
  <sheetData>
    <row r="1" spans="1:5" ht="15.65" customHeight="1" x14ac:dyDescent="0.25">
      <c r="A1" s="62"/>
      <c r="B1" s="63" t="s">
        <v>17</v>
      </c>
      <c r="C1" s="64"/>
      <c r="D1" s="65"/>
      <c r="E1" s="2" t="s">
        <v>7</v>
      </c>
    </row>
    <row r="2" spans="1:5" ht="13" x14ac:dyDescent="0.25">
      <c r="A2" s="62"/>
      <c r="B2" s="66"/>
      <c r="C2" s="67"/>
      <c r="D2" s="68"/>
      <c r="E2" s="2" t="s">
        <v>18</v>
      </c>
    </row>
    <row r="3" spans="1:5" ht="13" x14ac:dyDescent="0.25">
      <c r="A3" s="62"/>
      <c r="B3" s="66"/>
      <c r="C3" s="67"/>
      <c r="D3" s="68"/>
      <c r="E3" s="6">
        <v>44008</v>
      </c>
    </row>
    <row r="4" spans="1:5" ht="13" x14ac:dyDescent="0.25">
      <c r="A4" s="62"/>
      <c r="B4" s="69"/>
      <c r="C4" s="70"/>
      <c r="D4" s="71"/>
      <c r="E4" s="3" t="s">
        <v>12</v>
      </c>
    </row>
    <row r="5" spans="1:5" ht="13" x14ac:dyDescent="0.25">
      <c r="A5" s="12"/>
      <c r="B5" s="12"/>
      <c r="C5" s="12"/>
      <c r="D5" s="12"/>
      <c r="E5" s="13"/>
    </row>
    <row r="6" spans="1:5" ht="15.5" x14ac:dyDescent="0.25">
      <c r="A6" s="72" t="s">
        <v>19</v>
      </c>
      <c r="B6" s="72"/>
      <c r="C6" s="72"/>
      <c r="D6" s="12"/>
      <c r="E6" s="13"/>
    </row>
    <row r="7" spans="1:5" ht="12" x14ac:dyDescent="0.25">
      <c r="A7" s="73"/>
      <c r="B7" s="73"/>
      <c r="C7" s="73"/>
      <c r="D7" s="73"/>
      <c r="E7" s="73"/>
    </row>
    <row r="8" spans="1:5" ht="13" x14ac:dyDescent="0.25">
      <c r="A8" s="74" t="s">
        <v>20</v>
      </c>
      <c r="B8" s="75"/>
      <c r="C8" s="76" t="s">
        <v>21</v>
      </c>
      <c r="D8" s="77"/>
      <c r="E8" s="78"/>
    </row>
    <row r="9" spans="1:5" ht="13.9" customHeight="1" x14ac:dyDescent="0.25">
      <c r="A9" s="79" t="s">
        <v>11</v>
      </c>
      <c r="B9" s="79"/>
      <c r="C9" s="80">
        <v>44676</v>
      </c>
      <c r="D9" s="81"/>
      <c r="E9" s="81"/>
    </row>
    <row r="10" spans="1:5" ht="13.9" customHeight="1" x14ac:dyDescent="0.25">
      <c r="A10" s="74" t="s">
        <v>13</v>
      </c>
      <c r="B10" s="75"/>
      <c r="C10" s="81" t="s">
        <v>31</v>
      </c>
      <c r="D10" s="81"/>
      <c r="E10" s="81"/>
    </row>
    <row r="11" spans="1:5" ht="13" x14ac:dyDescent="0.3">
      <c r="A11" s="82" t="s">
        <v>14</v>
      </c>
      <c r="B11" s="83"/>
      <c r="C11" s="84" t="s">
        <v>30</v>
      </c>
      <c r="D11" s="84"/>
      <c r="E11" s="84"/>
    </row>
    <row r="12" spans="1:5" ht="13.9" customHeight="1" x14ac:dyDescent="0.25">
      <c r="A12" s="79" t="s">
        <v>8</v>
      </c>
      <c r="B12" s="79"/>
      <c r="C12" s="81" t="s">
        <v>27</v>
      </c>
      <c r="D12" s="81"/>
      <c r="E12" s="81"/>
    </row>
    <row r="13" spans="1:5" ht="13.9" customHeight="1" x14ac:dyDescent="0.25">
      <c r="A13" s="79" t="s">
        <v>29</v>
      </c>
      <c r="B13" s="79"/>
      <c r="C13" s="81" t="s">
        <v>43</v>
      </c>
      <c r="D13" s="81"/>
      <c r="E13" s="81"/>
    </row>
    <row r="14" spans="1:5" ht="13" x14ac:dyDescent="0.3">
      <c r="A14" s="85" t="s">
        <v>3</v>
      </c>
      <c r="B14" s="85"/>
      <c r="C14" s="84" t="s">
        <v>45</v>
      </c>
      <c r="D14" s="84"/>
      <c r="E14" s="84"/>
    </row>
    <row r="15" spans="1:5" ht="13" x14ac:dyDescent="0.3">
      <c r="A15" s="14"/>
      <c r="B15" s="14"/>
      <c r="C15" s="14"/>
      <c r="D15" s="14"/>
      <c r="E15" s="14"/>
    </row>
    <row r="16" spans="1:5" ht="13" x14ac:dyDescent="0.3">
      <c r="A16" s="8" t="s">
        <v>4</v>
      </c>
      <c r="B16" s="8" t="s">
        <v>5</v>
      </c>
      <c r="C16" s="8" t="s">
        <v>6</v>
      </c>
      <c r="D16" s="8" t="s">
        <v>1</v>
      </c>
      <c r="E16" s="8" t="s">
        <v>0</v>
      </c>
    </row>
    <row r="17" spans="1:5" ht="13" x14ac:dyDescent="0.3">
      <c r="A17" s="15" t="s">
        <v>32</v>
      </c>
      <c r="B17" s="16" t="s">
        <v>35</v>
      </c>
      <c r="C17" s="16">
        <v>5</v>
      </c>
      <c r="D17" s="21">
        <f>SUM(C17*100/$C$32)</f>
        <v>32.051282051282051</v>
      </c>
      <c r="E17" s="11"/>
    </row>
    <row r="18" spans="1:5" ht="13" x14ac:dyDescent="0.3">
      <c r="A18" s="15" t="s">
        <v>33</v>
      </c>
      <c r="B18" s="16" t="s">
        <v>36</v>
      </c>
      <c r="C18" s="16">
        <v>6</v>
      </c>
      <c r="D18" s="21">
        <f>SUM(C18*100/$C$32)</f>
        <v>38.46153846153846</v>
      </c>
      <c r="E18" s="11"/>
    </row>
    <row r="19" spans="1:5" ht="13" x14ac:dyDescent="0.3">
      <c r="A19" s="15" t="s">
        <v>34</v>
      </c>
      <c r="B19" s="15" t="s">
        <v>37</v>
      </c>
      <c r="C19" s="16">
        <v>0.64</v>
      </c>
      <c r="D19" s="21">
        <f>SUM(C19*100/$C$32)</f>
        <v>4.1025641025641022</v>
      </c>
      <c r="E19" s="11"/>
    </row>
    <row r="20" spans="1:5" ht="13" x14ac:dyDescent="0.3">
      <c r="A20" s="15" t="s">
        <v>46</v>
      </c>
      <c r="B20" s="15" t="s">
        <v>47</v>
      </c>
      <c r="C20" s="16">
        <v>0.72</v>
      </c>
      <c r="D20" s="21">
        <f t="shared" ref="D20:D22" si="0">SUM(C20*100/$C$32)</f>
        <v>4.615384615384615</v>
      </c>
      <c r="E20" s="11"/>
    </row>
    <row r="21" spans="1:5" ht="13" x14ac:dyDescent="0.3">
      <c r="A21" s="15" t="s">
        <v>38</v>
      </c>
      <c r="B21" s="15" t="s">
        <v>40</v>
      </c>
      <c r="C21" s="16">
        <v>0.14000000000000001</v>
      </c>
      <c r="D21" s="21">
        <f t="shared" si="0"/>
        <v>0.89743589743589747</v>
      </c>
      <c r="E21" s="11"/>
    </row>
    <row r="22" spans="1:5" ht="13" x14ac:dyDescent="0.3">
      <c r="A22" s="15" t="s">
        <v>39</v>
      </c>
      <c r="B22" s="15" t="s">
        <v>41</v>
      </c>
      <c r="C22" s="16">
        <v>3</v>
      </c>
      <c r="D22" s="21">
        <f t="shared" si="0"/>
        <v>19.23076923076923</v>
      </c>
      <c r="E22" s="11"/>
    </row>
    <row r="23" spans="1:5" ht="13" x14ac:dyDescent="0.3">
      <c r="A23" s="15" t="s">
        <v>26</v>
      </c>
      <c r="B23" s="15" t="s">
        <v>42</v>
      </c>
      <c r="C23" s="16">
        <v>0.1</v>
      </c>
      <c r="D23" s="21">
        <f t="shared" ref="D23:D32" si="1">SUM(C23*100/$C$32)</f>
        <v>0.64102564102564097</v>
      </c>
      <c r="E23" s="11"/>
    </row>
    <row r="24" spans="1:5" ht="13" x14ac:dyDescent="0.3">
      <c r="A24" s="15"/>
      <c r="B24" s="15"/>
      <c r="C24" s="16"/>
      <c r="D24" s="21">
        <f t="shared" si="1"/>
        <v>0</v>
      </c>
      <c r="E24" s="11"/>
    </row>
    <row r="25" spans="1:5" ht="13" x14ac:dyDescent="0.3">
      <c r="A25" s="15"/>
      <c r="B25" s="15"/>
      <c r="C25" s="16"/>
      <c r="D25" s="21">
        <f t="shared" si="1"/>
        <v>0</v>
      </c>
      <c r="E25" s="11"/>
    </row>
    <row r="26" spans="1:5" ht="13" x14ac:dyDescent="0.3">
      <c r="A26" s="15"/>
      <c r="B26" s="15"/>
      <c r="C26" s="16"/>
      <c r="D26" s="21">
        <f t="shared" si="1"/>
        <v>0</v>
      </c>
      <c r="E26" s="11"/>
    </row>
    <row r="27" spans="1:5" ht="13" x14ac:dyDescent="0.3">
      <c r="A27" s="15"/>
      <c r="B27" s="15"/>
      <c r="C27" s="16"/>
      <c r="D27" s="21">
        <f t="shared" si="1"/>
        <v>0</v>
      </c>
      <c r="E27" s="11"/>
    </row>
    <row r="28" spans="1:5" ht="13" x14ac:dyDescent="0.3">
      <c r="A28" s="15"/>
      <c r="B28" s="15"/>
      <c r="C28" s="16"/>
      <c r="D28" s="21">
        <f t="shared" si="1"/>
        <v>0</v>
      </c>
      <c r="E28" s="11"/>
    </row>
    <row r="29" spans="1:5" ht="13" x14ac:dyDescent="0.3">
      <c r="A29" s="15"/>
      <c r="B29" s="15"/>
      <c r="C29" s="16"/>
      <c r="D29" s="21">
        <f t="shared" si="1"/>
        <v>0</v>
      </c>
      <c r="E29" s="11"/>
    </row>
    <row r="30" spans="1:5" ht="13" x14ac:dyDescent="0.3">
      <c r="A30" s="11"/>
      <c r="B30" s="11"/>
      <c r="C30" s="17"/>
      <c r="D30" s="21">
        <f t="shared" si="1"/>
        <v>0</v>
      </c>
      <c r="E30" s="11"/>
    </row>
    <row r="31" spans="1:5" ht="13" x14ac:dyDescent="0.3">
      <c r="A31" s="11"/>
      <c r="B31" s="11"/>
      <c r="C31" s="17"/>
      <c r="D31" s="21">
        <f t="shared" si="1"/>
        <v>0</v>
      </c>
      <c r="E31" s="11"/>
    </row>
    <row r="32" spans="1:5" ht="13" x14ac:dyDescent="0.3">
      <c r="A32" s="10"/>
      <c r="B32" s="11" t="s">
        <v>2</v>
      </c>
      <c r="C32" s="17">
        <f>SUM(C17:C31)</f>
        <v>15.600000000000001</v>
      </c>
      <c r="D32" s="21">
        <f t="shared" si="1"/>
        <v>100</v>
      </c>
      <c r="E32" s="11"/>
    </row>
    <row r="33" spans="1:5" ht="7.15" customHeight="1" x14ac:dyDescent="0.3">
      <c r="A33" s="10"/>
      <c r="B33" s="10"/>
      <c r="C33" s="10"/>
      <c r="D33" s="10"/>
      <c r="E33" s="10"/>
    </row>
    <row r="34" spans="1:5" ht="13" x14ac:dyDescent="0.3">
      <c r="A34" s="7" t="s">
        <v>22</v>
      </c>
      <c r="B34" s="5"/>
      <c r="C34" s="10"/>
      <c r="D34" s="10"/>
      <c r="E34" s="10"/>
    </row>
    <row r="35" spans="1:5" ht="13" x14ac:dyDescent="0.3">
      <c r="A35" s="4"/>
      <c r="B35" s="18" t="s">
        <v>9</v>
      </c>
      <c r="C35" s="11" t="s">
        <v>28</v>
      </c>
      <c r="D35" s="10"/>
      <c r="E35" s="10"/>
    </row>
    <row r="36" spans="1:5" ht="13" x14ac:dyDescent="0.3">
      <c r="A36" s="4"/>
      <c r="B36" s="18" t="s">
        <v>10</v>
      </c>
      <c r="C36" s="11">
        <v>1</v>
      </c>
      <c r="D36" s="10"/>
      <c r="E36" s="10"/>
    </row>
    <row r="37" spans="1:5" ht="10.15" customHeight="1" x14ac:dyDescent="0.3">
      <c r="A37" s="14"/>
      <c r="B37" s="86"/>
      <c r="C37" s="86"/>
      <c r="D37" s="86"/>
      <c r="E37" s="86"/>
    </row>
    <row r="38" spans="1:5" ht="15.5" x14ac:dyDescent="0.35">
      <c r="A38" s="87" t="s">
        <v>23</v>
      </c>
      <c r="B38" s="88"/>
      <c r="C38" s="88"/>
      <c r="D38" s="19"/>
      <c r="E38" s="19"/>
    </row>
    <row r="39" spans="1:5" ht="12" x14ac:dyDescent="0.25">
      <c r="A39" s="73"/>
      <c r="B39" s="73"/>
      <c r="C39" s="73"/>
      <c r="D39" s="73"/>
      <c r="E39" s="73"/>
    </row>
    <row r="40" spans="1:5" ht="49.9" customHeight="1" x14ac:dyDescent="0.35">
      <c r="A40" s="89" t="s">
        <v>44</v>
      </c>
      <c r="B40" s="89"/>
      <c r="C40" s="89"/>
      <c r="D40" s="89"/>
      <c r="E40" s="89"/>
    </row>
    <row r="43" spans="1:5" ht="13" x14ac:dyDescent="0.25">
      <c r="A43" s="85" t="s">
        <v>24</v>
      </c>
      <c r="B43" s="85"/>
      <c r="D43" s="20"/>
    </row>
    <row r="44" spans="1:5" ht="10.15" customHeight="1" x14ac:dyDescent="0.25">
      <c r="A44" s="85"/>
      <c r="B44" s="85"/>
    </row>
    <row r="45" spans="1:5" x14ac:dyDescent="0.25">
      <c r="A45" s="85"/>
      <c r="B45" s="85"/>
    </row>
  </sheetData>
  <mergeCells count="24">
    <mergeCell ref="A43:B45"/>
    <mergeCell ref="A12:B12"/>
    <mergeCell ref="C12:E12"/>
    <mergeCell ref="A13:B13"/>
    <mergeCell ref="C13:E13"/>
    <mergeCell ref="A14:B14"/>
    <mergeCell ref="C14:E14"/>
    <mergeCell ref="B37:C37"/>
    <mergeCell ref="D37:E37"/>
    <mergeCell ref="A38:C38"/>
    <mergeCell ref="A39:E39"/>
    <mergeCell ref="A40:E40"/>
    <mergeCell ref="A9:B9"/>
    <mergeCell ref="C9:E9"/>
    <mergeCell ref="A10:B10"/>
    <mergeCell ref="C10:E10"/>
    <mergeCell ref="A11:B11"/>
    <mergeCell ref="C11:E11"/>
    <mergeCell ref="A1:A4"/>
    <mergeCell ref="B1:D4"/>
    <mergeCell ref="A6:C6"/>
    <mergeCell ref="A7:E7"/>
    <mergeCell ref="A8:B8"/>
    <mergeCell ref="C8:E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3124-01F2-499B-8507-8FBD8E2DA8ED}">
  <sheetPr>
    <tabColor theme="5" tint="0.79998168889431442"/>
  </sheetPr>
  <dimension ref="A1:E44"/>
  <sheetViews>
    <sheetView topLeftCell="A4" workbookViewId="0">
      <selection activeCell="B25" sqref="B25"/>
    </sheetView>
  </sheetViews>
  <sheetFormatPr baseColWidth="10" defaultColWidth="11.5" defaultRowHeight="10.5" x14ac:dyDescent="0.25"/>
  <cols>
    <col min="1" max="1" width="14" style="9" customWidth="1"/>
    <col min="2" max="2" width="36.125" style="9" customWidth="1"/>
    <col min="3" max="3" width="32.375" style="9" customWidth="1"/>
    <col min="4" max="4" width="16.125" style="9" customWidth="1"/>
    <col min="5" max="5" width="18.625" style="9" customWidth="1"/>
    <col min="6" max="16384" width="11.5" style="9"/>
  </cols>
  <sheetData>
    <row r="1" spans="1:5" ht="15.65" customHeight="1" x14ac:dyDescent="0.25">
      <c r="A1" s="62"/>
      <c r="B1" s="63" t="s">
        <v>17</v>
      </c>
      <c r="C1" s="64"/>
      <c r="D1" s="65"/>
      <c r="E1" s="2" t="s">
        <v>7</v>
      </c>
    </row>
    <row r="2" spans="1:5" ht="13" x14ac:dyDescent="0.25">
      <c r="A2" s="62"/>
      <c r="B2" s="66"/>
      <c r="C2" s="67"/>
      <c r="D2" s="68"/>
      <c r="E2" s="2" t="s">
        <v>18</v>
      </c>
    </row>
    <row r="3" spans="1:5" ht="13" x14ac:dyDescent="0.25">
      <c r="A3" s="62"/>
      <c r="B3" s="66"/>
      <c r="C3" s="67"/>
      <c r="D3" s="68"/>
      <c r="E3" s="6">
        <v>44008</v>
      </c>
    </row>
    <row r="4" spans="1:5" ht="13" x14ac:dyDescent="0.25">
      <c r="A4" s="62"/>
      <c r="B4" s="69"/>
      <c r="C4" s="70"/>
      <c r="D4" s="71"/>
      <c r="E4" s="3" t="s">
        <v>12</v>
      </c>
    </row>
    <row r="5" spans="1:5" ht="13" x14ac:dyDescent="0.25">
      <c r="A5" s="12"/>
      <c r="B5" s="12"/>
      <c r="C5" s="12"/>
      <c r="D5" s="12"/>
      <c r="E5" s="13"/>
    </row>
    <row r="6" spans="1:5" ht="15.5" x14ac:dyDescent="0.25">
      <c r="A6" s="72" t="s">
        <v>19</v>
      </c>
      <c r="B6" s="72"/>
      <c r="C6" s="72"/>
      <c r="D6" s="12"/>
      <c r="E6" s="13"/>
    </row>
    <row r="7" spans="1:5" ht="12" x14ac:dyDescent="0.25">
      <c r="A7" s="73"/>
      <c r="B7" s="73"/>
      <c r="C7" s="73"/>
      <c r="D7" s="73"/>
      <c r="E7" s="73"/>
    </row>
    <row r="8" spans="1:5" ht="13" x14ac:dyDescent="0.25">
      <c r="A8" s="74" t="s">
        <v>20</v>
      </c>
      <c r="B8" s="75"/>
      <c r="C8" s="76" t="s">
        <v>21</v>
      </c>
      <c r="D8" s="77"/>
      <c r="E8" s="78"/>
    </row>
    <row r="9" spans="1:5" ht="13.9" customHeight="1" x14ac:dyDescent="0.25">
      <c r="A9" s="79" t="s">
        <v>11</v>
      </c>
      <c r="B9" s="79"/>
      <c r="C9" s="80">
        <v>44631</v>
      </c>
      <c r="D9" s="81"/>
      <c r="E9" s="81"/>
    </row>
    <row r="10" spans="1:5" ht="13.9" customHeight="1" x14ac:dyDescent="0.25">
      <c r="A10" s="74" t="s">
        <v>13</v>
      </c>
      <c r="B10" s="75"/>
      <c r="C10" s="81" t="s">
        <v>31</v>
      </c>
      <c r="D10" s="81"/>
      <c r="E10" s="81"/>
    </row>
    <row r="11" spans="1:5" ht="13" x14ac:dyDescent="0.3">
      <c r="A11" s="82" t="s">
        <v>14</v>
      </c>
      <c r="B11" s="83"/>
      <c r="C11" s="84" t="s">
        <v>30</v>
      </c>
      <c r="D11" s="84"/>
      <c r="E11" s="84"/>
    </row>
    <row r="12" spans="1:5" ht="13.9" customHeight="1" x14ac:dyDescent="0.25">
      <c r="A12" s="79" t="s">
        <v>8</v>
      </c>
      <c r="B12" s="79"/>
      <c r="C12" s="81" t="s">
        <v>27</v>
      </c>
      <c r="D12" s="81"/>
      <c r="E12" s="81"/>
    </row>
    <row r="13" spans="1:5" ht="13.9" customHeight="1" x14ac:dyDescent="0.25">
      <c r="A13" s="79" t="s">
        <v>29</v>
      </c>
      <c r="B13" s="79"/>
      <c r="C13" s="81" t="s">
        <v>43</v>
      </c>
      <c r="D13" s="81"/>
      <c r="E13" s="81"/>
    </row>
    <row r="14" spans="1:5" ht="13" x14ac:dyDescent="0.3">
      <c r="A14" s="85" t="s">
        <v>3</v>
      </c>
      <c r="B14" s="85"/>
      <c r="C14" s="84" t="s">
        <v>15</v>
      </c>
      <c r="D14" s="84"/>
      <c r="E14" s="84"/>
    </row>
    <row r="15" spans="1:5" ht="13" x14ac:dyDescent="0.3">
      <c r="A15" s="14"/>
      <c r="B15" s="14"/>
      <c r="C15" s="14"/>
      <c r="D15" s="14"/>
      <c r="E15" s="14"/>
    </row>
    <row r="16" spans="1:5" ht="13" x14ac:dyDescent="0.3">
      <c r="A16" s="8" t="s">
        <v>4</v>
      </c>
      <c r="B16" s="8" t="s">
        <v>5</v>
      </c>
      <c r="C16" s="8" t="s">
        <v>6</v>
      </c>
      <c r="D16" s="8" t="s">
        <v>1</v>
      </c>
      <c r="E16" s="8" t="s">
        <v>0</v>
      </c>
    </row>
    <row r="17" spans="1:5" ht="13" x14ac:dyDescent="0.3">
      <c r="A17" s="15" t="s">
        <v>32</v>
      </c>
      <c r="B17" s="16" t="s">
        <v>35</v>
      </c>
      <c r="C17" s="16">
        <v>5</v>
      </c>
      <c r="D17" s="21">
        <f t="shared" ref="D17:D31" si="0">SUM(C17*100/$C$31)</f>
        <v>33.557046979865774</v>
      </c>
      <c r="E17" s="11"/>
    </row>
    <row r="18" spans="1:5" ht="13" x14ac:dyDescent="0.3">
      <c r="A18" s="15" t="s">
        <v>33</v>
      </c>
      <c r="B18" s="16" t="s">
        <v>36</v>
      </c>
      <c r="C18" s="16">
        <v>6</v>
      </c>
      <c r="D18" s="21">
        <f t="shared" si="0"/>
        <v>40.268456375838923</v>
      </c>
      <c r="E18" s="11"/>
    </row>
    <row r="19" spans="1:5" ht="13" x14ac:dyDescent="0.3">
      <c r="A19" s="15" t="s">
        <v>34</v>
      </c>
      <c r="B19" s="15" t="s">
        <v>37</v>
      </c>
      <c r="C19" s="16">
        <v>0.64</v>
      </c>
      <c r="D19" s="21">
        <f t="shared" si="0"/>
        <v>4.2953020134228188</v>
      </c>
      <c r="E19" s="11"/>
    </row>
    <row r="20" spans="1:5" ht="13" x14ac:dyDescent="0.3">
      <c r="A20" s="15" t="s">
        <v>38</v>
      </c>
      <c r="B20" s="15" t="s">
        <v>40</v>
      </c>
      <c r="C20" s="16">
        <v>0.16</v>
      </c>
      <c r="D20" s="21">
        <f t="shared" si="0"/>
        <v>1.0738255033557047</v>
      </c>
      <c r="E20" s="11"/>
    </row>
    <row r="21" spans="1:5" ht="13" x14ac:dyDescent="0.3">
      <c r="A21" s="15" t="s">
        <v>39</v>
      </c>
      <c r="B21" s="15" t="s">
        <v>41</v>
      </c>
      <c r="C21" s="16">
        <v>3</v>
      </c>
      <c r="D21" s="21">
        <f t="shared" si="0"/>
        <v>20.134228187919462</v>
      </c>
      <c r="E21" s="11"/>
    </row>
    <row r="22" spans="1:5" ht="13" x14ac:dyDescent="0.3">
      <c r="A22" s="15" t="s">
        <v>26</v>
      </c>
      <c r="B22" s="15" t="s">
        <v>42</v>
      </c>
      <c r="C22" s="16">
        <v>0.1</v>
      </c>
      <c r="D22" s="21">
        <f t="shared" si="0"/>
        <v>0.67114093959731547</v>
      </c>
      <c r="E22" s="11"/>
    </row>
    <row r="23" spans="1:5" ht="13" x14ac:dyDescent="0.3">
      <c r="A23" s="15"/>
      <c r="B23" s="15"/>
      <c r="C23" s="16"/>
      <c r="D23" s="21">
        <f t="shared" si="0"/>
        <v>0</v>
      </c>
      <c r="E23" s="11"/>
    </row>
    <row r="24" spans="1:5" ht="13" x14ac:dyDescent="0.3">
      <c r="A24" s="15"/>
      <c r="B24" s="15"/>
      <c r="C24" s="16"/>
      <c r="D24" s="21">
        <f t="shared" si="0"/>
        <v>0</v>
      </c>
      <c r="E24" s="11"/>
    </row>
    <row r="25" spans="1:5" ht="13" x14ac:dyDescent="0.3">
      <c r="A25" s="15"/>
      <c r="B25" s="15"/>
      <c r="C25" s="16"/>
      <c r="D25" s="21">
        <f t="shared" si="0"/>
        <v>0</v>
      </c>
      <c r="E25" s="11"/>
    </row>
    <row r="26" spans="1:5" ht="13" x14ac:dyDescent="0.3">
      <c r="A26" s="15"/>
      <c r="B26" s="15"/>
      <c r="C26" s="16"/>
      <c r="D26" s="21">
        <f t="shared" si="0"/>
        <v>0</v>
      </c>
      <c r="E26" s="11"/>
    </row>
    <row r="27" spans="1:5" ht="13" x14ac:dyDescent="0.3">
      <c r="A27" s="15"/>
      <c r="B27" s="15"/>
      <c r="C27" s="16"/>
      <c r="D27" s="21">
        <f t="shared" si="0"/>
        <v>0</v>
      </c>
      <c r="E27" s="11"/>
    </row>
    <row r="28" spans="1:5" ht="13" x14ac:dyDescent="0.3">
      <c r="A28" s="15"/>
      <c r="B28" s="15"/>
      <c r="C28" s="16"/>
      <c r="D28" s="21">
        <f t="shared" si="0"/>
        <v>0</v>
      </c>
      <c r="E28" s="11"/>
    </row>
    <row r="29" spans="1:5" ht="13" x14ac:dyDescent="0.3">
      <c r="A29" s="11"/>
      <c r="B29" s="11"/>
      <c r="C29" s="17"/>
      <c r="D29" s="21">
        <f t="shared" si="0"/>
        <v>0</v>
      </c>
      <c r="E29" s="11"/>
    </row>
    <row r="30" spans="1:5" ht="13" x14ac:dyDescent="0.3">
      <c r="A30" s="11"/>
      <c r="B30" s="11"/>
      <c r="C30" s="17"/>
      <c r="D30" s="21">
        <f t="shared" si="0"/>
        <v>0</v>
      </c>
      <c r="E30" s="11"/>
    </row>
    <row r="31" spans="1:5" ht="13" x14ac:dyDescent="0.3">
      <c r="A31" s="10"/>
      <c r="B31" s="11" t="s">
        <v>2</v>
      </c>
      <c r="C31" s="17">
        <f>SUM(C17:C30)</f>
        <v>14.9</v>
      </c>
      <c r="D31" s="21">
        <f t="shared" si="0"/>
        <v>100</v>
      </c>
      <c r="E31" s="11"/>
    </row>
    <row r="32" spans="1:5" ht="7.15" customHeight="1" x14ac:dyDescent="0.3">
      <c r="A32" s="10"/>
      <c r="B32" s="10"/>
      <c r="C32" s="10"/>
      <c r="D32" s="10"/>
      <c r="E32" s="10"/>
    </row>
    <row r="33" spans="1:5" ht="13" x14ac:dyDescent="0.3">
      <c r="A33" s="7" t="s">
        <v>22</v>
      </c>
      <c r="B33" s="5"/>
      <c r="C33" s="10"/>
      <c r="D33" s="10"/>
      <c r="E33" s="10"/>
    </row>
    <row r="34" spans="1:5" ht="13" x14ac:dyDescent="0.3">
      <c r="A34" s="4"/>
      <c r="B34" s="18" t="s">
        <v>9</v>
      </c>
      <c r="C34" s="11" t="s">
        <v>28</v>
      </c>
      <c r="D34" s="10"/>
      <c r="E34" s="10"/>
    </row>
    <row r="35" spans="1:5" ht="13" x14ac:dyDescent="0.3">
      <c r="A35" s="4"/>
      <c r="B35" s="18" t="s">
        <v>10</v>
      </c>
      <c r="C35" s="11">
        <v>1</v>
      </c>
      <c r="D35" s="10"/>
      <c r="E35" s="10"/>
    </row>
    <row r="36" spans="1:5" ht="10.15" customHeight="1" x14ac:dyDescent="0.3">
      <c r="A36" s="14"/>
      <c r="B36" s="86"/>
      <c r="C36" s="86"/>
      <c r="D36" s="86"/>
      <c r="E36" s="86"/>
    </row>
    <row r="37" spans="1:5" ht="15.5" x14ac:dyDescent="0.35">
      <c r="A37" s="87" t="s">
        <v>23</v>
      </c>
      <c r="B37" s="88"/>
      <c r="C37" s="88"/>
      <c r="D37" s="19"/>
      <c r="E37" s="19"/>
    </row>
    <row r="38" spans="1:5" ht="12" x14ac:dyDescent="0.25">
      <c r="A38" s="73"/>
      <c r="B38" s="73"/>
      <c r="C38" s="73"/>
      <c r="D38" s="73"/>
      <c r="E38" s="73"/>
    </row>
    <row r="39" spans="1:5" ht="49.9" customHeight="1" x14ac:dyDescent="0.35">
      <c r="A39" s="89" t="s">
        <v>44</v>
      </c>
      <c r="B39" s="89"/>
      <c r="C39" s="89"/>
      <c r="D39" s="89"/>
      <c r="E39" s="89"/>
    </row>
    <row r="42" spans="1:5" ht="13" x14ac:dyDescent="0.25">
      <c r="A42" s="85" t="s">
        <v>24</v>
      </c>
      <c r="B42" s="85"/>
      <c r="D42" s="20"/>
    </row>
    <row r="43" spans="1:5" ht="10.15" customHeight="1" x14ac:dyDescent="0.25">
      <c r="A43" s="85"/>
      <c r="B43" s="85"/>
    </row>
    <row r="44" spans="1:5" x14ac:dyDescent="0.25">
      <c r="A44" s="85"/>
      <c r="B44" s="85"/>
    </row>
  </sheetData>
  <mergeCells count="24">
    <mergeCell ref="A37:C37"/>
    <mergeCell ref="A38:E38"/>
    <mergeCell ref="A39:E39"/>
    <mergeCell ref="A42:B44"/>
    <mergeCell ref="A12:B12"/>
    <mergeCell ref="C12:E12"/>
    <mergeCell ref="A14:B14"/>
    <mergeCell ref="C14:E14"/>
    <mergeCell ref="B36:C36"/>
    <mergeCell ref="D36:E36"/>
    <mergeCell ref="A13:B13"/>
    <mergeCell ref="C13:E13"/>
    <mergeCell ref="A9:B9"/>
    <mergeCell ref="C9:E9"/>
    <mergeCell ref="A10:B10"/>
    <mergeCell ref="C10:E10"/>
    <mergeCell ref="A11:B11"/>
    <mergeCell ref="C11:E11"/>
    <mergeCell ref="A1:A4"/>
    <mergeCell ref="B1:D4"/>
    <mergeCell ref="A6:C6"/>
    <mergeCell ref="A7:E7"/>
    <mergeCell ref="A8:B8"/>
    <mergeCell ref="C8:E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v.2</vt:lpstr>
      <vt:lpstr>v.1</vt:lpstr>
      <vt:lpstr>v0 (bis)</vt:lpstr>
      <vt:lpstr>v0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Jean-Paul WEYH</dc:creator>
  <cp:lastModifiedBy>Aurelie ROHMER</cp:lastModifiedBy>
  <cp:lastPrinted>2024-02-08T13:19:59Z</cp:lastPrinted>
  <dcterms:created xsi:type="dcterms:W3CDTF">2013-01-17T07:47:32Z</dcterms:created>
  <dcterms:modified xsi:type="dcterms:W3CDTF">2024-02-08T13:20:02Z</dcterms:modified>
</cp:coreProperties>
</file>