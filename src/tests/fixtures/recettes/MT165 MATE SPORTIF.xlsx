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AROMATISATION\RECETTE\THE AROMATISE JDG\"/>
    </mc:Choice>
  </mc:AlternateContent>
  <xr:revisionPtr revIDLastSave="0" documentId="13_ncr:1_{DC6A8185-9FF5-402C-9B94-D243ECC0FF78}" xr6:coauthVersionLast="36" xr6:coauthVersionMax="36" xr10:uidLastSave="{00000000-0000-0000-0000-000000000000}"/>
  <bookViews>
    <workbookView xWindow="-110" yWindow="-110" windowWidth="23260" windowHeight="12580" xr2:uid="{0CD7D3C7-8F51-41B1-A8BF-AFF8A80A41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F28" i="1" l="1"/>
  <c r="G28" i="1" s="1"/>
  <c r="F34" i="1"/>
  <c r="G34" i="1" s="1"/>
  <c r="F29" i="1"/>
  <c r="G29" i="1" s="1"/>
  <c r="F30" i="1"/>
  <c r="G30" i="1" s="1"/>
  <c r="F31" i="1"/>
  <c r="G31" i="1" s="1"/>
  <c r="F32" i="1"/>
  <c r="G32" i="1" s="1"/>
  <c r="F33" i="1"/>
  <c r="G33" i="1" s="1"/>
  <c r="F19" i="1"/>
  <c r="G19" i="1" s="1"/>
  <c r="F18" i="1"/>
  <c r="G18" i="1" s="1"/>
  <c r="F25" i="1"/>
  <c r="F21" i="1"/>
  <c r="F20" i="1"/>
  <c r="G20" i="1" s="1"/>
  <c r="F26" i="1"/>
  <c r="G26" i="1" s="1"/>
  <c r="F24" i="1"/>
  <c r="G24" i="1" s="1"/>
  <c r="F23" i="1"/>
  <c r="G23" i="1" s="1"/>
  <c r="F27" i="1"/>
  <c r="G27" i="1" s="1"/>
  <c r="F22" i="1"/>
  <c r="G22" i="1" s="1"/>
  <c r="G35" i="1" l="1"/>
  <c r="F35" i="1"/>
</calcChain>
</file>

<file path=xl/sharedStrings.xml><?xml version="1.0" encoding="utf-8"?>
<sst xmlns="http://schemas.openxmlformats.org/spreadsheetml/2006/main" count="60" uniqueCount="57">
  <si>
    <t>DATE</t>
  </si>
  <si>
    <t>DESIGNATION</t>
  </si>
  <si>
    <t>CODE ARTICLE</t>
  </si>
  <si>
    <t>VERSION</t>
  </si>
  <si>
    <t>DEMETER</t>
  </si>
  <si>
    <t>COMMERCE
EQUITABLE</t>
  </si>
  <si>
    <t>QTÉ EN KG</t>
  </si>
  <si>
    <t>QTÉ EN %</t>
  </si>
  <si>
    <t>% pour liste 
d'ingrédient</t>
  </si>
  <si>
    <t>TOTAL</t>
  </si>
  <si>
    <t xml:space="preserve">Prélèvement d'échantillon : </t>
  </si>
  <si>
    <t>Qté en kg par échantillons :</t>
  </si>
  <si>
    <t xml:space="preserve">Nombre d'échantillon prélevé : </t>
  </si>
  <si>
    <t>VISA :</t>
  </si>
  <si>
    <t>N° : ENR-PRO-023</t>
  </si>
  <si>
    <t>FICHE DE CREATION RECETTE</t>
  </si>
  <si>
    <t>Page 1/1</t>
  </si>
  <si>
    <t>DEVELOPPEUR</t>
  </si>
  <si>
    <t>AURELIE ROHMER</t>
  </si>
  <si>
    <t>V.0</t>
  </si>
  <si>
    <t>MH</t>
  </si>
  <si>
    <t>FFL</t>
  </si>
  <si>
    <t xml:space="preserve">WFTO </t>
  </si>
  <si>
    <t xml:space="preserve">Autre </t>
  </si>
  <si>
    <r>
      <t xml:space="preserve">LABELS MP
</t>
    </r>
    <r>
      <rPr>
        <i/>
        <sz val="8"/>
        <color theme="1"/>
        <rFont val="Calibri"/>
        <family val="2"/>
        <scheme val="minor"/>
      </rPr>
      <t>* déclaration recette à faire</t>
    </r>
  </si>
  <si>
    <t>SAVEUR/ORIGINE</t>
  </si>
  <si>
    <t>CLIENT</t>
  </si>
  <si>
    <t>LABELS CLIENT</t>
  </si>
  <si>
    <t>Prévisionnel des ventes &amp; Commntaires</t>
  </si>
  <si>
    <t>Indice : 12</t>
  </si>
  <si>
    <t>Date : 14/11/2024</t>
  </si>
  <si>
    <t>AB        x</t>
  </si>
  <si>
    <t>MH       x</t>
  </si>
  <si>
    <t>AB     X</t>
  </si>
  <si>
    <t>AS002</t>
  </si>
  <si>
    <t>TF150</t>
  </si>
  <si>
    <t>EF015</t>
  </si>
  <si>
    <t>HIBISCUS</t>
  </si>
  <si>
    <t>MATE SPORTIF</t>
  </si>
  <si>
    <t>MT265</t>
  </si>
  <si>
    <t xml:space="preserve">FFL                   </t>
  </si>
  <si>
    <t>WFTO             x</t>
  </si>
  <si>
    <t>Les Jardins de Gaia</t>
  </si>
  <si>
    <t>MT100</t>
  </si>
  <si>
    <t>EF020</t>
  </si>
  <si>
    <t>EF033</t>
  </si>
  <si>
    <t>EF055</t>
  </si>
  <si>
    <t xml:space="preserve">HE ORANGE SANGUINE </t>
  </si>
  <si>
    <t>MENTHE POIVREE</t>
  </si>
  <si>
    <t>GINGEMBRE</t>
  </si>
  <si>
    <t>GUARANA</t>
  </si>
  <si>
    <t>GINSENG</t>
  </si>
  <si>
    <t>TF175B</t>
  </si>
  <si>
    <t>STEVIA</t>
  </si>
  <si>
    <t>MATE VERT</t>
  </si>
  <si>
    <t>le 12/09/2025</t>
  </si>
  <si>
    <t>orange sanguine - gingembre - hibiscus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</si>
</sst>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0" fillId="0" borderId="1" xfId="0" applyBorder="1"/>
    <xf numFmtId="0" fontId="2" fillId="0" borderId="0" xfId="0" applyFont="1"/>
    <xf numFmtId="2" fontId="0" fillId="0" borderId="1" xfId="0" applyNumberFormat="1" applyBorder="1"/>
    <xf numFmtId="164" fontId="4" fillId="0" borderId="1" xfId="0" applyNumberFormat="1" applyFont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/>
    </xf>
    <xf numFmtId="0" fontId="4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1" applyBorder="1"/>
    <xf numFmtId="2" fontId="7" fillId="0" borderId="16" xfId="2" applyNumberFormat="1" applyFont="1" applyBorder="1" applyAlignment="1">
      <alignment vertical="center"/>
    </xf>
    <xf numFmtId="164" fontId="7" fillId="0" borderId="1" xfId="0" applyNumberFormat="1" applyFont="1" applyBorder="1"/>
    <xf numFmtId="0" fontId="0" fillId="3" borderId="1" xfId="0" applyFill="1" applyBorder="1" applyAlignment="1">
      <alignment horizontal="left" vertical="top" wrapText="1"/>
    </xf>
    <xf numFmtId="0" fontId="8" fillId="0" borderId="15" xfId="0" applyFont="1" applyBorder="1" applyAlignment="1">
      <alignment horizontal="center"/>
    </xf>
    <xf numFmtId="2" fontId="9" fillId="0" borderId="17" xfId="1" applyNumberFormat="1" applyFont="1" applyBorder="1" applyAlignment="1">
      <alignment vertical="center"/>
    </xf>
    <xf numFmtId="164" fontId="9" fillId="0" borderId="18" xfId="1" applyNumberFormat="1" applyFont="1" applyBorder="1" applyAlignment="1">
      <alignment vertical="center"/>
    </xf>
    <xf numFmtId="164" fontId="9" fillId="0" borderId="16" xfId="2" applyNumberFormat="1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3">
    <cellStyle name="Normal" xfId="0" builtinId="0"/>
    <cellStyle name="Normal 2 2 2" xfId="1" xr:uid="{DE16DACD-478B-4434-88F6-5904587B25C4}"/>
    <cellStyle name="Normal 2 2 2 2" xfId="2" xr:uid="{906C5667-4E24-4E61-B8B4-89D5647417D3}"/>
  </cellStyles>
  <dxfs count="0"/>
  <tableStyles count="0" defaultTableStyle="TableStyleMedium2" defaultPivotStyle="PivotStyleLight16"/>
  <colors>
    <mruColors>
      <color rgb="FFFFF2C9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41</xdr:row>
      <xdr:rowOff>76200</xdr:rowOff>
    </xdr:from>
    <xdr:to>
      <xdr:col>6</xdr:col>
      <xdr:colOff>771525</xdr:colOff>
      <xdr:row>46</xdr:row>
      <xdr:rowOff>107950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174F38B-5688-37C3-5EA2-53C452B33B6E}"/>
            </a:ext>
          </a:extLst>
        </xdr:cNvPr>
        <xdr:cNvSpPr txBox="1"/>
      </xdr:nvSpPr>
      <xdr:spPr>
        <a:xfrm>
          <a:off x="95250" y="7677150"/>
          <a:ext cx="620077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Rajout</a:t>
          </a:r>
          <a:r>
            <a:rPr lang="fr-FR" sz="1100" baseline="0"/>
            <a:t> de la référence dnas le tarif 2026</a:t>
          </a:r>
        </a:p>
        <a:p>
          <a:r>
            <a:rPr lang="fr-FR" sz="1100" baseline="0"/>
            <a:t>lancement marketing au printemps 2026</a:t>
          </a:r>
        </a:p>
        <a:p>
          <a:r>
            <a:rPr lang="fr-FR" sz="1100" baseline="0"/>
            <a:t>étiquettes en cours de réalisation actuellement poru envoyer les fichier en impression avant fin ocotbre 2025</a:t>
          </a:r>
        </a:p>
        <a:p>
          <a:r>
            <a:rPr lang="fr-FR" sz="1100" baseline="0"/>
            <a:t>uniquement 1 fut en circulation pour le moment.</a:t>
          </a:r>
          <a:endParaRPr lang="fr-FR" sz="1100"/>
        </a:p>
      </xdr:txBody>
    </xdr:sp>
    <xdr:clientData/>
  </xdr:twoCellAnchor>
  <xdr:twoCellAnchor>
    <xdr:from>
      <xdr:col>0</xdr:col>
      <xdr:colOff>200026</xdr:colOff>
      <xdr:row>0</xdr:row>
      <xdr:rowOff>85725</xdr:rowOff>
    </xdr:from>
    <xdr:to>
      <xdr:col>0</xdr:col>
      <xdr:colOff>840400</xdr:colOff>
      <xdr:row>3</xdr:row>
      <xdr:rowOff>66675</xdr:rowOff>
    </xdr:to>
    <xdr:pic>
      <xdr:nvPicPr>
        <xdr:cNvPr id="28" name="Image 27" descr="Logo JDG grands thés bio">
          <a:extLst>
            <a:ext uri="{FF2B5EF4-FFF2-40B4-BE49-F238E27FC236}">
              <a16:creationId xmlns:a16="http://schemas.microsoft.com/office/drawing/2014/main" id="{42AC6684-12A6-4420-BEEC-9ABADAFCC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85725"/>
          <a:ext cx="640374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7F51-2F11-4676-9356-99C06CFC07BF}">
  <dimension ref="A1:G48"/>
  <sheetViews>
    <sheetView tabSelected="1" topLeftCell="A31" zoomScaleNormal="100" workbookViewId="0">
      <selection activeCell="A49" sqref="A49"/>
    </sheetView>
  </sheetViews>
  <sheetFormatPr baseColWidth="10" defaultRowHeight="14.5" x14ac:dyDescent="0.35"/>
  <cols>
    <col min="1" max="1" width="15.08984375" customWidth="1"/>
    <col min="2" max="2" width="31.1796875" customWidth="1"/>
    <col min="3" max="3" width="5.1796875" bestFit="1" customWidth="1"/>
    <col min="4" max="4" width="6.1796875" bestFit="1" customWidth="1"/>
    <col min="5" max="5" width="11.453125" customWidth="1"/>
    <col min="7" max="7" width="12" customWidth="1"/>
  </cols>
  <sheetData>
    <row r="1" spans="1:7" ht="15" thickBot="1" x14ac:dyDescent="0.4">
      <c r="A1" s="27"/>
      <c r="B1" s="30" t="s">
        <v>15</v>
      </c>
      <c r="C1" s="31"/>
      <c r="D1" s="31"/>
      <c r="E1" s="32"/>
      <c r="F1" s="25" t="s">
        <v>14</v>
      </c>
      <c r="G1" s="26"/>
    </row>
    <row r="2" spans="1:7" ht="15" thickBot="1" x14ac:dyDescent="0.4">
      <c r="A2" s="28"/>
      <c r="B2" s="33"/>
      <c r="C2" s="34"/>
      <c r="D2" s="34"/>
      <c r="E2" s="35"/>
      <c r="F2" s="25" t="s">
        <v>29</v>
      </c>
      <c r="G2" s="26"/>
    </row>
    <row r="3" spans="1:7" ht="15" thickBot="1" x14ac:dyDescent="0.4">
      <c r="A3" s="28"/>
      <c r="B3" s="33"/>
      <c r="C3" s="34"/>
      <c r="D3" s="34"/>
      <c r="E3" s="35"/>
      <c r="F3" s="25" t="s">
        <v>30</v>
      </c>
      <c r="G3" s="26"/>
    </row>
    <row r="4" spans="1:7" ht="15" thickBot="1" x14ac:dyDescent="0.4">
      <c r="A4" s="29"/>
      <c r="B4" s="36"/>
      <c r="C4" s="37"/>
      <c r="D4" s="37"/>
      <c r="E4" s="38"/>
      <c r="F4" s="25" t="s">
        <v>16</v>
      </c>
      <c r="G4" s="26"/>
    </row>
    <row r="5" spans="1:7" ht="9" customHeight="1" x14ac:dyDescent="0.35">
      <c r="A5" s="2"/>
    </row>
    <row r="7" spans="1:7" ht="21" customHeight="1" x14ac:dyDescent="0.35">
      <c r="A7" s="9" t="s">
        <v>0</v>
      </c>
      <c r="B7" s="40" t="s">
        <v>55</v>
      </c>
      <c r="C7" s="40"/>
      <c r="D7" s="40"/>
      <c r="E7" s="40"/>
      <c r="F7" s="40"/>
      <c r="G7" s="40"/>
    </row>
    <row r="8" spans="1:7" ht="21" customHeight="1" x14ac:dyDescent="0.35">
      <c r="A8" s="9" t="s">
        <v>17</v>
      </c>
      <c r="B8" s="40" t="s">
        <v>18</v>
      </c>
      <c r="C8" s="40"/>
      <c r="D8" s="40"/>
      <c r="E8" s="40"/>
      <c r="F8" s="40"/>
      <c r="G8" s="40"/>
    </row>
    <row r="9" spans="1:7" ht="21" customHeight="1" x14ac:dyDescent="0.35">
      <c r="A9" s="9" t="s">
        <v>1</v>
      </c>
      <c r="B9" s="40" t="s">
        <v>38</v>
      </c>
      <c r="C9" s="40"/>
      <c r="D9" s="40"/>
      <c r="E9" s="40"/>
      <c r="F9" s="40"/>
      <c r="G9" s="40"/>
    </row>
    <row r="10" spans="1:7" ht="21" customHeight="1" x14ac:dyDescent="0.35">
      <c r="A10" s="9" t="s">
        <v>2</v>
      </c>
      <c r="B10" s="40" t="s">
        <v>39</v>
      </c>
      <c r="C10" s="40"/>
      <c r="D10" s="40"/>
      <c r="E10" s="40"/>
      <c r="F10" s="40"/>
      <c r="G10" s="40"/>
    </row>
    <row r="11" spans="1:7" ht="21" customHeight="1" x14ac:dyDescent="0.35">
      <c r="A11" s="10" t="s">
        <v>25</v>
      </c>
      <c r="B11" s="40" t="s">
        <v>56</v>
      </c>
      <c r="C11" s="40"/>
      <c r="D11" s="40"/>
      <c r="E11" s="40"/>
      <c r="F11" s="40"/>
      <c r="G11" s="40"/>
    </row>
    <row r="12" spans="1:7" ht="37" customHeight="1" x14ac:dyDescent="0.35">
      <c r="A12" s="9" t="s">
        <v>24</v>
      </c>
      <c r="B12" s="12"/>
      <c r="C12" s="15" t="s">
        <v>31</v>
      </c>
      <c r="D12" s="15" t="s">
        <v>32</v>
      </c>
      <c r="E12" s="16" t="s">
        <v>21</v>
      </c>
      <c r="F12" s="12" t="s">
        <v>22</v>
      </c>
      <c r="G12" s="12" t="s">
        <v>23</v>
      </c>
    </row>
    <row r="13" spans="1:7" ht="21" customHeight="1" x14ac:dyDescent="0.35">
      <c r="A13" s="14" t="s">
        <v>26</v>
      </c>
      <c r="B13" s="39" t="s">
        <v>42</v>
      </c>
      <c r="C13" s="39"/>
      <c r="D13" s="39"/>
      <c r="E13" s="39"/>
      <c r="F13" s="39"/>
      <c r="G13" s="39"/>
    </row>
    <row r="14" spans="1:7" ht="28.25" customHeight="1" x14ac:dyDescent="0.35">
      <c r="A14" s="14" t="s">
        <v>27</v>
      </c>
      <c r="B14" s="13"/>
      <c r="C14" s="15" t="s">
        <v>33</v>
      </c>
      <c r="D14" s="13" t="s">
        <v>20</v>
      </c>
      <c r="E14" s="20" t="s">
        <v>40</v>
      </c>
      <c r="F14" s="15" t="s">
        <v>41</v>
      </c>
      <c r="G14" s="13" t="s">
        <v>23</v>
      </c>
    </row>
    <row r="15" spans="1:7" ht="21" customHeight="1" x14ac:dyDescent="0.35">
      <c r="A15" s="9" t="s">
        <v>3</v>
      </c>
      <c r="B15" s="40" t="s">
        <v>19</v>
      </c>
      <c r="C15" s="40"/>
      <c r="D15" s="40"/>
      <c r="E15" s="40"/>
      <c r="F15" s="40"/>
      <c r="G15" s="40"/>
    </row>
    <row r="17" spans="1:7" ht="29" x14ac:dyDescent="0.35">
      <c r="A17" s="5" t="s">
        <v>2</v>
      </c>
      <c r="B17" s="6" t="s">
        <v>1</v>
      </c>
      <c r="C17" s="7" t="s">
        <v>4</v>
      </c>
      <c r="D17" s="8" t="s">
        <v>5</v>
      </c>
      <c r="E17" s="6" t="s">
        <v>6</v>
      </c>
      <c r="F17" s="5" t="s">
        <v>7</v>
      </c>
      <c r="G17" s="5" t="s">
        <v>8</v>
      </c>
    </row>
    <row r="18" spans="1:7" x14ac:dyDescent="0.35">
      <c r="A18" s="21" t="s">
        <v>43</v>
      </c>
      <c r="B18" s="1" t="s">
        <v>54</v>
      </c>
      <c r="C18" s="1"/>
      <c r="D18" s="1"/>
      <c r="E18" s="22">
        <v>10</v>
      </c>
      <c r="F18" s="3">
        <f t="shared" ref="F18:F27" si="0">(E18/$E$35)*100</f>
        <v>62.189054726368163</v>
      </c>
      <c r="G18" s="11">
        <f>MROUND(F18,1)</f>
        <v>62</v>
      </c>
    </row>
    <row r="19" spans="1:7" x14ac:dyDescent="0.35">
      <c r="A19" s="21" t="s">
        <v>34</v>
      </c>
      <c r="B19" s="1" t="s">
        <v>47</v>
      </c>
      <c r="C19" s="1"/>
      <c r="D19" s="1"/>
      <c r="E19" s="23">
        <v>0.6</v>
      </c>
      <c r="F19" s="3">
        <f t="shared" si="0"/>
        <v>3.7313432835820901</v>
      </c>
      <c r="G19" s="11">
        <f t="shared" ref="G19:G34" si="1">MROUND(F19,1)</f>
        <v>4</v>
      </c>
    </row>
    <row r="20" spans="1:7" x14ac:dyDescent="0.35">
      <c r="A20" s="21" t="s">
        <v>44</v>
      </c>
      <c r="B20" s="1" t="s">
        <v>48</v>
      </c>
      <c r="C20" s="1"/>
      <c r="D20" s="1"/>
      <c r="E20" s="23">
        <v>0.6</v>
      </c>
      <c r="F20" s="3">
        <f t="shared" si="0"/>
        <v>3.7313432835820901</v>
      </c>
      <c r="G20" s="11">
        <f t="shared" si="1"/>
        <v>4</v>
      </c>
    </row>
    <row r="21" spans="1:7" x14ac:dyDescent="0.35">
      <c r="A21" s="21" t="s">
        <v>36</v>
      </c>
      <c r="B21" s="1" t="s">
        <v>49</v>
      </c>
      <c r="C21" s="1"/>
      <c r="D21" s="1"/>
      <c r="E21" s="23">
        <v>2.5</v>
      </c>
      <c r="F21" s="3">
        <f t="shared" si="0"/>
        <v>15.547263681592041</v>
      </c>
      <c r="G21" s="11">
        <v>15.5</v>
      </c>
    </row>
    <row r="22" spans="1:7" x14ac:dyDescent="0.35">
      <c r="A22" s="21" t="s">
        <v>45</v>
      </c>
      <c r="B22" s="1" t="s">
        <v>50</v>
      </c>
      <c r="C22" s="1"/>
      <c r="D22" s="1"/>
      <c r="E22" s="23">
        <v>1</v>
      </c>
      <c r="F22" s="3">
        <f t="shared" si="0"/>
        <v>6.2189054726368171</v>
      </c>
      <c r="G22" s="11">
        <f t="shared" si="1"/>
        <v>6</v>
      </c>
    </row>
    <row r="23" spans="1:7" x14ac:dyDescent="0.35">
      <c r="A23" s="21" t="s">
        <v>46</v>
      </c>
      <c r="B23" s="1" t="s">
        <v>51</v>
      </c>
      <c r="C23" s="1"/>
      <c r="D23" s="1"/>
      <c r="E23" s="23">
        <v>0.3</v>
      </c>
      <c r="F23" s="3">
        <f t="shared" si="0"/>
        <v>1.8656716417910451</v>
      </c>
      <c r="G23" s="11">
        <f t="shared" si="1"/>
        <v>2</v>
      </c>
    </row>
    <row r="24" spans="1:7" x14ac:dyDescent="0.35">
      <c r="A24" s="21" t="s">
        <v>35</v>
      </c>
      <c r="B24" s="1" t="s">
        <v>37</v>
      </c>
      <c r="C24" s="1"/>
      <c r="D24" s="1"/>
      <c r="E24" s="23">
        <v>1</v>
      </c>
      <c r="F24" s="3">
        <f t="shared" si="0"/>
        <v>6.2189054726368171</v>
      </c>
      <c r="G24" s="11">
        <f t="shared" si="1"/>
        <v>6</v>
      </c>
    </row>
    <row r="25" spans="1:7" x14ac:dyDescent="0.35">
      <c r="A25" s="21" t="s">
        <v>52</v>
      </c>
      <c r="B25" s="1" t="s">
        <v>53</v>
      </c>
      <c r="C25" s="1"/>
      <c r="D25" s="1"/>
      <c r="E25" s="24">
        <v>0.08</v>
      </c>
      <c r="F25" s="3">
        <f t="shared" si="0"/>
        <v>0.49751243781094534</v>
      </c>
      <c r="G25" s="11">
        <v>0.5</v>
      </c>
    </row>
    <row r="26" spans="1:7" x14ac:dyDescent="0.35">
      <c r="A26" s="17"/>
      <c r="B26" s="17"/>
      <c r="C26" s="1"/>
      <c r="D26" s="1"/>
      <c r="E26" s="18"/>
      <c r="F26" s="3">
        <f t="shared" si="0"/>
        <v>0</v>
      </c>
      <c r="G26" s="11">
        <f t="shared" si="1"/>
        <v>0</v>
      </c>
    </row>
    <row r="27" spans="1:7" x14ac:dyDescent="0.35">
      <c r="A27" s="17"/>
      <c r="B27" s="17"/>
      <c r="C27" s="1"/>
      <c r="D27" s="1"/>
      <c r="E27" s="18"/>
      <c r="F27" s="3">
        <f t="shared" si="0"/>
        <v>0</v>
      </c>
      <c r="G27" s="11">
        <f t="shared" si="1"/>
        <v>0</v>
      </c>
    </row>
    <row r="28" spans="1:7" x14ac:dyDescent="0.35">
      <c r="A28" s="17"/>
      <c r="B28" s="17"/>
      <c r="C28" s="1"/>
      <c r="D28" s="1"/>
      <c r="E28" s="18"/>
      <c r="F28" s="3">
        <f t="shared" ref="F28:F34" si="2">(E28/$E$35)*100</f>
        <v>0</v>
      </c>
      <c r="G28" s="11">
        <f t="shared" si="1"/>
        <v>0</v>
      </c>
    </row>
    <row r="29" spans="1:7" x14ac:dyDescent="0.35">
      <c r="A29" s="17"/>
      <c r="B29" s="17"/>
      <c r="C29" s="1"/>
      <c r="D29" s="1"/>
      <c r="E29" s="18"/>
      <c r="F29" s="3">
        <f t="shared" si="2"/>
        <v>0</v>
      </c>
      <c r="G29" s="11">
        <f t="shared" si="1"/>
        <v>0</v>
      </c>
    </row>
    <row r="30" spans="1:7" x14ac:dyDescent="0.35">
      <c r="A30" s="17"/>
      <c r="B30" s="17"/>
      <c r="C30" s="1"/>
      <c r="D30" s="1"/>
      <c r="E30" s="18"/>
      <c r="F30" s="3">
        <f t="shared" si="2"/>
        <v>0</v>
      </c>
      <c r="G30" s="11">
        <f t="shared" si="1"/>
        <v>0</v>
      </c>
    </row>
    <row r="31" spans="1:7" x14ac:dyDescent="0.35">
      <c r="A31" s="17"/>
      <c r="B31" s="17"/>
      <c r="C31" s="1"/>
      <c r="D31" s="1"/>
      <c r="E31" s="19"/>
      <c r="F31" s="3">
        <f t="shared" si="2"/>
        <v>0</v>
      </c>
      <c r="G31" s="11">
        <f t="shared" si="1"/>
        <v>0</v>
      </c>
    </row>
    <row r="32" spans="1:7" x14ac:dyDescent="0.35">
      <c r="A32" s="17"/>
      <c r="B32" s="17"/>
      <c r="C32" s="1"/>
      <c r="D32" s="1"/>
      <c r="E32" s="4"/>
      <c r="F32" s="3">
        <f t="shared" si="2"/>
        <v>0</v>
      </c>
      <c r="G32" s="11">
        <f t="shared" si="1"/>
        <v>0</v>
      </c>
    </row>
    <row r="33" spans="1:7" x14ac:dyDescent="0.35">
      <c r="A33" s="17"/>
      <c r="B33" s="17"/>
      <c r="C33" s="1"/>
      <c r="D33" s="1"/>
      <c r="E33" s="4"/>
      <c r="F33" s="3">
        <f t="shared" si="2"/>
        <v>0</v>
      </c>
      <c r="G33" s="11">
        <f t="shared" si="1"/>
        <v>0</v>
      </c>
    </row>
    <row r="34" spans="1:7" x14ac:dyDescent="0.35">
      <c r="A34" s="17"/>
      <c r="B34" s="17"/>
      <c r="C34" s="1"/>
      <c r="D34" s="1"/>
      <c r="E34" s="4"/>
      <c r="F34" s="3">
        <f t="shared" si="2"/>
        <v>0</v>
      </c>
      <c r="G34" s="11">
        <f t="shared" si="1"/>
        <v>0</v>
      </c>
    </row>
    <row r="35" spans="1:7" x14ac:dyDescent="0.35">
      <c r="D35" t="s">
        <v>9</v>
      </c>
      <c r="E35" s="11">
        <f>SUM(E18:E34)</f>
        <v>16.079999999999998</v>
      </c>
      <c r="F35" s="1">
        <f>SUM(F18:F34)</f>
        <v>100</v>
      </c>
      <c r="G35" s="11">
        <f>SUM(G18:G34)</f>
        <v>100</v>
      </c>
    </row>
    <row r="37" spans="1:7" x14ac:dyDescent="0.35">
      <c r="A37" s="2" t="s">
        <v>10</v>
      </c>
    </row>
    <row r="38" spans="1:7" x14ac:dyDescent="0.35">
      <c r="B38" t="s">
        <v>11</v>
      </c>
      <c r="C38" s="2"/>
      <c r="E38" s="1"/>
    </row>
    <row r="39" spans="1:7" x14ac:dyDescent="0.35">
      <c r="B39" t="s">
        <v>12</v>
      </c>
      <c r="E39" s="1"/>
    </row>
    <row r="41" spans="1:7" x14ac:dyDescent="0.35">
      <c r="A41" s="2" t="s">
        <v>28</v>
      </c>
    </row>
    <row r="47" spans="1:7" x14ac:dyDescent="0.35">
      <c r="A47" s="2"/>
    </row>
    <row r="48" spans="1:7" x14ac:dyDescent="0.35">
      <c r="A48" t="s">
        <v>13</v>
      </c>
    </row>
  </sheetData>
  <mergeCells count="13">
    <mergeCell ref="B13:G13"/>
    <mergeCell ref="B15:G15"/>
    <mergeCell ref="B7:G7"/>
    <mergeCell ref="B8:G8"/>
    <mergeCell ref="B9:G9"/>
    <mergeCell ref="B11:G11"/>
    <mergeCell ref="B10:G10"/>
    <mergeCell ref="F2:G2"/>
    <mergeCell ref="F3:G3"/>
    <mergeCell ref="F4:G4"/>
    <mergeCell ref="A1:A4"/>
    <mergeCell ref="B1:E4"/>
    <mergeCell ref="F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Froeliger</dc:creator>
  <cp:lastModifiedBy>Aurelie ROHMER</cp:lastModifiedBy>
  <cp:lastPrinted>2025-09-18T12:56:54Z</cp:lastPrinted>
  <dcterms:created xsi:type="dcterms:W3CDTF">2023-01-09T10:54:59Z</dcterms:created>
  <dcterms:modified xsi:type="dcterms:W3CDTF">2025-09-18T12:58:34Z</dcterms:modified>
</cp:coreProperties>
</file>