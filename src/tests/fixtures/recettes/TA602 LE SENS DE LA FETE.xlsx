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AROMATISATION\RECETTE\THE AROMATISE JDG\"/>
    </mc:Choice>
  </mc:AlternateContent>
  <xr:revisionPtr revIDLastSave="0" documentId="13_ncr:1_{42D96EFC-7889-43A8-89A2-BD24996C7549}" xr6:coauthVersionLast="36" xr6:coauthVersionMax="47" xr10:uidLastSave="{00000000-0000-0000-0000-000000000000}"/>
  <bookViews>
    <workbookView xWindow="-120" yWindow="-120" windowWidth="29040" windowHeight="15840" xr2:uid="{0CD7D3C7-8F51-41B1-A8BF-AFF8A80A41C9}"/>
  </bookViews>
  <sheets>
    <sheet name="v.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F20" i="1" l="1"/>
  <c r="G20" i="1" s="1"/>
  <c r="F26" i="1"/>
  <c r="F21" i="1"/>
  <c r="G21" i="1" s="1"/>
  <c r="F16" i="1"/>
  <c r="G16" i="1" s="1"/>
  <c r="F22" i="1"/>
  <c r="G22" i="1" s="1"/>
  <c r="F17" i="1"/>
  <c r="G17" i="1" s="1"/>
  <c r="F23" i="1"/>
  <c r="G23" i="1" s="1"/>
  <c r="F18" i="1"/>
  <c r="G18" i="1" s="1"/>
  <c r="F24" i="1"/>
  <c r="G24" i="1" s="1"/>
  <c r="F19" i="1"/>
  <c r="G19" i="1" s="1"/>
  <c r="F25" i="1"/>
  <c r="F28" i="1"/>
  <c r="G28" i="1" s="1"/>
  <c r="F27" i="1"/>
  <c r="G27" i="1" s="1"/>
  <c r="G29" i="1" l="1"/>
  <c r="F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Aurelie ROHMER</author>
  </authors>
  <commentList>
    <comment ref="B16" authorId="0" shapeId="0" xr:uid="{1C408541-4EDF-42A8-A332-ACE9F4427F36}">
      <text>
        <r>
          <rPr>
            <b/>
            <sz val="9"/>
            <color indexed="81"/>
            <rFont val="Tahoma"/>
            <family val="2"/>
          </rPr>
          <t>Aurelie ROHMER:</t>
        </r>
        <r>
          <rPr>
            <sz val="9"/>
            <color indexed="81"/>
            <rFont val="Tahoma"/>
            <family val="2"/>
          </rPr>
          <t xml:space="preserve">
en attente livraison KORAKHONDA - plutôt que putharjhora ver tou sinon 50/50</t>
        </r>
      </text>
    </comment>
  </commentList>
</comments>
</file>

<file path=xl/sharedStrings.xml><?xml version="1.0" encoding="utf-8"?>
<sst xmlns="http://schemas.openxmlformats.org/spreadsheetml/2006/main" count="58" uniqueCount="54">
  <si>
    <t>DATE</t>
  </si>
  <si>
    <t>DESIGNATION</t>
  </si>
  <si>
    <t>CODE ARTICLE</t>
  </si>
  <si>
    <t>MARQUE</t>
  </si>
  <si>
    <t>VERSION</t>
  </si>
  <si>
    <t>DEMETER</t>
  </si>
  <si>
    <t>COMMERCE
EQUITABLE</t>
  </si>
  <si>
    <t>QTÉ EN KG</t>
  </si>
  <si>
    <t>QTÉ EN %</t>
  </si>
  <si>
    <t>% pour liste 
d'ingrédient</t>
  </si>
  <si>
    <t>TOTAL</t>
  </si>
  <si>
    <t xml:space="preserve">Prélèvement d'échantillon : </t>
  </si>
  <si>
    <t>Qté en kg par échantillons :</t>
  </si>
  <si>
    <t xml:space="preserve">Nombre d'échantillon prélevé : </t>
  </si>
  <si>
    <t xml:space="preserve">Prévisionnel des ventes </t>
  </si>
  <si>
    <t>VISA :</t>
  </si>
  <si>
    <t xml:space="preserve">Recettes : </t>
  </si>
  <si>
    <t>N° : ENR-PRO-023</t>
  </si>
  <si>
    <t>FICHE DE CREATION RECETTE</t>
  </si>
  <si>
    <t>Page 1/1</t>
  </si>
  <si>
    <t>DEVELOPPEUR</t>
  </si>
  <si>
    <t>SAVEUR / ORIGINE</t>
  </si>
  <si>
    <t>Indice : 11</t>
  </si>
  <si>
    <t>Date : 12/01/2023</t>
  </si>
  <si>
    <t>AURELIE ROHMER</t>
  </si>
  <si>
    <t>V.0</t>
  </si>
  <si>
    <t>Les Jardins de Gaia</t>
  </si>
  <si>
    <t>EF006M</t>
  </si>
  <si>
    <t>BV15</t>
  </si>
  <si>
    <t>x</t>
  </si>
  <si>
    <t>LE 31.07.2025</t>
  </si>
  <si>
    <t>LE SENS DE LA FETE</t>
  </si>
  <si>
    <t>AS089</t>
  </si>
  <si>
    <t>AS087</t>
  </si>
  <si>
    <t>EF080</t>
  </si>
  <si>
    <t>EF031</t>
  </si>
  <si>
    <t>EF001</t>
  </si>
  <si>
    <t>EF026</t>
  </si>
  <si>
    <t>EF017</t>
  </si>
  <si>
    <t>EF024</t>
  </si>
  <si>
    <t>EF153</t>
  </si>
  <si>
    <t>TV KORAKONDHA</t>
  </si>
  <si>
    <t>AROME NATUREL D'AMANDE BIO</t>
  </si>
  <si>
    <t>feuilles de cannellier</t>
  </si>
  <si>
    <t>CARDAMOME</t>
  </si>
  <si>
    <t>CASSIA VIETNAM</t>
  </si>
  <si>
    <t>FENOUIL GRAINE</t>
  </si>
  <si>
    <t>AMANDES EFFILEES</t>
  </si>
  <si>
    <t>PETALES DE ROSE</t>
  </si>
  <si>
    <t>BLEUET BLEU</t>
  </si>
  <si>
    <t>PETALES DE SOUCIS</t>
  </si>
  <si>
    <t>AROME NATUREL DE ROSE bio</t>
  </si>
  <si>
    <t>amande - feuilles de cannelier - rose</t>
  </si>
  <si>
    <t>TA602 - Gamme LES ENGAGES - agir pour la nature FDD JDG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</si>
</sst>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1" xfId="0" applyBorder="1"/>
    <xf numFmtId="0" fontId="2" fillId="0" borderId="0" xfId="0" applyFont="1"/>
    <xf numFmtId="2" fontId="0" fillId="0" borderId="1" xfId="0" applyNumberFormat="1" applyBorder="1"/>
    <xf numFmtId="164" fontId="4" fillId="0" borderId="1" xfId="0" applyNumberFormat="1" applyFont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2">
    <cellStyle name="Normal" xfId="0" builtinId="0"/>
    <cellStyle name="Normal 2 2 2" xfId="1" xr:uid="{DE16DACD-478B-4434-88F6-5904587B25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35</xdr:row>
      <xdr:rowOff>76200</xdr:rowOff>
    </xdr:from>
    <xdr:to>
      <xdr:col>6</xdr:col>
      <xdr:colOff>771525</xdr:colOff>
      <xdr:row>40</xdr:row>
      <xdr:rowOff>107950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5250" y="7677150"/>
          <a:ext cx="620077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sera</a:t>
          </a:r>
          <a:r>
            <a:rPr lang="fr-FR" sz="1100" baseline="0"/>
            <a:t> dans le tarif 2026</a:t>
          </a:r>
        </a:p>
        <a:p>
          <a:r>
            <a:rPr lang="fr-FR" sz="1100" baseline="0"/>
            <a:t>une fois les étiquettes réceptionnées (fin 2025), nous pourrons commercialiser la réf pour noel 2025 dans la boutique JDG + site internet</a:t>
          </a:r>
          <a:endParaRPr lang="fr-FR" sz="1100"/>
        </a:p>
      </xdr:txBody>
    </xdr:sp>
    <xdr:clientData/>
  </xdr:twoCellAnchor>
  <xdr:twoCellAnchor>
    <xdr:from>
      <xdr:col>0</xdr:col>
      <xdr:colOff>200026</xdr:colOff>
      <xdr:row>0</xdr:row>
      <xdr:rowOff>85725</xdr:rowOff>
    </xdr:from>
    <xdr:to>
      <xdr:col>0</xdr:col>
      <xdr:colOff>840400</xdr:colOff>
      <xdr:row>3</xdr:row>
      <xdr:rowOff>66675</xdr:rowOff>
    </xdr:to>
    <xdr:pic>
      <xdr:nvPicPr>
        <xdr:cNvPr id="28" name="Image 27" descr="Logo JDG grands thés bio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85725"/>
          <a:ext cx="640374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7F51-2F11-4676-9356-99C06CFC07BF}">
  <dimension ref="A1:G42"/>
  <sheetViews>
    <sheetView tabSelected="1" zoomScaleNormal="100" workbookViewId="0">
      <selection activeCell="I9" sqref="I9"/>
    </sheetView>
  </sheetViews>
  <sheetFormatPr baseColWidth="10" defaultRowHeight="14.5" x14ac:dyDescent="0.35"/>
  <cols>
    <col min="1" max="1" width="17.1796875" customWidth="1"/>
    <col min="2" max="2" width="28.1796875" customWidth="1"/>
    <col min="3" max="3" width="5.1796875" bestFit="1" customWidth="1"/>
    <col min="4" max="4" width="6.1796875" bestFit="1" customWidth="1"/>
    <col min="5" max="5" width="11.453125" customWidth="1"/>
    <col min="7" max="7" width="12" customWidth="1"/>
  </cols>
  <sheetData>
    <row r="1" spans="1:7" ht="15" thickBot="1" x14ac:dyDescent="0.4">
      <c r="A1" s="17"/>
      <c r="B1" s="20" t="s">
        <v>18</v>
      </c>
      <c r="C1" s="21"/>
      <c r="D1" s="21"/>
      <c r="E1" s="22"/>
      <c r="F1" s="15" t="s">
        <v>17</v>
      </c>
      <c r="G1" s="16"/>
    </row>
    <row r="2" spans="1:7" ht="15" thickBot="1" x14ac:dyDescent="0.4">
      <c r="A2" s="18"/>
      <c r="B2" s="23"/>
      <c r="C2" s="24"/>
      <c r="D2" s="24"/>
      <c r="E2" s="25"/>
      <c r="F2" s="15" t="s">
        <v>22</v>
      </c>
      <c r="G2" s="16"/>
    </row>
    <row r="3" spans="1:7" ht="15" thickBot="1" x14ac:dyDescent="0.4">
      <c r="A3" s="18"/>
      <c r="B3" s="23"/>
      <c r="C3" s="24"/>
      <c r="D3" s="24"/>
      <c r="E3" s="25"/>
      <c r="F3" s="15" t="s">
        <v>23</v>
      </c>
      <c r="G3" s="16"/>
    </row>
    <row r="4" spans="1:7" ht="15" thickBot="1" x14ac:dyDescent="0.4">
      <c r="A4" s="19"/>
      <c r="B4" s="26"/>
      <c r="C4" s="27"/>
      <c r="D4" s="27"/>
      <c r="E4" s="28"/>
      <c r="F4" s="15" t="s">
        <v>19</v>
      </c>
      <c r="G4" s="16"/>
    </row>
    <row r="5" spans="1:7" x14ac:dyDescent="0.35">
      <c r="A5" s="2" t="s">
        <v>16</v>
      </c>
    </row>
    <row r="7" spans="1:7" ht="21" customHeight="1" x14ac:dyDescent="0.35">
      <c r="A7" s="9" t="s">
        <v>0</v>
      </c>
      <c r="B7" s="29" t="s">
        <v>30</v>
      </c>
      <c r="C7" s="29"/>
      <c r="D7" s="29"/>
      <c r="E7" s="29"/>
      <c r="F7" s="29"/>
      <c r="G7" s="29"/>
    </row>
    <row r="8" spans="1:7" ht="21" customHeight="1" x14ac:dyDescent="0.35">
      <c r="A8" s="9" t="s">
        <v>20</v>
      </c>
      <c r="B8" s="29" t="s">
        <v>24</v>
      </c>
      <c r="C8" s="29"/>
      <c r="D8" s="29"/>
      <c r="E8" s="29"/>
      <c r="F8" s="29"/>
      <c r="G8" s="29"/>
    </row>
    <row r="9" spans="1:7" ht="21" customHeight="1" x14ac:dyDescent="0.35">
      <c r="A9" s="9" t="s">
        <v>1</v>
      </c>
      <c r="B9" s="29" t="s">
        <v>31</v>
      </c>
      <c r="C9" s="29"/>
      <c r="D9" s="29"/>
      <c r="E9" s="29"/>
      <c r="F9" s="29"/>
      <c r="G9" s="29"/>
    </row>
    <row r="10" spans="1:7" ht="21" customHeight="1" x14ac:dyDescent="0.35">
      <c r="A10" s="10" t="s">
        <v>21</v>
      </c>
      <c r="B10" s="29" t="s">
        <v>52</v>
      </c>
      <c r="C10" s="29"/>
      <c r="D10" s="29"/>
      <c r="E10" s="29"/>
      <c r="F10" s="29"/>
      <c r="G10" s="29"/>
    </row>
    <row r="11" spans="1:7" ht="21" customHeight="1" x14ac:dyDescent="0.35">
      <c r="A11" s="9" t="s">
        <v>2</v>
      </c>
      <c r="B11" s="29" t="s">
        <v>53</v>
      </c>
      <c r="C11" s="29"/>
      <c r="D11" s="29"/>
      <c r="E11" s="29"/>
      <c r="F11" s="29"/>
      <c r="G11" s="29"/>
    </row>
    <row r="12" spans="1:7" ht="21" customHeight="1" x14ac:dyDescent="0.35">
      <c r="A12" s="9" t="s">
        <v>3</v>
      </c>
      <c r="B12" s="29" t="s">
        <v>26</v>
      </c>
      <c r="C12" s="29"/>
      <c r="D12" s="29"/>
      <c r="E12" s="29"/>
      <c r="F12" s="29"/>
      <c r="G12" s="29"/>
    </row>
    <row r="13" spans="1:7" ht="21" customHeight="1" x14ac:dyDescent="0.35">
      <c r="A13" s="9" t="s">
        <v>4</v>
      </c>
      <c r="B13" s="29" t="s">
        <v>25</v>
      </c>
      <c r="C13" s="29"/>
      <c r="D13" s="29"/>
      <c r="E13" s="29"/>
      <c r="F13" s="29"/>
      <c r="G13" s="29"/>
    </row>
    <row r="15" spans="1:7" ht="29" x14ac:dyDescent="0.35">
      <c r="A15" s="5" t="s">
        <v>2</v>
      </c>
      <c r="B15" s="6" t="s">
        <v>1</v>
      </c>
      <c r="C15" s="7" t="s">
        <v>5</v>
      </c>
      <c r="D15" s="8" t="s">
        <v>6</v>
      </c>
      <c r="E15" s="6" t="s">
        <v>7</v>
      </c>
      <c r="F15" s="5" t="s">
        <v>8</v>
      </c>
      <c r="G15" s="5" t="s">
        <v>9</v>
      </c>
    </row>
    <row r="16" spans="1:7" x14ac:dyDescent="0.35">
      <c r="A16" s="12" t="s">
        <v>28</v>
      </c>
      <c r="B16" s="12" t="s">
        <v>41</v>
      </c>
      <c r="C16" s="1"/>
      <c r="D16" s="1" t="s">
        <v>29</v>
      </c>
      <c r="E16" s="13">
        <v>10</v>
      </c>
      <c r="F16" s="3">
        <f t="shared" ref="F16:F28" si="0">(E16/$E$29)*100</f>
        <v>68.634179821551143</v>
      </c>
      <c r="G16" s="1">
        <f>MROUND(F16,1)</f>
        <v>69</v>
      </c>
    </row>
    <row r="17" spans="1:7" x14ac:dyDescent="0.35">
      <c r="A17" s="12" t="s">
        <v>32</v>
      </c>
      <c r="B17" s="12" t="s">
        <v>42</v>
      </c>
      <c r="C17" s="1"/>
      <c r="D17" s="1"/>
      <c r="E17" s="13">
        <v>1.2</v>
      </c>
      <c r="F17" s="3">
        <f t="shared" si="0"/>
        <v>8.2361015785861351</v>
      </c>
      <c r="G17" s="1">
        <f t="shared" ref="G17:G28" si="1">MROUND(F17,1)</f>
        <v>8</v>
      </c>
    </row>
    <row r="18" spans="1:7" x14ac:dyDescent="0.35">
      <c r="A18" s="12" t="s">
        <v>33</v>
      </c>
      <c r="B18" s="12" t="s">
        <v>51</v>
      </c>
      <c r="C18" s="1"/>
      <c r="D18" s="1"/>
      <c r="E18" s="13">
        <v>0.3</v>
      </c>
      <c r="F18" s="3">
        <f t="shared" si="0"/>
        <v>2.0590253946465338</v>
      </c>
      <c r="G18" s="1">
        <f t="shared" si="1"/>
        <v>2</v>
      </c>
    </row>
    <row r="19" spans="1:7" x14ac:dyDescent="0.35">
      <c r="A19" s="12" t="s">
        <v>34</v>
      </c>
      <c r="B19" s="12" t="s">
        <v>43</v>
      </c>
      <c r="C19" s="1"/>
      <c r="D19" s="1"/>
      <c r="E19" s="13">
        <v>0.7</v>
      </c>
      <c r="F19" s="3">
        <f t="shared" si="0"/>
        <v>4.8043925875085796</v>
      </c>
      <c r="G19" s="1">
        <f t="shared" si="1"/>
        <v>5</v>
      </c>
    </row>
    <row r="20" spans="1:7" x14ac:dyDescent="0.35">
      <c r="A20" s="12" t="s">
        <v>35</v>
      </c>
      <c r="B20" s="12" t="s">
        <v>44</v>
      </c>
      <c r="C20" s="1"/>
      <c r="D20" s="1" t="s">
        <v>29</v>
      </c>
      <c r="E20" s="13">
        <v>0.5</v>
      </c>
      <c r="F20" s="3">
        <f t="shared" si="0"/>
        <v>3.4317089910775569</v>
      </c>
      <c r="G20" s="1">
        <f t="shared" si="1"/>
        <v>3</v>
      </c>
    </row>
    <row r="21" spans="1:7" x14ac:dyDescent="0.35">
      <c r="A21" s="12" t="s">
        <v>27</v>
      </c>
      <c r="B21" s="12" t="s">
        <v>45</v>
      </c>
      <c r="C21" s="1"/>
      <c r="D21" s="1" t="s">
        <v>29</v>
      </c>
      <c r="E21" s="13">
        <v>0.76</v>
      </c>
      <c r="F21" s="3">
        <f t="shared" si="0"/>
        <v>5.2161976664378864</v>
      </c>
      <c r="G21" s="1">
        <f t="shared" si="1"/>
        <v>5</v>
      </c>
    </row>
    <row r="22" spans="1:7" x14ac:dyDescent="0.35">
      <c r="A22" s="12" t="s">
        <v>40</v>
      </c>
      <c r="B22" s="12" t="s">
        <v>46</v>
      </c>
      <c r="C22" s="1"/>
      <c r="D22" s="1"/>
      <c r="E22" s="13">
        <v>0.4</v>
      </c>
      <c r="F22" s="3">
        <f t="shared" si="0"/>
        <v>2.7453671928620458</v>
      </c>
      <c r="G22" s="1">
        <f t="shared" si="1"/>
        <v>3</v>
      </c>
    </row>
    <row r="23" spans="1:7" x14ac:dyDescent="0.35">
      <c r="A23" s="12" t="s">
        <v>36</v>
      </c>
      <c r="B23" s="12" t="s">
        <v>47</v>
      </c>
      <c r="C23" s="1"/>
      <c r="D23" s="1"/>
      <c r="E23" s="13">
        <v>0.4</v>
      </c>
      <c r="F23" s="3">
        <f t="shared" si="0"/>
        <v>2.7453671928620458</v>
      </c>
      <c r="G23" s="1">
        <f t="shared" si="1"/>
        <v>3</v>
      </c>
    </row>
    <row r="24" spans="1:7" x14ac:dyDescent="0.35">
      <c r="A24" s="12" t="s">
        <v>37</v>
      </c>
      <c r="B24" s="12" t="s">
        <v>48</v>
      </c>
      <c r="C24" s="1"/>
      <c r="D24" s="1"/>
      <c r="E24" s="13">
        <v>0.2</v>
      </c>
      <c r="F24" s="3">
        <f t="shared" si="0"/>
        <v>1.3726835964310229</v>
      </c>
      <c r="G24" s="1">
        <f t="shared" si="1"/>
        <v>1</v>
      </c>
    </row>
    <row r="25" spans="1:7" x14ac:dyDescent="0.35">
      <c r="A25" s="12" t="s">
        <v>38</v>
      </c>
      <c r="B25" s="12" t="s">
        <v>49</v>
      </c>
      <c r="C25" s="1"/>
      <c r="D25" s="1"/>
      <c r="E25" s="14">
        <v>0.03</v>
      </c>
      <c r="F25" s="3">
        <f t="shared" si="0"/>
        <v>0.20590253946465342</v>
      </c>
      <c r="G25" s="1">
        <v>0.5</v>
      </c>
    </row>
    <row r="26" spans="1:7" x14ac:dyDescent="0.35">
      <c r="A26" s="12" t="s">
        <v>39</v>
      </c>
      <c r="B26" s="12" t="s">
        <v>50</v>
      </c>
      <c r="C26" s="1"/>
      <c r="D26" s="1"/>
      <c r="E26" s="13">
        <v>0.08</v>
      </c>
      <c r="F26" s="3">
        <f t="shared" si="0"/>
        <v>0.54907343857240909</v>
      </c>
      <c r="G26" s="1">
        <v>0.5</v>
      </c>
    </row>
    <row r="27" spans="1:7" x14ac:dyDescent="0.35">
      <c r="A27" s="1"/>
      <c r="B27" s="1"/>
      <c r="C27" s="1"/>
      <c r="D27" s="1"/>
      <c r="E27" s="4"/>
      <c r="F27" s="3">
        <f t="shared" si="0"/>
        <v>0</v>
      </c>
      <c r="G27" s="1">
        <f t="shared" si="1"/>
        <v>0</v>
      </c>
    </row>
    <row r="28" spans="1:7" x14ac:dyDescent="0.35">
      <c r="A28" s="1"/>
      <c r="B28" s="1"/>
      <c r="C28" s="1"/>
      <c r="D28" s="1"/>
      <c r="E28" s="4"/>
      <c r="F28" s="3">
        <f t="shared" si="0"/>
        <v>0</v>
      </c>
      <c r="G28" s="1">
        <f t="shared" si="1"/>
        <v>0</v>
      </c>
    </row>
    <row r="29" spans="1:7" x14ac:dyDescent="0.35">
      <c r="D29" t="s">
        <v>10</v>
      </c>
      <c r="E29" s="11">
        <f>SUM(E16:E28)</f>
        <v>14.569999999999999</v>
      </c>
      <c r="F29" s="1">
        <f>SUM(F16:F28)</f>
        <v>100.00000000000001</v>
      </c>
      <c r="G29" s="1">
        <f>SUM(G16:G28)</f>
        <v>100</v>
      </c>
    </row>
    <row r="31" spans="1:7" x14ac:dyDescent="0.35">
      <c r="A31" s="2" t="s">
        <v>11</v>
      </c>
    </row>
    <row r="32" spans="1:7" x14ac:dyDescent="0.35">
      <c r="B32" t="s">
        <v>12</v>
      </c>
      <c r="C32" s="2"/>
      <c r="E32" s="1"/>
    </row>
    <row r="33" spans="1:5" x14ac:dyDescent="0.35">
      <c r="B33" t="s">
        <v>13</v>
      </c>
      <c r="E33" s="1"/>
    </row>
    <row r="35" spans="1:5" x14ac:dyDescent="0.35">
      <c r="A35" s="2" t="s">
        <v>14</v>
      </c>
    </row>
    <row r="41" spans="1:5" x14ac:dyDescent="0.35">
      <c r="A41" s="2"/>
    </row>
    <row r="42" spans="1:5" x14ac:dyDescent="0.35">
      <c r="A42" t="s">
        <v>15</v>
      </c>
    </row>
  </sheetData>
  <mergeCells count="13">
    <mergeCell ref="B12:G12"/>
    <mergeCell ref="B13:G13"/>
    <mergeCell ref="B7:G7"/>
    <mergeCell ref="B8:G8"/>
    <mergeCell ref="B9:G9"/>
    <mergeCell ref="B10:G10"/>
    <mergeCell ref="B11:G11"/>
    <mergeCell ref="F2:G2"/>
    <mergeCell ref="F3:G3"/>
    <mergeCell ref="F4:G4"/>
    <mergeCell ref="A1:A4"/>
    <mergeCell ref="B1:E4"/>
    <mergeCell ref="F1:G1"/>
  </mergeCells>
  <pageMargins left="0.25" right="0.25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Froeliger</dc:creator>
  <cp:lastModifiedBy>Aurelie ROHMER</cp:lastModifiedBy>
  <cp:lastPrinted>2023-01-12T16:20:45Z</cp:lastPrinted>
  <dcterms:created xsi:type="dcterms:W3CDTF">2023-01-09T10:54:59Z</dcterms:created>
  <dcterms:modified xsi:type="dcterms:W3CDTF">2025-09-18T13:45:18Z</dcterms:modified>
</cp:coreProperties>
</file>