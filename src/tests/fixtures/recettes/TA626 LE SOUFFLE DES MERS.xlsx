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AROMATISATION\RECETTE\THE AROMATISE JDG\"/>
    </mc:Choice>
  </mc:AlternateContent>
  <xr:revisionPtr revIDLastSave="0" documentId="13_ncr:1_{B7C0576F-ADB0-4D33-9573-F5299ACF2250}" xr6:coauthVersionLast="36" xr6:coauthVersionMax="45" xr10:uidLastSave="{00000000-0000-0000-0000-000000000000}"/>
  <bookViews>
    <workbookView xWindow="0" yWindow="0" windowWidth="4090" windowHeight="7100" xr2:uid="{00000000-000D-0000-FFFF-FFFF00000000}"/>
  </bookViews>
  <sheets>
    <sheet name="Feuil1" sheetId="9" r:id="rId1"/>
  </sheets>
  <calcPr calcId="191029"/>
</workbook>
</file>

<file path=xl/calcChain.xml><?xml version="1.0" encoding="utf-8"?>
<calcChain xmlns="http://schemas.openxmlformats.org/spreadsheetml/2006/main">
  <c r="E31" i="9" l="1"/>
  <c r="F29" i="9" s="1"/>
  <c r="G29" i="9" s="1"/>
  <c r="F16" i="9" l="1"/>
  <c r="F22" i="9"/>
  <c r="G22" i="9" s="1"/>
  <c r="F18" i="9"/>
  <c r="G18" i="9" s="1"/>
  <c r="F21" i="9"/>
  <c r="G21" i="9" s="1"/>
  <c r="F24" i="9"/>
  <c r="G24" i="9" s="1"/>
  <c r="F27" i="9"/>
  <c r="G27" i="9" s="1"/>
  <c r="F30" i="9"/>
  <c r="G30" i="9" s="1"/>
  <c r="F19" i="9"/>
  <c r="F25" i="9"/>
  <c r="G25" i="9" s="1"/>
  <c r="F28" i="9"/>
  <c r="G28" i="9" s="1"/>
  <c r="F17" i="9"/>
  <c r="G17" i="9" s="1"/>
  <c r="F20" i="9"/>
  <c r="G20" i="9" s="1"/>
  <c r="F23" i="9"/>
  <c r="G23" i="9" s="1"/>
  <c r="F26" i="9"/>
  <c r="G26" i="9" s="1"/>
  <c r="G16" i="9" l="1"/>
  <c r="G31" i="9" s="1"/>
  <c r="F31" i="9"/>
</calcChain>
</file>

<file path=xl/sharedStrings.xml><?xml version="1.0" encoding="utf-8"?>
<sst xmlns="http://schemas.openxmlformats.org/spreadsheetml/2006/main" count="48" uniqueCount="46">
  <si>
    <t>TOTAL</t>
  </si>
  <si>
    <t>N° : ENR-PRO-023</t>
  </si>
  <si>
    <t>Page 1/1</t>
  </si>
  <si>
    <t>X</t>
  </si>
  <si>
    <t>VISA :</t>
  </si>
  <si>
    <t>AURELIE ROHMER</t>
  </si>
  <si>
    <t>FICHE DE CREATION RECETTE</t>
  </si>
  <si>
    <t>Indice : 11</t>
  </si>
  <si>
    <t>Date : 12/01/2023</t>
  </si>
  <si>
    <t xml:space="preserve">Recettes : </t>
  </si>
  <si>
    <t>DATE</t>
  </si>
  <si>
    <t>DEVELOPPEUR</t>
  </si>
  <si>
    <t>DESIGNATION</t>
  </si>
  <si>
    <t>SAVEUR / ORIGINE</t>
  </si>
  <si>
    <t>CODE ARTICLE</t>
  </si>
  <si>
    <t>MARQUE</t>
  </si>
  <si>
    <t>VERSION</t>
  </si>
  <si>
    <t>DEMETER</t>
  </si>
  <si>
    <t>COMMERCE
EQUITABLE</t>
  </si>
  <si>
    <t>QTÉ EN KG</t>
  </si>
  <si>
    <t>QTÉ EN %</t>
  </si>
  <si>
    <t>% pour liste 
d'ingrédient</t>
  </si>
  <si>
    <t xml:space="preserve">Prélèvement d'échantillon : </t>
  </si>
  <si>
    <t>Qté en kg par échantillons :</t>
  </si>
  <si>
    <t xml:space="preserve">Nombre d'échantillon prélevé : </t>
  </si>
  <si>
    <t xml:space="preserve">Prévisionnel des ventes </t>
  </si>
  <si>
    <t>LE 10/06/2024</t>
  </si>
  <si>
    <t>LES JARDINS DE GAIA - grands classiques - thés à la voile</t>
  </si>
  <si>
    <t>LA TRAVERSEE DES SENS</t>
  </si>
  <si>
    <t>PASSION - GRENADE - CARDAMOME</t>
  </si>
  <si>
    <t>TA626</t>
  </si>
  <si>
    <t>THE VERT VIETNAM ANEMOS</t>
  </si>
  <si>
    <t>TV429</t>
  </si>
  <si>
    <t>LEMONGRASS</t>
  </si>
  <si>
    <t>TH260B</t>
  </si>
  <si>
    <t>PASSIFLORE</t>
  </si>
  <si>
    <t>ECORCES DE GRENADE</t>
  </si>
  <si>
    <t>EF134</t>
  </si>
  <si>
    <t>EF146</t>
  </si>
  <si>
    <t>AROME PASSION</t>
  </si>
  <si>
    <t>AROME GRENADE</t>
  </si>
  <si>
    <t>CARDAMOME TEA CUT</t>
  </si>
  <si>
    <t>AS083</t>
  </si>
  <si>
    <t>AS090</t>
  </si>
  <si>
    <r>
      <t>V.0</t>
    </r>
    <r>
      <rPr>
        <sz val="11"/>
        <color rgb="FFFF0000"/>
        <rFont val="Calibri"/>
        <family val="2"/>
        <scheme val="minor"/>
      </rPr>
      <t xml:space="preserve"> (NON FINALISE- vu avec Cassandre =&gt; calcul PR pour inclusion, tarif 2025)</t>
    </r>
  </si>
  <si>
    <t>EF031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</si>
</sst>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34">
    <xf numFmtId="0" fontId="0" fillId="0" borderId="0" xfId="0"/>
    <xf numFmtId="0" fontId="3" fillId="0" borderId="0" xfId="2"/>
    <xf numFmtId="0" fontId="8" fillId="0" borderId="0" xfId="2" applyFont="1"/>
    <xf numFmtId="0" fontId="3" fillId="2" borderId="3" xfId="2" applyFill="1" applyBorder="1" applyAlignment="1">
      <alignment horizontal="left" vertical="top" wrapText="1"/>
    </xf>
    <xf numFmtId="0" fontId="3" fillId="2" borderId="3" xfId="2" applyFill="1" applyBorder="1" applyAlignment="1">
      <alignment horizontal="left" vertical="top"/>
    </xf>
    <xf numFmtId="0" fontId="3" fillId="2" borderId="1" xfId="2" applyFill="1" applyBorder="1" applyAlignment="1">
      <alignment horizontal="center" vertical="center" wrapText="1"/>
    </xf>
    <xf numFmtId="0" fontId="3" fillId="2" borderId="1" xfId="2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/>
    </xf>
    <xf numFmtId="0" fontId="3" fillId="0" borderId="1" xfId="2" applyBorder="1"/>
    <xf numFmtId="0" fontId="5" fillId="0" borderId="4" xfId="2" applyFont="1" applyBorder="1" applyAlignment="1">
      <alignment horizontal="center" vertical="center"/>
    </xf>
    <xf numFmtId="2" fontId="3" fillId="0" borderId="1" xfId="2" applyNumberFormat="1" applyBorder="1"/>
    <xf numFmtId="0" fontId="5" fillId="0" borderId="2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164" fontId="7" fillId="0" borderId="1" xfId="2" applyNumberFormat="1" applyFont="1" applyBorder="1"/>
    <xf numFmtId="0" fontId="7" fillId="0" borderId="1" xfId="2" applyFont="1" applyBorder="1"/>
    <xf numFmtId="0" fontId="3" fillId="0" borderId="5" xfId="2" applyBorder="1" applyAlignment="1">
      <alignment horizontal="center"/>
    </xf>
    <xf numFmtId="0" fontId="3" fillId="0" borderId="11" xfId="2" applyBorder="1" applyAlignment="1">
      <alignment horizontal="center"/>
    </xf>
    <xf numFmtId="0" fontId="3" fillId="0" borderId="14" xfId="2" applyBorder="1" applyAlignment="1">
      <alignment horizont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3" fillId="0" borderId="9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1" fillId="0" borderId="1" xfId="2" applyFont="1" applyBorder="1" applyAlignment="1">
      <alignment horizontal="left" vertical="top" wrapText="1"/>
    </xf>
    <xf numFmtId="0" fontId="3" fillId="0" borderId="1" xfId="2" applyBorder="1" applyAlignment="1">
      <alignment horizontal="left" vertical="top" wrapText="1"/>
    </xf>
    <xf numFmtId="0" fontId="2" fillId="0" borderId="1" xfId="2" applyFont="1" applyBorder="1" applyAlignment="1">
      <alignment horizontal="left" vertical="top" wrapText="1"/>
    </xf>
  </cellXfs>
  <cellStyles count="3">
    <cellStyle name="Normal" xfId="0" builtinId="0"/>
    <cellStyle name="Normal 2" xfId="2" xr:uid="{DE027D20-D8A5-44D8-AF0C-D9DB761F24F1}"/>
    <cellStyle name="Normal 2 2 2 2" xfId="1" xr:uid="{888CBA04-14DA-4DF3-A370-651A9C180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37</xdr:row>
      <xdr:rowOff>76200</xdr:rowOff>
    </xdr:from>
    <xdr:to>
      <xdr:col>6</xdr:col>
      <xdr:colOff>771525</xdr:colOff>
      <xdr:row>42</xdr:row>
      <xdr:rowOff>107950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F4C16E7-42BB-4089-88F3-42F7D71D0D5B}"/>
            </a:ext>
          </a:extLst>
        </xdr:cNvPr>
        <xdr:cNvSpPr txBox="1"/>
      </xdr:nvSpPr>
      <xdr:spPr>
        <a:xfrm>
          <a:off x="95250" y="7677150"/>
          <a:ext cx="620077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0</xdr:col>
      <xdr:colOff>200026</xdr:colOff>
      <xdr:row>0</xdr:row>
      <xdr:rowOff>85725</xdr:rowOff>
    </xdr:from>
    <xdr:to>
      <xdr:col>0</xdr:col>
      <xdr:colOff>840400</xdr:colOff>
      <xdr:row>3</xdr:row>
      <xdr:rowOff>66675</xdr:rowOff>
    </xdr:to>
    <xdr:pic>
      <xdr:nvPicPr>
        <xdr:cNvPr id="3" name="Image 2" descr="Logo JDG grands thés bio">
          <a:extLst>
            <a:ext uri="{FF2B5EF4-FFF2-40B4-BE49-F238E27FC236}">
              <a16:creationId xmlns:a16="http://schemas.microsoft.com/office/drawing/2014/main" id="{6DA4B296-C0A7-4314-A0EC-BE752D056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85725"/>
          <a:ext cx="640374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22B2-4BA5-409E-877C-CEB3F3FF0B87}">
  <dimension ref="A1:G44"/>
  <sheetViews>
    <sheetView tabSelected="1" topLeftCell="A12" zoomScaleNormal="100" workbookViewId="0">
      <selection activeCell="C22" sqref="C22"/>
    </sheetView>
  </sheetViews>
  <sheetFormatPr baseColWidth="10" defaultRowHeight="14.5" x14ac:dyDescent="0.35"/>
  <cols>
    <col min="1" max="1" width="23.625" style="1" customWidth="1"/>
    <col min="2" max="2" width="38.75" style="1" customWidth="1"/>
    <col min="3" max="3" width="7.125" style="1" bestFit="1" customWidth="1"/>
    <col min="4" max="4" width="8.5" style="1" bestFit="1" customWidth="1"/>
    <col min="5" max="5" width="15.75" style="1" customWidth="1"/>
    <col min="6" max="6" width="11" style="1"/>
    <col min="7" max="7" width="16.5" style="1" customWidth="1"/>
    <col min="8" max="16384" width="11" style="1"/>
  </cols>
  <sheetData>
    <row r="1" spans="1:7" ht="15" thickBot="1" x14ac:dyDescent="0.4">
      <c r="A1" s="17"/>
      <c r="B1" s="20" t="s">
        <v>6</v>
      </c>
      <c r="C1" s="21"/>
      <c r="D1" s="21"/>
      <c r="E1" s="22"/>
      <c r="F1" s="29" t="s">
        <v>1</v>
      </c>
      <c r="G1" s="30"/>
    </row>
    <row r="2" spans="1:7" ht="15" thickBot="1" x14ac:dyDescent="0.4">
      <c r="A2" s="18"/>
      <c r="B2" s="23"/>
      <c r="C2" s="24"/>
      <c r="D2" s="24"/>
      <c r="E2" s="25"/>
      <c r="F2" s="29" t="s">
        <v>7</v>
      </c>
      <c r="G2" s="30"/>
    </row>
    <row r="3" spans="1:7" ht="15" thickBot="1" x14ac:dyDescent="0.4">
      <c r="A3" s="18"/>
      <c r="B3" s="23"/>
      <c r="C3" s="24"/>
      <c r="D3" s="24"/>
      <c r="E3" s="25"/>
      <c r="F3" s="29" t="s">
        <v>8</v>
      </c>
      <c r="G3" s="30"/>
    </row>
    <row r="4" spans="1:7" ht="15" thickBot="1" x14ac:dyDescent="0.4">
      <c r="A4" s="19"/>
      <c r="B4" s="26"/>
      <c r="C4" s="27"/>
      <c r="D4" s="27"/>
      <c r="E4" s="28"/>
      <c r="F4" s="29" t="s">
        <v>2</v>
      </c>
      <c r="G4" s="30"/>
    </row>
    <row r="5" spans="1:7" x14ac:dyDescent="0.35">
      <c r="A5" s="2" t="s">
        <v>9</v>
      </c>
    </row>
    <row r="7" spans="1:7" ht="21" customHeight="1" x14ac:dyDescent="0.35">
      <c r="A7" s="3" t="s">
        <v>10</v>
      </c>
      <c r="B7" s="32" t="s">
        <v>26</v>
      </c>
      <c r="C7" s="32"/>
      <c r="D7" s="32"/>
      <c r="E7" s="32"/>
      <c r="F7" s="32"/>
      <c r="G7" s="32"/>
    </row>
    <row r="8" spans="1:7" ht="21" customHeight="1" x14ac:dyDescent="0.35">
      <c r="A8" s="3" t="s">
        <v>11</v>
      </c>
      <c r="B8" s="32" t="s">
        <v>5</v>
      </c>
      <c r="C8" s="32"/>
      <c r="D8" s="32"/>
      <c r="E8" s="32"/>
      <c r="F8" s="32"/>
      <c r="G8" s="32"/>
    </row>
    <row r="9" spans="1:7" ht="21" customHeight="1" x14ac:dyDescent="0.35">
      <c r="A9" s="3" t="s">
        <v>12</v>
      </c>
      <c r="B9" s="33" t="s">
        <v>28</v>
      </c>
      <c r="C9" s="32"/>
      <c r="D9" s="32"/>
      <c r="E9" s="32"/>
      <c r="F9" s="32"/>
      <c r="G9" s="32"/>
    </row>
    <row r="10" spans="1:7" ht="21" customHeight="1" x14ac:dyDescent="0.35">
      <c r="A10" s="4" t="s">
        <v>13</v>
      </c>
      <c r="B10" s="33" t="s">
        <v>29</v>
      </c>
      <c r="C10" s="32"/>
      <c r="D10" s="32"/>
      <c r="E10" s="32"/>
      <c r="F10" s="32"/>
      <c r="G10" s="32"/>
    </row>
    <row r="11" spans="1:7" ht="21" customHeight="1" x14ac:dyDescent="0.35">
      <c r="A11" s="3" t="s">
        <v>14</v>
      </c>
      <c r="B11" s="33" t="s">
        <v>30</v>
      </c>
      <c r="C11" s="32"/>
      <c r="D11" s="32"/>
      <c r="E11" s="32"/>
      <c r="F11" s="32"/>
      <c r="G11" s="32"/>
    </row>
    <row r="12" spans="1:7" ht="21" customHeight="1" x14ac:dyDescent="0.35">
      <c r="A12" s="3" t="s">
        <v>15</v>
      </c>
      <c r="B12" s="32" t="s">
        <v>27</v>
      </c>
      <c r="C12" s="32"/>
      <c r="D12" s="32"/>
      <c r="E12" s="32"/>
      <c r="F12" s="32"/>
      <c r="G12" s="32"/>
    </row>
    <row r="13" spans="1:7" ht="21" customHeight="1" x14ac:dyDescent="0.35">
      <c r="A13" s="3" t="s">
        <v>16</v>
      </c>
      <c r="B13" s="31" t="s">
        <v>44</v>
      </c>
      <c r="C13" s="32"/>
      <c r="D13" s="32"/>
      <c r="E13" s="32"/>
      <c r="F13" s="32"/>
      <c r="G13" s="32"/>
    </row>
    <row r="15" spans="1:7" ht="29" x14ac:dyDescent="0.35">
      <c r="A15" s="5" t="s">
        <v>14</v>
      </c>
      <c r="B15" s="6" t="s">
        <v>12</v>
      </c>
      <c r="C15" s="7" t="s">
        <v>17</v>
      </c>
      <c r="D15" s="8" t="s">
        <v>18</v>
      </c>
      <c r="E15" s="6" t="s">
        <v>19</v>
      </c>
      <c r="F15" s="5" t="s">
        <v>20</v>
      </c>
      <c r="G15" s="5" t="s">
        <v>21</v>
      </c>
    </row>
    <row r="16" spans="1:7" x14ac:dyDescent="0.35">
      <c r="A16" s="9" t="s">
        <v>32</v>
      </c>
      <c r="B16" s="9" t="s">
        <v>31</v>
      </c>
      <c r="C16" s="10"/>
      <c r="D16" s="10" t="s">
        <v>3</v>
      </c>
      <c r="E16" s="11">
        <v>7</v>
      </c>
      <c r="F16" s="12">
        <f>(E16/$E$31)*100</f>
        <v>57.80346820809249</v>
      </c>
      <c r="G16" s="10">
        <f>MROUND(F16,1)</f>
        <v>58</v>
      </c>
    </row>
    <row r="17" spans="1:7" x14ac:dyDescent="0.35">
      <c r="A17" s="9" t="s">
        <v>34</v>
      </c>
      <c r="B17" s="9" t="s">
        <v>33</v>
      </c>
      <c r="C17" s="10"/>
      <c r="D17" s="10"/>
      <c r="E17" s="11">
        <v>0.5</v>
      </c>
      <c r="F17" s="12">
        <f t="shared" ref="F17:F30" si="0">(E17/$E$31)*100</f>
        <v>4.1288191577208924</v>
      </c>
      <c r="G17" s="10">
        <f t="shared" ref="G17:G30" si="1">MROUND(F17,1)</f>
        <v>4</v>
      </c>
    </row>
    <row r="18" spans="1:7" x14ac:dyDescent="0.35">
      <c r="A18" s="9" t="s">
        <v>37</v>
      </c>
      <c r="B18" s="9" t="s">
        <v>35</v>
      </c>
      <c r="C18" s="10"/>
      <c r="D18" s="10"/>
      <c r="E18" s="11">
        <v>0.4</v>
      </c>
      <c r="F18" s="12">
        <f t="shared" si="0"/>
        <v>3.3030553261767142</v>
      </c>
      <c r="G18" s="10">
        <f t="shared" si="1"/>
        <v>3</v>
      </c>
    </row>
    <row r="19" spans="1:7" x14ac:dyDescent="0.35">
      <c r="A19" s="9" t="s">
        <v>38</v>
      </c>
      <c r="B19" s="9" t="s">
        <v>36</v>
      </c>
      <c r="C19" s="10"/>
      <c r="D19" s="10"/>
      <c r="E19" s="11">
        <v>2.5</v>
      </c>
      <c r="F19" s="12">
        <f t="shared" si="0"/>
        <v>20.64409578860446</v>
      </c>
      <c r="G19" s="10">
        <v>20</v>
      </c>
    </row>
    <row r="20" spans="1:7" x14ac:dyDescent="0.35">
      <c r="A20" s="9" t="s">
        <v>42</v>
      </c>
      <c r="B20" s="9" t="s">
        <v>39</v>
      </c>
      <c r="C20" s="10"/>
      <c r="D20" s="10"/>
      <c r="E20" s="11">
        <v>0.45</v>
      </c>
      <c r="F20" s="12">
        <f t="shared" si="0"/>
        <v>3.715937241948803</v>
      </c>
      <c r="G20" s="10">
        <f t="shared" si="1"/>
        <v>4</v>
      </c>
    </row>
    <row r="21" spans="1:7" x14ac:dyDescent="0.35">
      <c r="A21" s="9" t="s">
        <v>43</v>
      </c>
      <c r="B21" s="9" t="s">
        <v>40</v>
      </c>
      <c r="C21" s="10"/>
      <c r="D21" s="10"/>
      <c r="E21" s="11">
        <v>0.7</v>
      </c>
      <c r="F21" s="12">
        <f t="shared" si="0"/>
        <v>5.7803468208092488</v>
      </c>
      <c r="G21" s="10">
        <f t="shared" si="1"/>
        <v>6</v>
      </c>
    </row>
    <row r="22" spans="1:7" x14ac:dyDescent="0.35">
      <c r="A22" s="9" t="s">
        <v>45</v>
      </c>
      <c r="B22" s="9" t="s">
        <v>41</v>
      </c>
      <c r="C22" s="10"/>
      <c r="D22" s="10"/>
      <c r="E22" s="11">
        <v>0.56000000000000005</v>
      </c>
      <c r="F22" s="12">
        <f t="shared" si="0"/>
        <v>4.6242774566473992</v>
      </c>
      <c r="G22" s="10">
        <f t="shared" si="1"/>
        <v>5</v>
      </c>
    </row>
    <row r="23" spans="1:7" x14ac:dyDescent="0.35">
      <c r="A23" s="9"/>
      <c r="B23" s="9"/>
      <c r="C23" s="10"/>
      <c r="D23" s="10"/>
      <c r="E23" s="11"/>
      <c r="F23" s="12">
        <f t="shared" si="0"/>
        <v>0</v>
      </c>
      <c r="G23" s="10">
        <f t="shared" si="1"/>
        <v>0</v>
      </c>
    </row>
    <row r="24" spans="1:7" x14ac:dyDescent="0.35">
      <c r="A24" s="9"/>
      <c r="B24" s="9"/>
      <c r="C24" s="10"/>
      <c r="D24" s="10"/>
      <c r="E24" s="11"/>
      <c r="F24" s="12">
        <f t="shared" si="0"/>
        <v>0</v>
      </c>
      <c r="G24" s="10">
        <f t="shared" si="1"/>
        <v>0</v>
      </c>
    </row>
    <row r="25" spans="1:7" x14ac:dyDescent="0.35">
      <c r="A25" s="9"/>
      <c r="B25" s="9"/>
      <c r="C25" s="10"/>
      <c r="D25" s="10"/>
      <c r="E25" s="13"/>
      <c r="F25" s="12">
        <f t="shared" si="0"/>
        <v>0</v>
      </c>
      <c r="G25" s="10">
        <f t="shared" si="1"/>
        <v>0</v>
      </c>
    </row>
    <row r="26" spans="1:7" x14ac:dyDescent="0.35">
      <c r="A26" s="9"/>
      <c r="B26" s="9"/>
      <c r="C26" s="10"/>
      <c r="D26" s="10"/>
      <c r="E26" s="14"/>
      <c r="F26" s="12">
        <f t="shared" si="0"/>
        <v>0</v>
      </c>
      <c r="G26" s="10">
        <f t="shared" si="1"/>
        <v>0</v>
      </c>
    </row>
    <row r="27" spans="1:7" x14ac:dyDescent="0.35">
      <c r="A27" s="10"/>
      <c r="B27" s="10"/>
      <c r="C27" s="10"/>
      <c r="D27" s="10"/>
      <c r="E27" s="15"/>
      <c r="F27" s="12">
        <f t="shared" si="0"/>
        <v>0</v>
      </c>
      <c r="G27" s="10">
        <f t="shared" si="1"/>
        <v>0</v>
      </c>
    </row>
    <row r="28" spans="1:7" x14ac:dyDescent="0.35">
      <c r="A28" s="10"/>
      <c r="B28" s="10"/>
      <c r="C28" s="10"/>
      <c r="D28" s="10"/>
      <c r="E28" s="15"/>
      <c r="F28" s="12">
        <f t="shared" si="0"/>
        <v>0</v>
      </c>
      <c r="G28" s="10">
        <f t="shared" si="1"/>
        <v>0</v>
      </c>
    </row>
    <row r="29" spans="1:7" x14ac:dyDescent="0.35">
      <c r="A29" s="10"/>
      <c r="B29" s="10"/>
      <c r="C29" s="10"/>
      <c r="D29" s="10"/>
      <c r="E29" s="15"/>
      <c r="F29" s="12">
        <f t="shared" si="0"/>
        <v>0</v>
      </c>
      <c r="G29" s="10">
        <f t="shared" si="1"/>
        <v>0</v>
      </c>
    </row>
    <row r="30" spans="1:7" x14ac:dyDescent="0.35">
      <c r="A30" s="10"/>
      <c r="B30" s="10"/>
      <c r="C30" s="10"/>
      <c r="D30" s="10"/>
      <c r="E30" s="15"/>
      <c r="F30" s="12">
        <f t="shared" si="0"/>
        <v>0</v>
      </c>
      <c r="G30" s="10">
        <f t="shared" si="1"/>
        <v>0</v>
      </c>
    </row>
    <row r="31" spans="1:7" x14ac:dyDescent="0.35">
      <c r="D31" s="1" t="s">
        <v>0</v>
      </c>
      <c r="E31" s="16">
        <f>SUM(E16:E30)</f>
        <v>12.11</v>
      </c>
      <c r="F31" s="10">
        <f>SUM(F16:F30)</f>
        <v>100.00000000000001</v>
      </c>
      <c r="G31" s="10">
        <f>SUM(G16:G30)</f>
        <v>100</v>
      </c>
    </row>
    <row r="33" spans="1:5" x14ac:dyDescent="0.35">
      <c r="A33" s="2" t="s">
        <v>22</v>
      </c>
    </row>
    <row r="34" spans="1:5" x14ac:dyDescent="0.35">
      <c r="B34" s="1" t="s">
        <v>23</v>
      </c>
      <c r="C34" s="2"/>
      <c r="E34" s="10"/>
    </row>
    <row r="35" spans="1:5" x14ac:dyDescent="0.35">
      <c r="B35" s="1" t="s">
        <v>24</v>
      </c>
      <c r="E35" s="10"/>
    </row>
    <row r="37" spans="1:5" x14ac:dyDescent="0.35">
      <c r="A37" s="2" t="s">
        <v>25</v>
      </c>
    </row>
    <row r="43" spans="1:5" x14ac:dyDescent="0.35">
      <c r="A43" s="2"/>
    </row>
    <row r="44" spans="1:5" x14ac:dyDescent="0.35">
      <c r="A44" s="1" t="s">
        <v>4</v>
      </c>
    </row>
  </sheetData>
  <mergeCells count="13">
    <mergeCell ref="B13:G13"/>
    <mergeCell ref="B7:G7"/>
    <mergeCell ref="B8:G8"/>
    <mergeCell ref="B9:G9"/>
    <mergeCell ref="B10:G10"/>
    <mergeCell ref="B11:G11"/>
    <mergeCell ref="B12:G12"/>
    <mergeCell ref="A1:A4"/>
    <mergeCell ref="B1:E4"/>
    <mergeCell ref="F1:G1"/>
    <mergeCell ref="F2:G2"/>
    <mergeCell ref="F3:G3"/>
    <mergeCell ref="F4:G4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Jean-Paul WEYH</dc:creator>
  <cp:lastModifiedBy>Aurelie ROHMER</cp:lastModifiedBy>
  <cp:lastPrinted>2020-07-31T10:03:50Z</cp:lastPrinted>
  <dcterms:created xsi:type="dcterms:W3CDTF">2013-01-17T07:47:32Z</dcterms:created>
  <dcterms:modified xsi:type="dcterms:W3CDTF">2024-06-14T13:08:09Z</dcterms:modified>
</cp:coreProperties>
</file>